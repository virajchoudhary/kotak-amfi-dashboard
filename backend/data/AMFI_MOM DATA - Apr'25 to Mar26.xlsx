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rya1086\AppData\Local\Microsoft\Windows\INetCache\Content.Outlook\N8XVXZOL\"/>
    </mc:Choice>
  </mc:AlternateContent>
  <xr:revisionPtr revIDLastSave="0" documentId="13_ncr:1_{846AC76A-AC9C-4CF7-B896-69129C5D0D16}" xr6:coauthVersionLast="47" xr6:coauthVersionMax="47" xr10:uidLastSave="{00000000-0000-0000-0000-000000000000}"/>
  <bookViews>
    <workbookView xWindow="-110" yWindow="-110" windowWidth="19420" windowHeight="10300" xr2:uid="{970C0FB0-CFE6-4809-B603-E772E04215A0}"/>
  </bookViews>
  <sheets>
    <sheet name="AMFI-SIP" sheetId="3" r:id="rId1"/>
    <sheet name="AMFI-Mar'25 to Mar'26" sheetId="4" r:id="rId2"/>
    <sheet name="AMFI-Mar'25 to Jan'26-AMFI form" sheetId="2" state="hidden" r:id="rId3"/>
  </sheets>
  <definedNames>
    <definedName name="_xlnm._FilterDatabase" localSheetId="2" hidden="1">'AMFI-Mar''25 to Jan''26-AMFI form'!$A$3:$EA$3</definedName>
    <definedName name="_xlnm._FilterDatabase" localSheetId="1" hidden="1">'AMFI-Mar''25 to Mar''26'!$A$3:$EQ$52</definedName>
    <definedName name="_xlnm._FilterDatabase" localSheetId="0" hidden="1">'AMFI-SIP'!$A$3:$M$3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24" i="3"/>
  <c r="G24" i="3"/>
  <c r="E24" i="3"/>
  <c r="F24" i="3"/>
  <c r="D24" i="3"/>
  <c r="C24" i="3"/>
  <c r="EL5" i="4"/>
  <c r="EL6" i="4"/>
  <c r="EL7" i="4"/>
  <c r="EL8" i="4"/>
  <c r="EL9" i="4"/>
  <c r="EL10" i="4"/>
  <c r="EL11" i="4"/>
  <c r="EL12" i="4"/>
  <c r="EL13" i="4"/>
  <c r="EL14" i="4"/>
  <c r="EL15" i="4"/>
  <c r="EL16" i="4"/>
  <c r="EL17" i="4"/>
  <c r="EL18" i="4"/>
  <c r="EL19" i="4"/>
  <c r="EL20" i="4"/>
  <c r="EL21" i="4"/>
  <c r="EL22" i="4"/>
  <c r="EL23" i="4"/>
  <c r="EL24" i="4"/>
  <c r="EL25" i="4"/>
  <c r="EL26" i="4"/>
  <c r="EL27" i="4"/>
  <c r="EL28" i="4"/>
  <c r="EL29" i="4"/>
  <c r="EL30" i="4"/>
  <c r="EL31" i="4"/>
  <c r="EL32" i="4"/>
  <c r="EL33" i="4"/>
  <c r="EL34" i="4"/>
  <c r="EL35" i="4"/>
  <c r="EL36" i="4"/>
  <c r="EL37" i="4"/>
  <c r="EL38" i="4"/>
  <c r="EL39" i="4"/>
  <c r="EL40" i="4"/>
  <c r="EL41" i="4"/>
  <c r="EL42" i="4"/>
  <c r="EL43" i="4"/>
  <c r="EL44" i="4"/>
  <c r="EL45" i="4"/>
  <c r="EL46" i="4"/>
  <c r="EL47" i="4"/>
  <c r="EL48" i="4"/>
  <c r="EL49" i="4"/>
  <c r="EL50" i="4"/>
  <c r="EL51" i="4"/>
  <c r="EL52" i="4"/>
  <c r="EL4" i="4"/>
  <c r="EM5" i="4"/>
  <c r="EM6" i="4"/>
  <c r="EM7" i="4"/>
  <c r="EM8" i="4"/>
  <c r="EM9" i="4"/>
  <c r="EM10" i="4"/>
  <c r="EM11" i="4"/>
  <c r="EM12" i="4"/>
  <c r="EM13" i="4"/>
  <c r="EM14" i="4"/>
  <c r="EM15" i="4"/>
  <c r="EM16" i="4"/>
  <c r="EM17" i="4"/>
  <c r="EM18" i="4"/>
  <c r="EM19" i="4"/>
  <c r="EM20" i="4"/>
  <c r="EM21" i="4"/>
  <c r="EM22" i="4"/>
  <c r="EM23" i="4"/>
  <c r="EM24" i="4"/>
  <c r="EM25" i="4"/>
  <c r="EM26" i="4"/>
  <c r="EM27" i="4"/>
  <c r="EM28" i="4"/>
  <c r="EM29" i="4"/>
  <c r="EM30" i="4"/>
  <c r="EM31" i="4"/>
  <c r="EM32" i="4"/>
  <c r="EM33" i="4"/>
  <c r="EM34" i="4"/>
  <c r="EM35" i="4"/>
  <c r="EM36" i="4"/>
  <c r="EM37" i="4"/>
  <c r="EM38" i="4"/>
  <c r="EM39" i="4"/>
  <c r="EM40" i="4"/>
  <c r="EM41" i="4"/>
  <c r="EM42" i="4"/>
  <c r="EM43" i="4"/>
  <c r="EM44" i="4"/>
  <c r="EM45" i="4"/>
  <c r="EM46" i="4"/>
  <c r="EM47" i="4"/>
  <c r="EM48" i="4"/>
  <c r="EM49" i="4"/>
  <c r="EM50" i="4"/>
  <c r="EM51" i="4"/>
  <c r="EM52" i="4"/>
  <c r="EM4" i="4"/>
  <c r="EQ5" i="4"/>
  <c r="EQ6" i="4"/>
  <c r="EQ7" i="4"/>
  <c r="EQ8" i="4"/>
  <c r="EQ9" i="4"/>
  <c r="EQ10" i="4"/>
  <c r="EQ11" i="4"/>
  <c r="EQ12" i="4"/>
  <c r="EQ13" i="4"/>
  <c r="EQ14" i="4"/>
  <c r="EQ15" i="4"/>
  <c r="EQ16" i="4"/>
  <c r="EQ17" i="4"/>
  <c r="EQ18" i="4"/>
  <c r="EQ19" i="4"/>
  <c r="EQ20" i="4"/>
  <c r="EQ21" i="4"/>
  <c r="EQ22" i="4"/>
  <c r="EQ23" i="4"/>
  <c r="EQ24" i="4"/>
  <c r="EQ25" i="4"/>
  <c r="EQ26" i="4"/>
  <c r="EQ27" i="4"/>
  <c r="EQ28" i="4"/>
  <c r="EQ29" i="4"/>
  <c r="EQ30" i="4"/>
  <c r="EQ31" i="4"/>
  <c r="EQ32" i="4"/>
  <c r="EQ33" i="4"/>
  <c r="EQ34" i="4"/>
  <c r="EQ35" i="4"/>
  <c r="EQ36" i="4"/>
  <c r="EQ37" i="4"/>
  <c r="EQ38" i="4"/>
  <c r="EQ39" i="4"/>
  <c r="EQ40" i="4"/>
  <c r="EQ41" i="4"/>
  <c r="EQ42" i="4"/>
  <c r="EQ43" i="4"/>
  <c r="EQ44" i="4"/>
  <c r="EQ45" i="4"/>
  <c r="EQ46" i="4"/>
  <c r="EQ47" i="4"/>
  <c r="EQ48" i="4"/>
  <c r="EQ49" i="4"/>
  <c r="EQ50" i="4"/>
  <c r="EQ51" i="4"/>
  <c r="EQ52" i="4"/>
  <c r="EQ4" i="4"/>
  <c r="EP5" i="4"/>
  <c r="EP6" i="4"/>
  <c r="EP7" i="4"/>
  <c r="EP8" i="4"/>
  <c r="EP9" i="4"/>
  <c r="EP10" i="4"/>
  <c r="EP11" i="4"/>
  <c r="EP12" i="4"/>
  <c r="EP13" i="4"/>
  <c r="EP14" i="4"/>
  <c r="EP15" i="4"/>
  <c r="EP16" i="4"/>
  <c r="EP17" i="4"/>
  <c r="EP18" i="4"/>
  <c r="EP19" i="4"/>
  <c r="EP20" i="4"/>
  <c r="EP21" i="4"/>
  <c r="EP22" i="4"/>
  <c r="EP23" i="4"/>
  <c r="EP24" i="4"/>
  <c r="EP25" i="4"/>
  <c r="EP26" i="4"/>
  <c r="EP27" i="4"/>
  <c r="EP28" i="4"/>
  <c r="EP29" i="4"/>
  <c r="EP30" i="4"/>
  <c r="EP31" i="4"/>
  <c r="EP32" i="4"/>
  <c r="EP33" i="4"/>
  <c r="EP34" i="4"/>
  <c r="EP35" i="4"/>
  <c r="EP36" i="4"/>
  <c r="EP37" i="4"/>
  <c r="EP38" i="4"/>
  <c r="EP39" i="4"/>
  <c r="EP40" i="4"/>
  <c r="EP41" i="4"/>
  <c r="EP42" i="4"/>
  <c r="EP43" i="4"/>
  <c r="EP44" i="4"/>
  <c r="EP45" i="4"/>
  <c r="EP46" i="4"/>
  <c r="EP47" i="4"/>
  <c r="EP48" i="4"/>
  <c r="EP49" i="4"/>
  <c r="EP50" i="4"/>
  <c r="EP51" i="4"/>
  <c r="EP52" i="4"/>
  <c r="EP4" i="4"/>
  <c r="EO4" i="4"/>
  <c r="EO50" i="4"/>
  <c r="EO52" i="4"/>
  <c r="EO49" i="4"/>
  <c r="EO48" i="4"/>
  <c r="EO47" i="4"/>
  <c r="EO46" i="4"/>
  <c r="EO45" i="4"/>
  <c r="EO44" i="4"/>
  <c r="EO43" i="4"/>
  <c r="EO42" i="4"/>
  <c r="EO41" i="4"/>
  <c r="EO40" i="4"/>
  <c r="EO39" i="4"/>
  <c r="EO38" i="4"/>
  <c r="EO37" i="4"/>
  <c r="EO36" i="4"/>
  <c r="EO35" i="4"/>
  <c r="EO34" i="4"/>
  <c r="EO33" i="4"/>
  <c r="EO32" i="4"/>
  <c r="EO31" i="4"/>
  <c r="EO30" i="4"/>
  <c r="EO29" i="4"/>
  <c r="EO28" i="4"/>
  <c r="EO27" i="4"/>
  <c r="EO26" i="4"/>
  <c r="EO25" i="4"/>
  <c r="EO24" i="4"/>
  <c r="EO23" i="4"/>
  <c r="EO22" i="4"/>
  <c r="EO21" i="4"/>
  <c r="EO20" i="4"/>
  <c r="EO19" i="4"/>
  <c r="EO18" i="4"/>
  <c r="EO17" i="4"/>
  <c r="EO16" i="4"/>
  <c r="EO15" i="4"/>
  <c r="EO14" i="4"/>
  <c r="EO13" i="4"/>
  <c r="EO12" i="4"/>
  <c r="EO11" i="4"/>
  <c r="EO10" i="4"/>
  <c r="EO9" i="4"/>
  <c r="EO8" i="4"/>
  <c r="EO7" i="4"/>
  <c r="EO6" i="4"/>
  <c r="EO5" i="4"/>
  <c r="EO51" i="4"/>
  <c r="EI54" i="4"/>
  <c r="EC54" i="4"/>
  <c r="EC59" i="4" s="1"/>
  <c r="EE54" i="4"/>
  <c r="EE59" i="4" s="1"/>
  <c r="EF54" i="4"/>
  <c r="EH54" i="4"/>
  <c r="EH59" i="4" s="1"/>
  <c r="EM54" i="4" l="1"/>
  <c r="EL54" i="4"/>
  <c r="EF59" i="4"/>
  <c r="EB54" i="4"/>
  <c r="EB59" i="4" s="1"/>
  <c r="EJ54" i="4"/>
  <c r="ED54" i="4"/>
  <c r="EG54" i="4"/>
  <c r="ED59" i="4" l="1"/>
  <c r="EG59" i="4"/>
  <c r="DX4" i="4" l="1"/>
  <c r="DY4" i="4"/>
  <c r="DZ4" i="4"/>
  <c r="DX51" i="4"/>
  <c r="DY51" i="4"/>
  <c r="DZ51" i="4"/>
  <c r="DX15" i="4"/>
  <c r="DY15" i="4"/>
  <c r="DZ15" i="4"/>
  <c r="DX7" i="4"/>
  <c r="DY7" i="4"/>
  <c r="DZ7" i="4"/>
  <c r="DX49" i="4"/>
  <c r="DY49" i="4"/>
  <c r="DZ49" i="4"/>
  <c r="DX42" i="4"/>
  <c r="DY42" i="4"/>
  <c r="DZ42" i="4"/>
  <c r="DX44" i="4"/>
  <c r="DY44" i="4"/>
  <c r="DZ44" i="4"/>
  <c r="DX46" i="4"/>
  <c r="DY46" i="4"/>
  <c r="DZ46" i="4"/>
  <c r="DX45" i="4"/>
  <c r="DY45" i="4"/>
  <c r="DZ45" i="4"/>
  <c r="DX50" i="4"/>
  <c r="DY50" i="4"/>
  <c r="DZ50" i="4"/>
  <c r="DX43" i="4"/>
  <c r="DY43" i="4"/>
  <c r="DZ43" i="4"/>
  <c r="DX48" i="4"/>
  <c r="DY48" i="4"/>
  <c r="DZ48" i="4"/>
  <c r="DX38" i="4"/>
  <c r="DY38" i="4"/>
  <c r="DZ38" i="4"/>
  <c r="DX26" i="4"/>
  <c r="DY26" i="4"/>
  <c r="DZ26" i="4"/>
  <c r="DX27" i="4"/>
  <c r="DY27" i="4"/>
  <c r="DZ27" i="4"/>
  <c r="DX17" i="4"/>
  <c r="DY17" i="4"/>
  <c r="DZ17" i="4"/>
  <c r="DX16" i="4"/>
  <c r="DY16" i="4"/>
  <c r="DZ16" i="4"/>
  <c r="DX13" i="4"/>
  <c r="DY13" i="4"/>
  <c r="DZ13" i="4"/>
  <c r="DX10" i="4"/>
  <c r="DY10" i="4"/>
  <c r="DZ10" i="4"/>
  <c r="DX11" i="4"/>
  <c r="DY11" i="4"/>
  <c r="DZ11" i="4"/>
  <c r="DX29" i="4"/>
  <c r="DY29" i="4"/>
  <c r="DZ29" i="4"/>
  <c r="DX22" i="4"/>
  <c r="DY22" i="4"/>
  <c r="DZ22" i="4"/>
  <c r="DX21" i="4"/>
  <c r="DY21" i="4"/>
  <c r="DZ21" i="4"/>
  <c r="DX14" i="4"/>
  <c r="DY14" i="4"/>
  <c r="DZ14" i="4"/>
  <c r="DX47" i="4"/>
  <c r="DY47" i="4"/>
  <c r="DZ47" i="4"/>
  <c r="DX6" i="4"/>
  <c r="DY6" i="4"/>
  <c r="DZ6" i="4"/>
  <c r="DX41" i="4"/>
  <c r="DY41" i="4"/>
  <c r="DZ41" i="4"/>
  <c r="DX19" i="4"/>
  <c r="DY19" i="4"/>
  <c r="DZ19" i="4"/>
  <c r="DX18" i="4"/>
  <c r="DY18" i="4"/>
  <c r="DZ18" i="4"/>
  <c r="DX5" i="4"/>
  <c r="DY5" i="4"/>
  <c r="DZ5" i="4"/>
  <c r="DX23" i="4"/>
  <c r="DY23" i="4"/>
  <c r="DZ23" i="4"/>
  <c r="DX28" i="4"/>
  <c r="DY28" i="4"/>
  <c r="DZ28" i="4"/>
  <c r="DX30" i="4"/>
  <c r="DY30" i="4"/>
  <c r="DZ30" i="4"/>
  <c r="DX25" i="4"/>
  <c r="DY25" i="4"/>
  <c r="DZ25" i="4"/>
  <c r="DX12" i="4"/>
  <c r="DY12" i="4"/>
  <c r="DZ12" i="4"/>
  <c r="DX8" i="4"/>
  <c r="DY8" i="4"/>
  <c r="DZ8" i="4"/>
  <c r="DX9" i="4"/>
  <c r="DY9" i="4"/>
  <c r="DZ9" i="4"/>
  <c r="DX20" i="4"/>
  <c r="DY20" i="4"/>
  <c r="DZ20" i="4"/>
  <c r="DX24" i="4"/>
  <c r="DY24" i="4"/>
  <c r="DZ24" i="4"/>
  <c r="DX31" i="4"/>
  <c r="DY31" i="4"/>
  <c r="DZ31" i="4"/>
  <c r="DX32" i="4"/>
  <c r="DY32" i="4"/>
  <c r="DZ32" i="4"/>
  <c r="DX40" i="4"/>
  <c r="DY40" i="4"/>
  <c r="DZ40" i="4"/>
  <c r="DX39" i="4"/>
  <c r="DY39" i="4"/>
  <c r="DZ39" i="4"/>
  <c r="DX33" i="4"/>
  <c r="DY33" i="4"/>
  <c r="DZ33" i="4"/>
  <c r="DX34" i="4"/>
  <c r="DY34" i="4"/>
  <c r="DZ34" i="4"/>
  <c r="DX37" i="4"/>
  <c r="DY37" i="4"/>
  <c r="DZ37" i="4"/>
  <c r="DX35" i="4"/>
  <c r="DY35" i="4"/>
  <c r="DZ35" i="4"/>
  <c r="DX36" i="4"/>
  <c r="DY36" i="4"/>
  <c r="DZ36" i="4"/>
  <c r="DZ52" i="4"/>
  <c r="DY52" i="4"/>
  <c r="DX52" i="4"/>
  <c r="DU4" i="4"/>
  <c r="DV4" i="4"/>
  <c r="DU51" i="4"/>
  <c r="DV51" i="4"/>
  <c r="DU15" i="4"/>
  <c r="DV15" i="4"/>
  <c r="DU7" i="4"/>
  <c r="DV7" i="4"/>
  <c r="DU49" i="4"/>
  <c r="DV49" i="4"/>
  <c r="DU42" i="4"/>
  <c r="DV42" i="4"/>
  <c r="DU44" i="4"/>
  <c r="DV44" i="4"/>
  <c r="DU46" i="4"/>
  <c r="DV46" i="4"/>
  <c r="DU45" i="4"/>
  <c r="DV45" i="4"/>
  <c r="DU50" i="4"/>
  <c r="DV50" i="4"/>
  <c r="DU43" i="4"/>
  <c r="DV43" i="4"/>
  <c r="DU48" i="4"/>
  <c r="DV48" i="4"/>
  <c r="DU38" i="4"/>
  <c r="DV38" i="4"/>
  <c r="DU26" i="4"/>
  <c r="DV26" i="4"/>
  <c r="DU27" i="4"/>
  <c r="DV27" i="4"/>
  <c r="DU17" i="4"/>
  <c r="DV17" i="4"/>
  <c r="DU16" i="4"/>
  <c r="DV16" i="4"/>
  <c r="DU13" i="4"/>
  <c r="DV13" i="4"/>
  <c r="DU10" i="4"/>
  <c r="DV10" i="4"/>
  <c r="DU11" i="4"/>
  <c r="DV11" i="4"/>
  <c r="DU29" i="4"/>
  <c r="DV29" i="4"/>
  <c r="DU22" i="4"/>
  <c r="DV22" i="4"/>
  <c r="DU21" i="4"/>
  <c r="DV21" i="4"/>
  <c r="DU14" i="4"/>
  <c r="DV14" i="4"/>
  <c r="DU47" i="4"/>
  <c r="DV47" i="4"/>
  <c r="DU6" i="4"/>
  <c r="DV6" i="4"/>
  <c r="DU41" i="4"/>
  <c r="DV41" i="4"/>
  <c r="DU19" i="4"/>
  <c r="DV19" i="4"/>
  <c r="DU18" i="4"/>
  <c r="DV18" i="4"/>
  <c r="DU5" i="4"/>
  <c r="DV5" i="4"/>
  <c r="DU23" i="4"/>
  <c r="DV23" i="4"/>
  <c r="DU28" i="4"/>
  <c r="DV28" i="4"/>
  <c r="DU30" i="4"/>
  <c r="DV30" i="4"/>
  <c r="DU25" i="4"/>
  <c r="DV25" i="4"/>
  <c r="DU12" i="4"/>
  <c r="DV12" i="4"/>
  <c r="DU8" i="4"/>
  <c r="DV8" i="4"/>
  <c r="DU9" i="4"/>
  <c r="DV9" i="4"/>
  <c r="DU20" i="4"/>
  <c r="DV20" i="4"/>
  <c r="DU24" i="4"/>
  <c r="DV24" i="4"/>
  <c r="DU31" i="4"/>
  <c r="DV31" i="4"/>
  <c r="DU32" i="4"/>
  <c r="DV32" i="4"/>
  <c r="DU40" i="4"/>
  <c r="DV40" i="4"/>
  <c r="DU39" i="4"/>
  <c r="DV39" i="4"/>
  <c r="DU33" i="4"/>
  <c r="DV33" i="4"/>
  <c r="DU34" i="4"/>
  <c r="DV34" i="4"/>
  <c r="DU37" i="4"/>
  <c r="DV37" i="4"/>
  <c r="DU35" i="4"/>
  <c r="DV35" i="4"/>
  <c r="DU36" i="4"/>
  <c r="DV36" i="4"/>
  <c r="DV52" i="4"/>
  <c r="DU52" i="4"/>
  <c r="DS54" i="4"/>
  <c r="DR54" i="4"/>
  <c r="DQ54" i="4"/>
  <c r="DQ59" i="4" s="1"/>
  <c r="EH60" i="4" s="1"/>
  <c r="DP54" i="4"/>
  <c r="DO54" i="4"/>
  <c r="DN54" i="4"/>
  <c r="DN59" i="4" s="1"/>
  <c r="EE60" i="4" s="1"/>
  <c r="DM54" i="4"/>
  <c r="DX54" i="4" s="1"/>
  <c r="DL54" i="4"/>
  <c r="DL59" i="4" s="1"/>
  <c r="EC60" i="4" s="1"/>
  <c r="DK54" i="4"/>
  <c r="DK59" i="4" s="1"/>
  <c r="EB60" i="4" s="1"/>
  <c r="DJ4" i="4"/>
  <c r="DJ51" i="4"/>
  <c r="DJ15" i="4"/>
  <c r="DJ7" i="4"/>
  <c r="DJ49" i="4"/>
  <c r="DJ42" i="4"/>
  <c r="DJ44" i="4"/>
  <c r="DJ46" i="4"/>
  <c r="DJ45" i="4"/>
  <c r="DJ50" i="4"/>
  <c r="DJ43" i="4"/>
  <c r="DJ48" i="4"/>
  <c r="DJ38" i="4"/>
  <c r="DJ26" i="4"/>
  <c r="DJ27" i="4"/>
  <c r="DJ17" i="4"/>
  <c r="DJ16" i="4"/>
  <c r="DJ13" i="4"/>
  <c r="DJ10" i="4"/>
  <c r="DJ11" i="4"/>
  <c r="DJ29" i="4"/>
  <c r="DJ22" i="4"/>
  <c r="DJ21" i="4"/>
  <c r="DJ14" i="4"/>
  <c r="DJ47" i="4"/>
  <c r="DJ6" i="4"/>
  <c r="DJ41" i="4"/>
  <c r="DJ19" i="4"/>
  <c r="DJ18" i="4"/>
  <c r="DJ5" i="4"/>
  <c r="DJ23" i="4"/>
  <c r="DJ28" i="4"/>
  <c r="DJ30" i="4"/>
  <c r="DJ25" i="4"/>
  <c r="DJ12" i="4"/>
  <c r="DJ8" i="4"/>
  <c r="DJ9" i="4"/>
  <c r="DJ20" i="4"/>
  <c r="DJ24" i="4"/>
  <c r="DJ32" i="4"/>
  <c r="DJ40" i="4"/>
  <c r="DJ39" i="4"/>
  <c r="DJ37" i="4"/>
  <c r="DJ52" i="4"/>
  <c r="DE4" i="4"/>
  <c r="DF4" i="4"/>
  <c r="DE51" i="4"/>
  <c r="DF51" i="4"/>
  <c r="DE15" i="4"/>
  <c r="DF15" i="4"/>
  <c r="DE7" i="4"/>
  <c r="DF7" i="4"/>
  <c r="DE49" i="4"/>
  <c r="DF49" i="4"/>
  <c r="DE42" i="4"/>
  <c r="DF42" i="4"/>
  <c r="DE44" i="4"/>
  <c r="DF44" i="4"/>
  <c r="DE46" i="4"/>
  <c r="DF46" i="4"/>
  <c r="DE45" i="4"/>
  <c r="DF45" i="4"/>
  <c r="DE50" i="4"/>
  <c r="DF50" i="4"/>
  <c r="DE43" i="4"/>
  <c r="DF43" i="4"/>
  <c r="DE48" i="4"/>
  <c r="DF48" i="4"/>
  <c r="DE38" i="4"/>
  <c r="DF38" i="4"/>
  <c r="DE26" i="4"/>
  <c r="DF26" i="4"/>
  <c r="DE27" i="4"/>
  <c r="DF27" i="4"/>
  <c r="DE17" i="4"/>
  <c r="DF17" i="4"/>
  <c r="DE16" i="4"/>
  <c r="DF16" i="4"/>
  <c r="DE13" i="4"/>
  <c r="DF13" i="4"/>
  <c r="DE10" i="4"/>
  <c r="DF10" i="4"/>
  <c r="DE11" i="4"/>
  <c r="DF11" i="4"/>
  <c r="DE29" i="4"/>
  <c r="DF29" i="4"/>
  <c r="DE22" i="4"/>
  <c r="DF22" i="4"/>
  <c r="DE21" i="4"/>
  <c r="DF21" i="4"/>
  <c r="DE14" i="4"/>
  <c r="DF14" i="4"/>
  <c r="DE47" i="4"/>
  <c r="DF47" i="4"/>
  <c r="DE6" i="4"/>
  <c r="DF6" i="4"/>
  <c r="DE41" i="4"/>
  <c r="DF41" i="4"/>
  <c r="DE19" i="4"/>
  <c r="DF19" i="4"/>
  <c r="DE18" i="4"/>
  <c r="DF18" i="4"/>
  <c r="DE5" i="4"/>
  <c r="DF5" i="4"/>
  <c r="DE23" i="4"/>
  <c r="DF23" i="4"/>
  <c r="DE28" i="4"/>
  <c r="DF28" i="4"/>
  <c r="DE30" i="4"/>
  <c r="DF30" i="4"/>
  <c r="DE25" i="4"/>
  <c r="DF25" i="4"/>
  <c r="DE12" i="4"/>
  <c r="DF12" i="4"/>
  <c r="DE8" i="4"/>
  <c r="DF8" i="4"/>
  <c r="DE9" i="4"/>
  <c r="DF9" i="4"/>
  <c r="DE20" i="4"/>
  <c r="DF20" i="4"/>
  <c r="DE24" i="4"/>
  <c r="DF24" i="4"/>
  <c r="DE31" i="4"/>
  <c r="DF31" i="4"/>
  <c r="DE32" i="4"/>
  <c r="DF32" i="4"/>
  <c r="DE40" i="4"/>
  <c r="DF40" i="4"/>
  <c r="DE39" i="4"/>
  <c r="DF39" i="4"/>
  <c r="DE33" i="4"/>
  <c r="DF33" i="4"/>
  <c r="DE34" i="4"/>
  <c r="DF34" i="4"/>
  <c r="DE37" i="4"/>
  <c r="DF37" i="4"/>
  <c r="DE35" i="4"/>
  <c r="DF35" i="4"/>
  <c r="DE36" i="4"/>
  <c r="DF36" i="4"/>
  <c r="DF52" i="4"/>
  <c r="DE52" i="4"/>
  <c r="DC54" i="4"/>
  <c r="DB54" i="4"/>
  <c r="DA54" i="4"/>
  <c r="DA59" i="4" s="1"/>
  <c r="CZ54" i="4"/>
  <c r="CZ59" i="4" s="1"/>
  <c r="CY54" i="4"/>
  <c r="CY59" i="4" s="1"/>
  <c r="CX54" i="4"/>
  <c r="CX59" i="4" s="1"/>
  <c r="CW54" i="4"/>
  <c r="CW59" i="4" s="1"/>
  <c r="CV54" i="4"/>
  <c r="CV59" i="4" s="1"/>
  <c r="CU54" i="4"/>
  <c r="CU59" i="4" s="1"/>
  <c r="CS54" i="4"/>
  <c r="CR54" i="4"/>
  <c r="CQ54" i="4"/>
  <c r="CQ59" i="4" s="1"/>
  <c r="CP54" i="4"/>
  <c r="CP59" i="4" s="1"/>
  <c r="CO54" i="4"/>
  <c r="CO59" i="4" s="1"/>
  <c r="CN54" i="4"/>
  <c r="CN59" i="4" s="1"/>
  <c r="CM54" i="4"/>
  <c r="CM59" i="4" s="1"/>
  <c r="CL54" i="4"/>
  <c r="CL59" i="4" s="1"/>
  <c r="CK54" i="4"/>
  <c r="CK59" i="4" s="1"/>
  <c r="CI54" i="4"/>
  <c r="CH54" i="4"/>
  <c r="CG54" i="4"/>
  <c r="CG59" i="4" s="1"/>
  <c r="CF54" i="4"/>
  <c r="CF59" i="4" s="1"/>
  <c r="CE54" i="4"/>
  <c r="CE59" i="4" s="1"/>
  <c r="CD54" i="4"/>
  <c r="CD59" i="4" s="1"/>
  <c r="CC54" i="4"/>
  <c r="CC59" i="4" s="1"/>
  <c r="CB54" i="4"/>
  <c r="CB59" i="4" s="1"/>
  <c r="CA54" i="4"/>
  <c r="CA59" i="4" s="1"/>
  <c r="BY54" i="4"/>
  <c r="BX54" i="4"/>
  <c r="BW54" i="4"/>
  <c r="BW59" i="4" s="1"/>
  <c r="BV54" i="4"/>
  <c r="BV59" i="4" s="1"/>
  <c r="BU54" i="4"/>
  <c r="BU59" i="4" s="1"/>
  <c r="BT54" i="4"/>
  <c r="BT59" i="4" s="1"/>
  <c r="BS54" i="4"/>
  <c r="BS59" i="4" s="1"/>
  <c r="BR54" i="4"/>
  <c r="BR59" i="4" s="1"/>
  <c r="BQ54" i="4"/>
  <c r="BQ59" i="4" s="1"/>
  <c r="BO54" i="4"/>
  <c r="BN54" i="4"/>
  <c r="BM54" i="4"/>
  <c r="BM59" i="4" s="1"/>
  <c r="BL54" i="4"/>
  <c r="BL59" i="4" s="1"/>
  <c r="BK54" i="4"/>
  <c r="BK59" i="4" s="1"/>
  <c r="BJ54" i="4"/>
  <c r="BJ59" i="4" s="1"/>
  <c r="BI54" i="4"/>
  <c r="BI59" i="4" s="1"/>
  <c r="BH54" i="4"/>
  <c r="BH59" i="4" s="1"/>
  <c r="BG54" i="4"/>
  <c r="BG59" i="4" s="1"/>
  <c r="BE54" i="4"/>
  <c r="BD54" i="4"/>
  <c r="BC54" i="4"/>
  <c r="BC59" i="4" s="1"/>
  <c r="BB54" i="4"/>
  <c r="BB59" i="4" s="1"/>
  <c r="BA54" i="4"/>
  <c r="BA59" i="4" s="1"/>
  <c r="AZ54" i="4"/>
  <c r="AZ59" i="4" s="1"/>
  <c r="AY54" i="4"/>
  <c r="AY59" i="4" s="1"/>
  <c r="AX54" i="4"/>
  <c r="AX59" i="4" s="1"/>
  <c r="AW54" i="4"/>
  <c r="AW59" i="4" s="1"/>
  <c r="AU54" i="4"/>
  <c r="AT54" i="4"/>
  <c r="AS54" i="4"/>
  <c r="AS59" i="4" s="1"/>
  <c r="AR54" i="4"/>
  <c r="AR59" i="4" s="1"/>
  <c r="AQ54" i="4"/>
  <c r="AQ59" i="4" s="1"/>
  <c r="AP54" i="4"/>
  <c r="AP59" i="4" s="1"/>
  <c r="AO54" i="4"/>
  <c r="AO59" i="4" s="1"/>
  <c r="AN54" i="4"/>
  <c r="AN59" i="4" s="1"/>
  <c r="AM54" i="4"/>
  <c r="AM59" i="4" s="1"/>
  <c r="AK54" i="4"/>
  <c r="AJ54" i="4"/>
  <c r="AI54" i="4"/>
  <c r="AI59" i="4" s="1"/>
  <c r="AH54" i="4"/>
  <c r="AH59" i="4" s="1"/>
  <c r="AG54" i="4"/>
  <c r="AG59" i="4" s="1"/>
  <c r="AF54" i="4"/>
  <c r="AF59" i="4" s="1"/>
  <c r="AE54" i="4"/>
  <c r="AE59" i="4" s="1"/>
  <c r="AD54" i="4"/>
  <c r="AD59" i="4" s="1"/>
  <c r="AC54" i="4"/>
  <c r="AC59" i="4" s="1"/>
  <c r="AA54" i="4"/>
  <c r="Z54" i="4"/>
  <c r="Y54" i="4"/>
  <c r="Y59" i="4" s="1"/>
  <c r="X54" i="4"/>
  <c r="X59" i="4" s="1"/>
  <c r="W54" i="4"/>
  <c r="W59" i="4" s="1"/>
  <c r="V54" i="4"/>
  <c r="V59" i="4" s="1"/>
  <c r="U54" i="4"/>
  <c r="U59" i="4" s="1"/>
  <c r="T54" i="4"/>
  <c r="T59" i="4" s="1"/>
  <c r="S54" i="4"/>
  <c r="S59" i="4" s="1"/>
  <c r="Q54" i="4"/>
  <c r="P54" i="4"/>
  <c r="O54" i="4"/>
  <c r="O59" i="4" s="1"/>
  <c r="N54" i="4"/>
  <c r="N59" i="4" s="1"/>
  <c r="M54" i="4"/>
  <c r="M59" i="4" s="1"/>
  <c r="L54" i="4"/>
  <c r="L59" i="4" s="1"/>
  <c r="K54" i="4"/>
  <c r="K59" i="4" s="1"/>
  <c r="J54" i="4"/>
  <c r="J59" i="4" s="1"/>
  <c r="I54" i="4"/>
  <c r="I59" i="4" s="1"/>
  <c r="G54" i="4"/>
  <c r="G59" i="4" s="1"/>
  <c r="F54" i="4"/>
  <c r="F59" i="4" s="1"/>
  <c r="DQ60" i="4" l="1"/>
  <c r="DP59" i="4"/>
  <c r="EG60" i="4" s="1"/>
  <c r="EQ54" i="4"/>
  <c r="DO59" i="4"/>
  <c r="EF60" i="4" s="1"/>
  <c r="EP54" i="4"/>
  <c r="DP60" i="4"/>
  <c r="DK60" i="4"/>
  <c r="DL60" i="4"/>
  <c r="DN60" i="4"/>
  <c r="DO60" i="4"/>
  <c r="DU54" i="4"/>
  <c r="EO54" i="4" s="1"/>
  <c r="DM59" i="4"/>
  <c r="DV54" i="4"/>
  <c r="W60" i="4"/>
  <c r="CY60" i="4"/>
  <c r="X60" i="4"/>
  <c r="CL60" i="4"/>
  <c r="AM60" i="4"/>
  <c r="CN60" i="4"/>
  <c r="BK60" i="4"/>
  <c r="CZ60" i="4"/>
  <c r="AN60" i="4"/>
  <c r="AX60" i="4"/>
  <c r="AO60" i="4"/>
  <c r="BB60" i="4"/>
  <c r="AC60" i="4"/>
  <c r="AP60" i="4"/>
  <c r="BC60" i="4"/>
  <c r="BQ60" i="4"/>
  <c r="CD60" i="4"/>
  <c r="CQ60" i="4"/>
  <c r="CB60" i="4"/>
  <c r="T60" i="4"/>
  <c r="BU60" i="4"/>
  <c r="CV60" i="4"/>
  <c r="U60" i="4"/>
  <c r="AH60" i="4"/>
  <c r="BI60" i="4"/>
  <c r="BV60" i="4"/>
  <c r="CW60" i="4"/>
  <c r="AG60" i="4"/>
  <c r="BH60" i="4"/>
  <c r="V60" i="4"/>
  <c r="AI60" i="4"/>
  <c r="AW60" i="4"/>
  <c r="BJ60" i="4"/>
  <c r="BW60" i="4"/>
  <c r="CK60" i="4"/>
  <c r="CX60" i="4"/>
  <c r="AD60" i="4"/>
  <c r="CU60" i="4"/>
  <c r="AY60" i="4"/>
  <c r="AZ60" i="4"/>
  <c r="BL60" i="4"/>
  <c r="CO60" i="4"/>
  <c r="BG60" i="4"/>
  <c r="BR60" i="4"/>
  <c r="CC60" i="4"/>
  <c r="AQ60" i="4"/>
  <c r="BA60" i="4"/>
  <c r="CE60" i="4"/>
  <c r="AE60" i="4"/>
  <c r="AR60" i="4"/>
  <c r="BS60" i="4"/>
  <c r="CF60" i="4"/>
  <c r="CA60" i="4"/>
  <c r="AS60" i="4"/>
  <c r="BT60" i="4"/>
  <c r="CG60" i="4"/>
  <c r="AF60" i="4"/>
  <c r="S60" i="4"/>
  <c r="BM60" i="4"/>
  <c r="DA60" i="4"/>
  <c r="CP60" i="4"/>
  <c r="CM60" i="4"/>
  <c r="Y60" i="4"/>
  <c r="N60" i="4"/>
  <c r="O60" i="4"/>
  <c r="DJ55" i="4"/>
  <c r="DI55" i="4"/>
  <c r="DH55" i="4"/>
  <c r="DI39" i="4"/>
  <c r="DI40" i="4"/>
  <c r="DH40" i="4"/>
  <c r="DI24" i="4"/>
  <c r="DI20" i="4"/>
  <c r="DH20" i="4"/>
  <c r="DI9" i="4"/>
  <c r="DH9" i="4"/>
  <c r="DI8" i="4"/>
  <c r="DH8" i="4"/>
  <c r="DI12" i="4"/>
  <c r="DH12" i="4"/>
  <c r="DI25" i="4"/>
  <c r="DH25" i="4"/>
  <c r="DI30" i="4"/>
  <c r="DH30" i="4"/>
  <c r="DI28" i="4"/>
  <c r="DH28" i="4"/>
  <c r="DI23" i="4"/>
  <c r="DH23" i="4"/>
  <c r="DI5" i="4"/>
  <c r="DH5" i="4"/>
  <c r="DI18" i="4"/>
  <c r="DH18" i="4"/>
  <c r="DI19" i="4"/>
  <c r="DH19" i="4"/>
  <c r="DI41" i="4"/>
  <c r="DH41" i="4"/>
  <c r="DI6" i="4"/>
  <c r="DH6" i="4"/>
  <c r="DI47" i="4"/>
  <c r="DH47" i="4"/>
  <c r="DI14" i="4"/>
  <c r="DH14" i="4"/>
  <c r="DI21" i="4"/>
  <c r="DH21" i="4"/>
  <c r="DI22" i="4"/>
  <c r="DH22" i="4"/>
  <c r="DI29" i="4"/>
  <c r="DH29" i="4"/>
  <c r="DI11" i="4"/>
  <c r="DH11" i="4"/>
  <c r="DI10" i="4"/>
  <c r="DH10" i="4"/>
  <c r="DI13" i="4"/>
  <c r="DH13" i="4"/>
  <c r="DI16" i="4"/>
  <c r="DH16" i="4"/>
  <c r="DI17" i="4"/>
  <c r="DH17" i="4"/>
  <c r="DI27" i="4"/>
  <c r="DH27" i="4"/>
  <c r="DI26" i="4"/>
  <c r="DH26" i="4"/>
  <c r="DI38" i="4"/>
  <c r="DH38" i="4"/>
  <c r="DI48" i="4"/>
  <c r="DH48" i="4"/>
  <c r="DI43" i="4"/>
  <c r="DH43" i="4"/>
  <c r="DI50" i="4"/>
  <c r="DH50" i="4"/>
  <c r="DI45" i="4"/>
  <c r="DH45" i="4"/>
  <c r="DI46" i="4"/>
  <c r="DH46" i="4"/>
  <c r="DI44" i="4"/>
  <c r="DH44" i="4"/>
  <c r="DI42" i="4"/>
  <c r="DH42" i="4"/>
  <c r="DI49" i="4"/>
  <c r="DH49" i="4"/>
  <c r="DI7" i="4"/>
  <c r="DH7" i="4"/>
  <c r="DI15" i="4"/>
  <c r="DH15" i="4"/>
  <c r="DI51" i="4"/>
  <c r="DH51" i="4"/>
  <c r="DI4" i="4"/>
  <c r="DH4" i="4"/>
  <c r="DI52" i="4"/>
  <c r="DH52" i="4"/>
  <c r="DF54" i="4"/>
  <c r="DY54" i="4" s="1"/>
  <c r="DE54" i="4"/>
  <c r="DW6" i="2"/>
  <c r="DV6" i="2"/>
  <c r="DW89" i="2"/>
  <c r="DV89" i="2"/>
  <c r="EA65" i="2"/>
  <c r="DY66" i="2"/>
  <c r="DZ66" i="2"/>
  <c r="EA66" i="2"/>
  <c r="EA89" i="2"/>
  <c r="DZ89" i="2"/>
  <c r="DY89" i="2"/>
  <c r="EA79" i="2"/>
  <c r="EA70" i="2"/>
  <c r="DZ70" i="2"/>
  <c r="EA63" i="2"/>
  <c r="DZ63" i="2"/>
  <c r="EA56" i="2"/>
  <c r="DZ56" i="2"/>
  <c r="DY56" i="2"/>
  <c r="EA55" i="2"/>
  <c r="DZ55" i="2"/>
  <c r="DY55" i="2"/>
  <c r="EA54" i="2"/>
  <c r="DZ54" i="2"/>
  <c r="DY54" i="2"/>
  <c r="EA53" i="2"/>
  <c r="DZ53" i="2"/>
  <c r="DY53" i="2"/>
  <c r="EA49" i="2"/>
  <c r="DZ49" i="2"/>
  <c r="DY49" i="2"/>
  <c r="EA48" i="2"/>
  <c r="DZ48" i="2"/>
  <c r="DY48" i="2"/>
  <c r="EA44" i="2"/>
  <c r="DZ44" i="2"/>
  <c r="DY44" i="2"/>
  <c r="EA43" i="2"/>
  <c r="DZ43" i="2"/>
  <c r="DY43" i="2"/>
  <c r="EA42" i="2"/>
  <c r="DZ42" i="2"/>
  <c r="DY42" i="2"/>
  <c r="EA41" i="2"/>
  <c r="DZ41" i="2"/>
  <c r="DY41" i="2"/>
  <c r="EA40" i="2"/>
  <c r="DZ40" i="2"/>
  <c r="DY40" i="2"/>
  <c r="EA39" i="2"/>
  <c r="DZ39" i="2"/>
  <c r="DY39" i="2"/>
  <c r="EA35" i="2"/>
  <c r="DZ35" i="2"/>
  <c r="DY35" i="2"/>
  <c r="EA34" i="2"/>
  <c r="DZ34" i="2"/>
  <c r="DY34" i="2"/>
  <c r="EA33" i="2"/>
  <c r="DZ33" i="2"/>
  <c r="DY33" i="2"/>
  <c r="EA32" i="2"/>
  <c r="DZ32" i="2"/>
  <c r="DY32" i="2"/>
  <c r="EA31" i="2"/>
  <c r="DZ31" i="2"/>
  <c r="DY31" i="2"/>
  <c r="EA30" i="2"/>
  <c r="DZ30" i="2"/>
  <c r="DY30" i="2"/>
  <c r="EA29" i="2"/>
  <c r="DZ29" i="2"/>
  <c r="DY29" i="2"/>
  <c r="EA28" i="2"/>
  <c r="DZ28" i="2"/>
  <c r="DY28" i="2"/>
  <c r="EA27" i="2"/>
  <c r="DZ27" i="2"/>
  <c r="DY27" i="2"/>
  <c r="EA26" i="2"/>
  <c r="DZ26" i="2"/>
  <c r="DY26" i="2"/>
  <c r="EA25" i="2"/>
  <c r="DZ25" i="2"/>
  <c r="DY25" i="2"/>
  <c r="DY7" i="2"/>
  <c r="DZ7" i="2"/>
  <c r="EA7" i="2"/>
  <c r="DY8" i="2"/>
  <c r="DZ8" i="2"/>
  <c r="EA8" i="2"/>
  <c r="DY9" i="2"/>
  <c r="DZ9" i="2"/>
  <c r="EA9" i="2"/>
  <c r="DY10" i="2"/>
  <c r="DZ10" i="2"/>
  <c r="EA10" i="2"/>
  <c r="DY11" i="2"/>
  <c r="DZ11" i="2"/>
  <c r="EA11" i="2"/>
  <c r="DY12" i="2"/>
  <c r="DZ12" i="2"/>
  <c r="EA12" i="2"/>
  <c r="DY13" i="2"/>
  <c r="DZ13" i="2"/>
  <c r="EA13" i="2"/>
  <c r="DY14" i="2"/>
  <c r="DZ14" i="2"/>
  <c r="EA14" i="2"/>
  <c r="DY15" i="2"/>
  <c r="DZ15" i="2"/>
  <c r="EA15" i="2"/>
  <c r="DY16" i="2"/>
  <c r="DZ16" i="2"/>
  <c r="EA16" i="2"/>
  <c r="DY17" i="2"/>
  <c r="DZ17" i="2"/>
  <c r="EA17" i="2"/>
  <c r="DY18" i="2"/>
  <c r="DZ18" i="2"/>
  <c r="EA18" i="2"/>
  <c r="DY19" i="2"/>
  <c r="DZ19" i="2"/>
  <c r="EA19" i="2"/>
  <c r="DY20" i="2"/>
  <c r="DZ20" i="2"/>
  <c r="EA20" i="2"/>
  <c r="DY21" i="2"/>
  <c r="DZ21" i="2"/>
  <c r="EA21" i="2"/>
  <c r="EA6" i="2"/>
  <c r="DZ6" i="2"/>
  <c r="DY6" i="2"/>
  <c r="DM60" i="4" l="1"/>
  <c r="ED60" i="4"/>
  <c r="DI54" i="4"/>
  <c r="DJ54" i="4"/>
  <c r="DH54" i="4"/>
  <c r="DZ54" i="4" s="1"/>
  <c r="DT85" i="2" l="1"/>
  <c r="DS85" i="2"/>
  <c r="DR85" i="2"/>
  <c r="DQ85" i="2"/>
  <c r="DP85" i="2"/>
  <c r="DO85" i="2"/>
  <c r="DN85" i="2"/>
  <c r="DM85" i="2"/>
  <c r="DL85" i="2"/>
  <c r="DT76" i="2"/>
  <c r="DS76" i="2"/>
  <c r="DR76" i="2"/>
  <c r="DQ76" i="2"/>
  <c r="DP76" i="2"/>
  <c r="DO76" i="2"/>
  <c r="DN76" i="2"/>
  <c r="DM76" i="2"/>
  <c r="DL76" i="2"/>
  <c r="DT72" i="2"/>
  <c r="DS72" i="2"/>
  <c r="DR72" i="2"/>
  <c r="DQ72" i="2"/>
  <c r="DP72" i="2"/>
  <c r="DO72" i="2"/>
  <c r="DN72" i="2"/>
  <c r="DM72" i="2"/>
  <c r="DL72" i="2"/>
  <c r="DT67" i="2"/>
  <c r="DS67" i="2"/>
  <c r="DR67" i="2"/>
  <c r="DQ67" i="2"/>
  <c r="DP67" i="2"/>
  <c r="DO67" i="2"/>
  <c r="DN67" i="2"/>
  <c r="DM67" i="2"/>
  <c r="DL67" i="2"/>
  <c r="DT59" i="2"/>
  <c r="DS59" i="2"/>
  <c r="DR59" i="2"/>
  <c r="DQ59" i="2"/>
  <c r="DP59" i="2"/>
  <c r="DO59" i="2"/>
  <c r="DN59" i="2"/>
  <c r="DM59" i="2"/>
  <c r="DL59" i="2"/>
  <c r="DT57" i="2"/>
  <c r="DS57" i="2"/>
  <c r="DR57" i="2"/>
  <c r="DQ57" i="2"/>
  <c r="DP57" i="2"/>
  <c r="DO57" i="2"/>
  <c r="DN57" i="2"/>
  <c r="DM57" i="2"/>
  <c r="DL57" i="2"/>
  <c r="DT50" i="2"/>
  <c r="DS50" i="2"/>
  <c r="DR50" i="2"/>
  <c r="DQ50" i="2"/>
  <c r="DP50" i="2"/>
  <c r="DO50" i="2"/>
  <c r="DN50" i="2"/>
  <c r="DM50" i="2"/>
  <c r="DL50" i="2"/>
  <c r="DT45" i="2"/>
  <c r="DS45" i="2"/>
  <c r="DR45" i="2"/>
  <c r="DQ45" i="2"/>
  <c r="DP45" i="2"/>
  <c r="DO45" i="2"/>
  <c r="DN45" i="2"/>
  <c r="DM45" i="2"/>
  <c r="DL45" i="2"/>
  <c r="DT36" i="2"/>
  <c r="DS36" i="2"/>
  <c r="DR36" i="2"/>
  <c r="DQ36" i="2"/>
  <c r="DP36" i="2"/>
  <c r="DO36" i="2"/>
  <c r="DN36" i="2"/>
  <c r="DM36" i="2"/>
  <c r="DL36" i="2"/>
  <c r="DT22" i="2"/>
  <c r="DS22" i="2"/>
  <c r="DR22" i="2"/>
  <c r="DQ22" i="2"/>
  <c r="DP22" i="2"/>
  <c r="DO22" i="2"/>
  <c r="DN22" i="2"/>
  <c r="DM22" i="2"/>
  <c r="DL22" i="2"/>
  <c r="DO98" i="2" l="1"/>
  <c r="DM98" i="2"/>
  <c r="DR98" i="2"/>
  <c r="DN98" i="2"/>
  <c r="DL98" i="2"/>
  <c r="DL87" i="2"/>
  <c r="DL95" i="2" s="1"/>
  <c r="DS87" i="2"/>
  <c r="DP87" i="2"/>
  <c r="DT87" i="2"/>
  <c r="DQ87" i="2"/>
  <c r="DM87" i="2"/>
  <c r="DM95" i="2" s="1"/>
  <c r="DN87" i="2"/>
  <c r="DO87" i="2"/>
  <c r="DO95" i="2" s="1"/>
  <c r="DR87" i="2"/>
  <c r="DP98" i="2"/>
  <c r="DQ98" i="2"/>
  <c r="DH85" i="2"/>
  <c r="DG85" i="2"/>
  <c r="DF85" i="2"/>
  <c r="EA85" i="2" s="1"/>
  <c r="DE85" i="2"/>
  <c r="DD85" i="2"/>
  <c r="DC85" i="2"/>
  <c r="DB85" i="2"/>
  <c r="DA85" i="2"/>
  <c r="CZ85" i="2"/>
  <c r="CV85" i="2"/>
  <c r="CU85" i="2"/>
  <c r="CT85" i="2"/>
  <c r="CS85" i="2"/>
  <c r="CR85" i="2"/>
  <c r="CQ85" i="2"/>
  <c r="CP85" i="2"/>
  <c r="CO85" i="2"/>
  <c r="CN85" i="2"/>
  <c r="CJ85" i="2"/>
  <c r="CI85" i="2"/>
  <c r="CH85" i="2"/>
  <c r="CG85" i="2"/>
  <c r="CF85" i="2"/>
  <c r="CE85" i="2"/>
  <c r="CD85" i="2"/>
  <c r="CC85" i="2"/>
  <c r="CB85" i="2"/>
  <c r="BX85" i="2"/>
  <c r="BW85" i="2"/>
  <c r="BV85" i="2"/>
  <c r="BU85" i="2"/>
  <c r="BT85" i="2"/>
  <c r="BS85" i="2"/>
  <c r="BR85" i="2"/>
  <c r="BQ85" i="2"/>
  <c r="BP85" i="2"/>
  <c r="BL85" i="2"/>
  <c r="BK85" i="2"/>
  <c r="BJ85" i="2"/>
  <c r="BI85" i="2"/>
  <c r="BH85" i="2"/>
  <c r="BG85" i="2"/>
  <c r="BF85" i="2"/>
  <c r="BE85" i="2"/>
  <c r="BD85" i="2"/>
  <c r="AZ85" i="2"/>
  <c r="AY85" i="2"/>
  <c r="AX85" i="2"/>
  <c r="AW85" i="2"/>
  <c r="AV85" i="2"/>
  <c r="AU85" i="2"/>
  <c r="AT85" i="2"/>
  <c r="AS85" i="2"/>
  <c r="AR85" i="2"/>
  <c r="AN85" i="2"/>
  <c r="AM85" i="2"/>
  <c r="AL85" i="2"/>
  <c r="AK85" i="2"/>
  <c r="AJ85" i="2"/>
  <c r="AI85" i="2"/>
  <c r="AH85" i="2"/>
  <c r="AG85" i="2"/>
  <c r="AF85" i="2"/>
  <c r="AB85" i="2"/>
  <c r="AA85" i="2"/>
  <c r="Z85" i="2"/>
  <c r="Y85" i="2"/>
  <c r="X85" i="2"/>
  <c r="W85" i="2"/>
  <c r="V85" i="2"/>
  <c r="U85" i="2"/>
  <c r="T85" i="2"/>
  <c r="P85" i="2"/>
  <c r="O85" i="2"/>
  <c r="N85" i="2"/>
  <c r="M85" i="2"/>
  <c r="L85" i="2"/>
  <c r="K85" i="2"/>
  <c r="J85" i="2"/>
  <c r="I85" i="2"/>
  <c r="H85" i="2"/>
  <c r="D85" i="2"/>
  <c r="C85" i="2"/>
  <c r="DH76" i="2"/>
  <c r="DG76" i="2"/>
  <c r="DF76" i="2"/>
  <c r="EA76" i="2" s="1"/>
  <c r="DE76" i="2"/>
  <c r="DD76" i="2"/>
  <c r="DZ76" i="2" s="1"/>
  <c r="DC76" i="2"/>
  <c r="DB76" i="2"/>
  <c r="DY76" i="2" s="1"/>
  <c r="DA76" i="2"/>
  <c r="CZ76" i="2"/>
  <c r="CV76" i="2"/>
  <c r="CU76" i="2"/>
  <c r="CT76" i="2"/>
  <c r="CS76" i="2"/>
  <c r="CR76" i="2"/>
  <c r="CQ76" i="2"/>
  <c r="CP76" i="2"/>
  <c r="CO76" i="2"/>
  <c r="CN76" i="2"/>
  <c r="CJ76" i="2"/>
  <c r="CI76" i="2"/>
  <c r="CH76" i="2"/>
  <c r="CG76" i="2"/>
  <c r="CF76" i="2"/>
  <c r="CE76" i="2"/>
  <c r="CD76" i="2"/>
  <c r="CC76" i="2"/>
  <c r="CB76" i="2"/>
  <c r="BX76" i="2"/>
  <c r="BW76" i="2"/>
  <c r="BV76" i="2"/>
  <c r="BU76" i="2"/>
  <c r="BT76" i="2"/>
  <c r="BS76" i="2"/>
  <c r="BR76" i="2"/>
  <c r="BQ76" i="2"/>
  <c r="BP76" i="2"/>
  <c r="BL76" i="2"/>
  <c r="BK76" i="2"/>
  <c r="BJ76" i="2"/>
  <c r="BI76" i="2"/>
  <c r="BH76" i="2"/>
  <c r="BG76" i="2"/>
  <c r="BF76" i="2"/>
  <c r="BE76" i="2"/>
  <c r="BD76" i="2"/>
  <c r="AZ76" i="2"/>
  <c r="AY76" i="2"/>
  <c r="AX76" i="2"/>
  <c r="AW76" i="2"/>
  <c r="AV76" i="2"/>
  <c r="AU76" i="2"/>
  <c r="AT76" i="2"/>
  <c r="AS76" i="2"/>
  <c r="AR76" i="2"/>
  <c r="AN76" i="2"/>
  <c r="AM76" i="2"/>
  <c r="AL76" i="2"/>
  <c r="AK76" i="2"/>
  <c r="AJ76" i="2"/>
  <c r="AI76" i="2"/>
  <c r="AH76" i="2"/>
  <c r="AG76" i="2"/>
  <c r="AF76" i="2"/>
  <c r="AB76" i="2"/>
  <c r="AA76" i="2"/>
  <c r="Z76" i="2"/>
  <c r="Y76" i="2"/>
  <c r="X76" i="2"/>
  <c r="W76" i="2"/>
  <c r="V76" i="2"/>
  <c r="U76" i="2"/>
  <c r="T76" i="2"/>
  <c r="P76" i="2"/>
  <c r="O76" i="2"/>
  <c r="N76" i="2"/>
  <c r="M76" i="2"/>
  <c r="L76" i="2"/>
  <c r="K76" i="2"/>
  <c r="J76" i="2"/>
  <c r="I76" i="2"/>
  <c r="H76" i="2"/>
  <c r="D76" i="2"/>
  <c r="C76" i="2"/>
  <c r="DH72" i="2"/>
  <c r="DG72" i="2"/>
  <c r="DF72" i="2"/>
  <c r="EA72" i="2" s="1"/>
  <c r="DE72" i="2"/>
  <c r="DD72" i="2"/>
  <c r="DZ72" i="2" s="1"/>
  <c r="DC72" i="2"/>
  <c r="DB72" i="2"/>
  <c r="DA72" i="2"/>
  <c r="CZ72" i="2"/>
  <c r="CV72" i="2"/>
  <c r="CU72" i="2"/>
  <c r="CT72" i="2"/>
  <c r="CS72" i="2"/>
  <c r="CR72" i="2"/>
  <c r="CQ72" i="2"/>
  <c r="CP72" i="2"/>
  <c r="CO72" i="2"/>
  <c r="CN72" i="2"/>
  <c r="CJ72" i="2"/>
  <c r="CI72" i="2"/>
  <c r="CH72" i="2"/>
  <c r="CG72" i="2"/>
  <c r="CF72" i="2"/>
  <c r="CE72" i="2"/>
  <c r="CD72" i="2"/>
  <c r="CC72" i="2"/>
  <c r="CB72" i="2"/>
  <c r="BX72" i="2"/>
  <c r="BW72" i="2"/>
  <c r="BV72" i="2"/>
  <c r="BU72" i="2"/>
  <c r="BT72" i="2"/>
  <c r="BS72" i="2"/>
  <c r="BR72" i="2"/>
  <c r="BQ72" i="2"/>
  <c r="BP72" i="2"/>
  <c r="BL72" i="2"/>
  <c r="BK72" i="2"/>
  <c r="BJ72" i="2"/>
  <c r="BI72" i="2"/>
  <c r="BH72" i="2"/>
  <c r="BG72" i="2"/>
  <c r="BF72" i="2"/>
  <c r="BE72" i="2"/>
  <c r="BD72" i="2"/>
  <c r="AZ72" i="2"/>
  <c r="AY72" i="2"/>
  <c r="AX72" i="2"/>
  <c r="AW72" i="2"/>
  <c r="AV72" i="2"/>
  <c r="AU72" i="2"/>
  <c r="AT72" i="2"/>
  <c r="AS72" i="2"/>
  <c r="AR72" i="2"/>
  <c r="AN72" i="2"/>
  <c r="AM72" i="2"/>
  <c r="AL72" i="2"/>
  <c r="AK72" i="2"/>
  <c r="AJ72" i="2"/>
  <c r="AI72" i="2"/>
  <c r="AH72" i="2"/>
  <c r="AG72" i="2"/>
  <c r="AF72" i="2"/>
  <c r="AB72" i="2"/>
  <c r="AA72" i="2"/>
  <c r="Z72" i="2"/>
  <c r="Y72" i="2"/>
  <c r="X72" i="2"/>
  <c r="W72" i="2"/>
  <c r="V72" i="2"/>
  <c r="U72" i="2"/>
  <c r="T72" i="2"/>
  <c r="P72" i="2"/>
  <c r="O72" i="2"/>
  <c r="N72" i="2"/>
  <c r="M72" i="2"/>
  <c r="L72" i="2"/>
  <c r="K72" i="2"/>
  <c r="J72" i="2"/>
  <c r="I72" i="2"/>
  <c r="H72" i="2"/>
  <c r="D72" i="2"/>
  <c r="C72" i="2"/>
  <c r="DH67" i="2"/>
  <c r="DG67" i="2"/>
  <c r="DF67" i="2"/>
  <c r="EA67" i="2" s="1"/>
  <c r="DE67" i="2"/>
  <c r="DD67" i="2"/>
  <c r="DZ67" i="2" s="1"/>
  <c r="DC67" i="2"/>
  <c r="DB67" i="2"/>
  <c r="DY67" i="2" s="1"/>
  <c r="DA67" i="2"/>
  <c r="CZ67" i="2"/>
  <c r="CV67" i="2"/>
  <c r="CU67" i="2"/>
  <c r="CT67" i="2"/>
  <c r="CS67" i="2"/>
  <c r="CR67" i="2"/>
  <c r="CQ67" i="2"/>
  <c r="CP67" i="2"/>
  <c r="CO67" i="2"/>
  <c r="CN67" i="2"/>
  <c r="CJ67" i="2"/>
  <c r="CI67" i="2"/>
  <c r="CH67" i="2"/>
  <c r="CG67" i="2"/>
  <c r="CF67" i="2"/>
  <c r="CE67" i="2"/>
  <c r="CD67" i="2"/>
  <c r="CC67" i="2"/>
  <c r="CB67" i="2"/>
  <c r="BX67" i="2"/>
  <c r="BW67" i="2"/>
  <c r="BV67" i="2"/>
  <c r="BU67" i="2"/>
  <c r="BT67" i="2"/>
  <c r="BS67" i="2"/>
  <c r="BR67" i="2"/>
  <c r="BQ67" i="2"/>
  <c r="BP67" i="2"/>
  <c r="BL67" i="2"/>
  <c r="BK67" i="2"/>
  <c r="BJ67" i="2"/>
  <c r="BI67" i="2"/>
  <c r="BH67" i="2"/>
  <c r="BG67" i="2"/>
  <c r="BF67" i="2"/>
  <c r="BE67" i="2"/>
  <c r="BD67" i="2"/>
  <c r="AZ67" i="2"/>
  <c r="AY67" i="2"/>
  <c r="AX67" i="2"/>
  <c r="AW67" i="2"/>
  <c r="AV67" i="2"/>
  <c r="AU67" i="2"/>
  <c r="AT67" i="2"/>
  <c r="AS67" i="2"/>
  <c r="AR67" i="2"/>
  <c r="AN67" i="2"/>
  <c r="AM67" i="2"/>
  <c r="AL67" i="2"/>
  <c r="AK67" i="2"/>
  <c r="AJ67" i="2"/>
  <c r="AI67" i="2"/>
  <c r="AH67" i="2"/>
  <c r="AG67" i="2"/>
  <c r="AF67" i="2"/>
  <c r="AB67" i="2"/>
  <c r="AA67" i="2"/>
  <c r="Z67" i="2"/>
  <c r="Y67" i="2"/>
  <c r="X67" i="2"/>
  <c r="W67" i="2"/>
  <c r="V67" i="2"/>
  <c r="U67" i="2"/>
  <c r="T67" i="2"/>
  <c r="P67" i="2"/>
  <c r="O67" i="2"/>
  <c r="N67" i="2"/>
  <c r="M67" i="2"/>
  <c r="L67" i="2"/>
  <c r="K67" i="2"/>
  <c r="J67" i="2"/>
  <c r="I67" i="2"/>
  <c r="H67" i="2"/>
  <c r="D67" i="2"/>
  <c r="C67" i="2"/>
  <c r="DH59" i="2"/>
  <c r="DG59" i="2"/>
  <c r="DF59" i="2"/>
  <c r="EA59" i="2" s="1"/>
  <c r="DE59" i="2"/>
  <c r="DD59" i="2"/>
  <c r="DZ59" i="2" s="1"/>
  <c r="DC59" i="2"/>
  <c r="DB59" i="2"/>
  <c r="DY59" i="2" s="1"/>
  <c r="DA59" i="2"/>
  <c r="CZ59" i="2"/>
  <c r="CV59" i="2"/>
  <c r="CU59" i="2"/>
  <c r="CT59" i="2"/>
  <c r="CS59" i="2"/>
  <c r="CR59" i="2"/>
  <c r="CQ59" i="2"/>
  <c r="CP59" i="2"/>
  <c r="CO59" i="2"/>
  <c r="CN59" i="2"/>
  <c r="CJ59" i="2"/>
  <c r="CI59" i="2"/>
  <c r="CH59" i="2"/>
  <c r="CG59" i="2"/>
  <c r="CF59" i="2"/>
  <c r="CE59" i="2"/>
  <c r="CD59" i="2"/>
  <c r="CC59" i="2"/>
  <c r="CB59" i="2"/>
  <c r="BX59" i="2"/>
  <c r="BW59" i="2"/>
  <c r="BV59" i="2"/>
  <c r="BU59" i="2"/>
  <c r="BT59" i="2"/>
  <c r="BS59" i="2"/>
  <c r="BR59" i="2"/>
  <c r="BQ59" i="2"/>
  <c r="BP59" i="2"/>
  <c r="BL59" i="2"/>
  <c r="BK59" i="2"/>
  <c r="BJ59" i="2"/>
  <c r="BI59" i="2"/>
  <c r="BH59" i="2"/>
  <c r="BG59" i="2"/>
  <c r="BF59" i="2"/>
  <c r="BE59" i="2"/>
  <c r="BD59" i="2"/>
  <c r="AZ59" i="2"/>
  <c r="AY59" i="2"/>
  <c r="AX59" i="2"/>
  <c r="AW59" i="2"/>
  <c r="AV59" i="2"/>
  <c r="AU59" i="2"/>
  <c r="AT59" i="2"/>
  <c r="AS59" i="2"/>
  <c r="AR59" i="2"/>
  <c r="AN59" i="2"/>
  <c r="AM59" i="2"/>
  <c r="AL59" i="2"/>
  <c r="AK59" i="2"/>
  <c r="AJ59" i="2"/>
  <c r="AI59" i="2"/>
  <c r="AH59" i="2"/>
  <c r="AG59" i="2"/>
  <c r="AF59" i="2"/>
  <c r="AB59" i="2"/>
  <c r="AA59" i="2"/>
  <c r="Z59" i="2"/>
  <c r="Y59" i="2"/>
  <c r="X59" i="2"/>
  <c r="W59" i="2"/>
  <c r="V59" i="2"/>
  <c r="U59" i="2"/>
  <c r="T59" i="2"/>
  <c r="P59" i="2"/>
  <c r="O59" i="2"/>
  <c r="N59" i="2"/>
  <c r="M59" i="2"/>
  <c r="L59" i="2"/>
  <c r="K59" i="2"/>
  <c r="J59" i="2"/>
  <c r="I59" i="2"/>
  <c r="H59" i="2"/>
  <c r="D59" i="2"/>
  <c r="C59" i="2"/>
  <c r="DH57" i="2"/>
  <c r="DG57" i="2"/>
  <c r="DF57" i="2"/>
  <c r="EA57" i="2" s="1"/>
  <c r="DE57" i="2"/>
  <c r="DD57" i="2"/>
  <c r="DZ57" i="2" s="1"/>
  <c r="DC57" i="2"/>
  <c r="DB57" i="2"/>
  <c r="DY57" i="2" s="1"/>
  <c r="DA57" i="2"/>
  <c r="CZ57" i="2"/>
  <c r="CV57" i="2"/>
  <c r="CU57" i="2"/>
  <c r="CT57" i="2"/>
  <c r="CS57" i="2"/>
  <c r="CR57" i="2"/>
  <c r="CQ57" i="2"/>
  <c r="CP57" i="2"/>
  <c r="CO57" i="2"/>
  <c r="CN57" i="2"/>
  <c r="CJ57" i="2"/>
  <c r="CI57" i="2"/>
  <c r="CH57" i="2"/>
  <c r="CG57" i="2"/>
  <c r="CF57" i="2"/>
  <c r="CE57" i="2"/>
  <c r="CD57" i="2"/>
  <c r="CC57" i="2"/>
  <c r="CB57" i="2"/>
  <c r="BX57" i="2"/>
  <c r="BW57" i="2"/>
  <c r="BV57" i="2"/>
  <c r="BU57" i="2"/>
  <c r="BT57" i="2"/>
  <c r="BS57" i="2"/>
  <c r="BR57" i="2"/>
  <c r="BQ57" i="2"/>
  <c r="BP57" i="2"/>
  <c r="BL57" i="2"/>
  <c r="BK57" i="2"/>
  <c r="BJ57" i="2"/>
  <c r="BI57" i="2"/>
  <c r="BH57" i="2"/>
  <c r="BG57" i="2"/>
  <c r="BF57" i="2"/>
  <c r="BE57" i="2"/>
  <c r="BD57" i="2"/>
  <c r="AZ57" i="2"/>
  <c r="AY57" i="2"/>
  <c r="AX57" i="2"/>
  <c r="AW57" i="2"/>
  <c r="AV57" i="2"/>
  <c r="AU57" i="2"/>
  <c r="AT57" i="2"/>
  <c r="AS57" i="2"/>
  <c r="AR57" i="2"/>
  <c r="AN57" i="2"/>
  <c r="AM57" i="2"/>
  <c r="AL57" i="2"/>
  <c r="AK57" i="2"/>
  <c r="AJ57" i="2"/>
  <c r="AI57" i="2"/>
  <c r="AH57" i="2"/>
  <c r="AG57" i="2"/>
  <c r="AF57" i="2"/>
  <c r="AB57" i="2"/>
  <c r="AA57" i="2"/>
  <c r="Z57" i="2"/>
  <c r="Y57" i="2"/>
  <c r="X57" i="2"/>
  <c r="W57" i="2"/>
  <c r="V57" i="2"/>
  <c r="U57" i="2"/>
  <c r="T57" i="2"/>
  <c r="P57" i="2"/>
  <c r="O57" i="2"/>
  <c r="N57" i="2"/>
  <c r="M57" i="2"/>
  <c r="L57" i="2"/>
  <c r="K57" i="2"/>
  <c r="J57" i="2"/>
  <c r="I57" i="2"/>
  <c r="H57" i="2"/>
  <c r="D57" i="2"/>
  <c r="C57" i="2"/>
  <c r="DH50" i="2"/>
  <c r="DG50" i="2"/>
  <c r="DF50" i="2"/>
  <c r="EA50" i="2" s="1"/>
  <c r="DE50" i="2"/>
  <c r="DD50" i="2"/>
  <c r="DZ50" i="2" s="1"/>
  <c r="DC50" i="2"/>
  <c r="DB50" i="2"/>
  <c r="DY50" i="2" s="1"/>
  <c r="DA50" i="2"/>
  <c r="CZ50" i="2"/>
  <c r="CV50" i="2"/>
  <c r="CU50" i="2"/>
  <c r="CT50" i="2"/>
  <c r="CS50" i="2"/>
  <c r="CR50" i="2"/>
  <c r="CQ50" i="2"/>
  <c r="CP50" i="2"/>
  <c r="CO50" i="2"/>
  <c r="CN50" i="2"/>
  <c r="CJ50" i="2"/>
  <c r="CI50" i="2"/>
  <c r="CH50" i="2"/>
  <c r="CG50" i="2"/>
  <c r="CF50" i="2"/>
  <c r="CE50" i="2"/>
  <c r="CD50" i="2"/>
  <c r="CC50" i="2"/>
  <c r="CB50" i="2"/>
  <c r="BX50" i="2"/>
  <c r="BW50" i="2"/>
  <c r="BV50" i="2"/>
  <c r="BU50" i="2"/>
  <c r="BT50" i="2"/>
  <c r="BS50" i="2"/>
  <c r="BR50" i="2"/>
  <c r="BQ50" i="2"/>
  <c r="BP50" i="2"/>
  <c r="BL50" i="2"/>
  <c r="BK50" i="2"/>
  <c r="BJ50" i="2"/>
  <c r="BI50" i="2"/>
  <c r="BH50" i="2"/>
  <c r="BG50" i="2"/>
  <c r="BF50" i="2"/>
  <c r="BE50" i="2"/>
  <c r="BD50" i="2"/>
  <c r="AZ50" i="2"/>
  <c r="AY50" i="2"/>
  <c r="AX50" i="2"/>
  <c r="AW50" i="2"/>
  <c r="AV50" i="2"/>
  <c r="AU50" i="2"/>
  <c r="AT50" i="2"/>
  <c r="AS50" i="2"/>
  <c r="AR50" i="2"/>
  <c r="AN50" i="2"/>
  <c r="AM50" i="2"/>
  <c r="AL50" i="2"/>
  <c r="AK50" i="2"/>
  <c r="AJ50" i="2"/>
  <c r="AI50" i="2"/>
  <c r="AH50" i="2"/>
  <c r="AG50" i="2"/>
  <c r="AF50" i="2"/>
  <c r="AB50" i="2"/>
  <c r="AA50" i="2"/>
  <c r="Z50" i="2"/>
  <c r="Y50" i="2"/>
  <c r="X50" i="2"/>
  <c r="W50" i="2"/>
  <c r="V50" i="2"/>
  <c r="U50" i="2"/>
  <c r="T50" i="2"/>
  <c r="P50" i="2"/>
  <c r="O50" i="2"/>
  <c r="N50" i="2"/>
  <c r="M50" i="2"/>
  <c r="L50" i="2"/>
  <c r="K50" i="2"/>
  <c r="J50" i="2"/>
  <c r="I50" i="2"/>
  <c r="H50" i="2"/>
  <c r="D50" i="2"/>
  <c r="C50" i="2"/>
  <c r="DH45" i="2"/>
  <c r="DG45" i="2"/>
  <c r="DF45" i="2"/>
  <c r="EA45" i="2" s="1"/>
  <c r="DE45" i="2"/>
  <c r="DD45" i="2"/>
  <c r="DZ45" i="2" s="1"/>
  <c r="DC45" i="2"/>
  <c r="DB45" i="2"/>
  <c r="DY45" i="2" s="1"/>
  <c r="DA45" i="2"/>
  <c r="CZ45" i="2"/>
  <c r="CV45" i="2"/>
  <c r="CU45" i="2"/>
  <c r="CT45" i="2"/>
  <c r="CS45" i="2"/>
  <c r="CR45" i="2"/>
  <c r="CQ45" i="2"/>
  <c r="CP45" i="2"/>
  <c r="CO45" i="2"/>
  <c r="CN45" i="2"/>
  <c r="CJ45" i="2"/>
  <c r="CI45" i="2"/>
  <c r="CH45" i="2"/>
  <c r="CG45" i="2"/>
  <c r="CF45" i="2"/>
  <c r="CE45" i="2"/>
  <c r="CD45" i="2"/>
  <c r="CC45" i="2"/>
  <c r="CB45" i="2"/>
  <c r="BX45" i="2"/>
  <c r="BW45" i="2"/>
  <c r="BV45" i="2"/>
  <c r="BU45" i="2"/>
  <c r="BT45" i="2"/>
  <c r="BS45" i="2"/>
  <c r="BR45" i="2"/>
  <c r="BQ45" i="2"/>
  <c r="BP45" i="2"/>
  <c r="BL45" i="2"/>
  <c r="BK45" i="2"/>
  <c r="BJ45" i="2"/>
  <c r="BI45" i="2"/>
  <c r="BH45" i="2"/>
  <c r="BG45" i="2"/>
  <c r="BF45" i="2"/>
  <c r="BE45" i="2"/>
  <c r="BD45" i="2"/>
  <c r="AZ45" i="2"/>
  <c r="AY45" i="2"/>
  <c r="AX45" i="2"/>
  <c r="AW45" i="2"/>
  <c r="AV45" i="2"/>
  <c r="AU45" i="2"/>
  <c r="AT45" i="2"/>
  <c r="AS45" i="2"/>
  <c r="AR45" i="2"/>
  <c r="AN45" i="2"/>
  <c r="AM45" i="2"/>
  <c r="AL45" i="2"/>
  <c r="AK45" i="2"/>
  <c r="AJ45" i="2"/>
  <c r="AI45" i="2"/>
  <c r="AH45" i="2"/>
  <c r="AG45" i="2"/>
  <c r="AF45" i="2"/>
  <c r="AB45" i="2"/>
  <c r="AA45" i="2"/>
  <c r="Z45" i="2"/>
  <c r="Y45" i="2"/>
  <c r="X45" i="2"/>
  <c r="W45" i="2"/>
  <c r="V45" i="2"/>
  <c r="U45" i="2"/>
  <c r="T45" i="2"/>
  <c r="P45" i="2"/>
  <c r="O45" i="2"/>
  <c r="N45" i="2"/>
  <c r="M45" i="2"/>
  <c r="L45" i="2"/>
  <c r="K45" i="2"/>
  <c r="J45" i="2"/>
  <c r="I45" i="2"/>
  <c r="H45" i="2"/>
  <c r="D45" i="2"/>
  <c r="C45" i="2"/>
  <c r="DH36" i="2"/>
  <c r="DG36" i="2"/>
  <c r="DF36" i="2"/>
  <c r="DE36" i="2"/>
  <c r="DD36" i="2"/>
  <c r="DC36" i="2"/>
  <c r="DB36" i="2"/>
  <c r="DY36" i="2" s="1"/>
  <c r="DA36" i="2"/>
  <c r="CZ36" i="2"/>
  <c r="CV36" i="2"/>
  <c r="CU36" i="2"/>
  <c r="CT36" i="2"/>
  <c r="CS36" i="2"/>
  <c r="CR36" i="2"/>
  <c r="CQ36" i="2"/>
  <c r="CP36" i="2"/>
  <c r="CO36" i="2"/>
  <c r="CN36" i="2"/>
  <c r="CJ36" i="2"/>
  <c r="CI36" i="2"/>
  <c r="CH36" i="2"/>
  <c r="CG36" i="2"/>
  <c r="CF36" i="2"/>
  <c r="CE36" i="2"/>
  <c r="CD36" i="2"/>
  <c r="CC36" i="2"/>
  <c r="CB36" i="2"/>
  <c r="BX36" i="2"/>
  <c r="BW36" i="2"/>
  <c r="BV36" i="2"/>
  <c r="BU36" i="2"/>
  <c r="BT36" i="2"/>
  <c r="BS36" i="2"/>
  <c r="BR36" i="2"/>
  <c r="BQ36" i="2"/>
  <c r="BP36" i="2"/>
  <c r="BL36" i="2"/>
  <c r="BK36" i="2"/>
  <c r="BJ36" i="2"/>
  <c r="BI36" i="2"/>
  <c r="BH36" i="2"/>
  <c r="BG36" i="2"/>
  <c r="BF36" i="2"/>
  <c r="BE36" i="2"/>
  <c r="BD36" i="2"/>
  <c r="AZ36" i="2"/>
  <c r="AY36" i="2"/>
  <c r="AX36" i="2"/>
  <c r="AW36" i="2"/>
  <c r="AV36" i="2"/>
  <c r="AU36" i="2"/>
  <c r="AT36" i="2"/>
  <c r="AS36" i="2"/>
  <c r="AR36" i="2"/>
  <c r="AN36" i="2"/>
  <c r="AM36" i="2"/>
  <c r="AL36" i="2"/>
  <c r="AK36" i="2"/>
  <c r="AJ36" i="2"/>
  <c r="AI36" i="2"/>
  <c r="AH36" i="2"/>
  <c r="AG36" i="2"/>
  <c r="AF36" i="2"/>
  <c r="AB36" i="2"/>
  <c r="AA36" i="2"/>
  <c r="Z36" i="2"/>
  <c r="Y36" i="2"/>
  <c r="X36" i="2"/>
  <c r="W36" i="2"/>
  <c r="V36" i="2"/>
  <c r="U36" i="2"/>
  <c r="T36" i="2"/>
  <c r="P36" i="2"/>
  <c r="O36" i="2"/>
  <c r="N36" i="2"/>
  <c r="M36" i="2"/>
  <c r="L36" i="2"/>
  <c r="K36" i="2"/>
  <c r="J36" i="2"/>
  <c r="I36" i="2"/>
  <c r="H36" i="2"/>
  <c r="D36" i="2"/>
  <c r="C36" i="2"/>
  <c r="DH22" i="2"/>
  <c r="DG22" i="2"/>
  <c r="DF22" i="2"/>
  <c r="EA22" i="2" s="1"/>
  <c r="DE22" i="2"/>
  <c r="DD22" i="2"/>
  <c r="DZ22" i="2" s="1"/>
  <c r="DC22" i="2"/>
  <c r="DB22" i="2"/>
  <c r="DY22" i="2" s="1"/>
  <c r="DA22" i="2"/>
  <c r="CZ22" i="2"/>
  <c r="CV22" i="2"/>
  <c r="CU22" i="2"/>
  <c r="CT22" i="2"/>
  <c r="CS22" i="2"/>
  <c r="CR22" i="2"/>
  <c r="CQ22" i="2"/>
  <c r="CP22" i="2"/>
  <c r="CO22" i="2"/>
  <c r="CN22" i="2"/>
  <c r="CJ22" i="2"/>
  <c r="CI22" i="2"/>
  <c r="CH22" i="2"/>
  <c r="CG22" i="2"/>
  <c r="CF22" i="2"/>
  <c r="CE22" i="2"/>
  <c r="CD22" i="2"/>
  <c r="CC22" i="2"/>
  <c r="CB22" i="2"/>
  <c r="BX22" i="2"/>
  <c r="BW22" i="2"/>
  <c r="BV22" i="2"/>
  <c r="BU22" i="2"/>
  <c r="BT22" i="2"/>
  <c r="BS22" i="2"/>
  <c r="BR22" i="2"/>
  <c r="BQ22" i="2"/>
  <c r="BP22" i="2"/>
  <c r="BJ22" i="2"/>
  <c r="BL22" i="2"/>
  <c r="BK22" i="2"/>
  <c r="BI22" i="2"/>
  <c r="BH22" i="2"/>
  <c r="BG22" i="2"/>
  <c r="BF22" i="2"/>
  <c r="BE22" i="2"/>
  <c r="BD22" i="2"/>
  <c r="AZ22" i="2"/>
  <c r="AY22" i="2"/>
  <c r="AX22" i="2"/>
  <c r="AW22" i="2"/>
  <c r="AV22" i="2"/>
  <c r="AU22" i="2"/>
  <c r="AT22" i="2"/>
  <c r="AS22" i="2"/>
  <c r="AR22" i="2"/>
  <c r="AN22" i="2"/>
  <c r="AM22" i="2"/>
  <c r="AL22" i="2"/>
  <c r="AK22" i="2"/>
  <c r="AJ22" i="2"/>
  <c r="AI22" i="2"/>
  <c r="AH22" i="2"/>
  <c r="AG22" i="2"/>
  <c r="AF22" i="2"/>
  <c r="AB22" i="2"/>
  <c r="AA22" i="2"/>
  <c r="Z22" i="2"/>
  <c r="Y22" i="2"/>
  <c r="X22" i="2"/>
  <c r="W22" i="2"/>
  <c r="V22" i="2"/>
  <c r="U22" i="2"/>
  <c r="T22" i="2"/>
  <c r="P22" i="2"/>
  <c r="O22" i="2"/>
  <c r="N22" i="2"/>
  <c r="M22" i="2"/>
  <c r="L22" i="2"/>
  <c r="K22" i="2"/>
  <c r="J22" i="2"/>
  <c r="I22" i="2"/>
  <c r="H22" i="2"/>
  <c r="D22" i="2"/>
  <c r="C22" i="2"/>
  <c r="CN98" i="2" l="1"/>
  <c r="DC98" i="2"/>
  <c r="DO99" i="2" s="1"/>
  <c r="DD98" i="2"/>
  <c r="CS98" i="2"/>
  <c r="DE99" i="2" s="1"/>
  <c r="CT98" i="2"/>
  <c r="CZ98" i="2"/>
  <c r="DA98" i="2"/>
  <c r="DM99" i="2" s="1"/>
  <c r="CO98" i="2"/>
  <c r="DE98" i="2"/>
  <c r="DQ99" i="2" s="1"/>
  <c r="CQ98" i="2"/>
  <c r="DF98" i="2"/>
  <c r="DZ36" i="2"/>
  <c r="DQ95" i="2"/>
  <c r="DP95" i="2"/>
  <c r="EA36" i="2"/>
  <c r="DR95" i="2"/>
  <c r="DN95" i="2"/>
  <c r="CR98" i="2"/>
  <c r="CP87" i="2"/>
  <c r="CP95" i="2" s="1"/>
  <c r="BI87" i="2"/>
  <c r="BX87" i="2"/>
  <c r="CP98" i="2"/>
  <c r="DE87" i="2"/>
  <c r="DE95" i="2" s="1"/>
  <c r="M87" i="2"/>
  <c r="AB87" i="2"/>
  <c r="AT87" i="2"/>
  <c r="AF87" i="2"/>
  <c r="N87" i="2"/>
  <c r="CB87" i="2"/>
  <c r="AU87" i="2"/>
  <c r="J87" i="2"/>
  <c r="Y87" i="2"/>
  <c r="AN87" i="2"/>
  <c r="BF87" i="2"/>
  <c r="BU87" i="2"/>
  <c r="CJ87" i="2"/>
  <c r="U87" i="2"/>
  <c r="AJ87" i="2"/>
  <c r="AY87" i="2"/>
  <c r="BQ87" i="2"/>
  <c r="CF87" i="2"/>
  <c r="CU87" i="2"/>
  <c r="DF87" i="2"/>
  <c r="DF95" i="2" s="1"/>
  <c r="O87" i="2"/>
  <c r="K87" i="2"/>
  <c r="Z87" i="2"/>
  <c r="AR87" i="2"/>
  <c r="BG87" i="2"/>
  <c r="BV87" i="2"/>
  <c r="CN87" i="2"/>
  <c r="CN95" i="2" s="1"/>
  <c r="DC87" i="2"/>
  <c r="DC95" i="2" s="1"/>
  <c r="DO96" i="2" s="1"/>
  <c r="CQ87" i="2"/>
  <c r="CQ95" i="2" s="1"/>
  <c r="BJ87" i="2"/>
  <c r="CR87" i="2"/>
  <c r="CR95" i="2" s="1"/>
  <c r="AH87" i="2"/>
  <c r="DG87" i="2"/>
  <c r="DW87" i="2" s="1"/>
  <c r="P87" i="2"/>
  <c r="BK87" i="2"/>
  <c r="AV87" i="2"/>
  <c r="AG87" i="2"/>
  <c r="CC87" i="2"/>
  <c r="AW87" i="2"/>
  <c r="BL87" i="2"/>
  <c r="CD87" i="2"/>
  <c r="CS87" i="2"/>
  <c r="CS95" i="2" s="1"/>
  <c r="DH87" i="2"/>
  <c r="I87" i="2"/>
  <c r="X87" i="2"/>
  <c r="AM87" i="2"/>
  <c r="BE87" i="2"/>
  <c r="BT87" i="2"/>
  <c r="CI87" i="2"/>
  <c r="DA87" i="2"/>
  <c r="DA95" i="2" s="1"/>
  <c r="DM96" i="2" s="1"/>
  <c r="T87" i="2"/>
  <c r="AI87" i="2"/>
  <c r="AX87" i="2"/>
  <c r="BP87" i="2"/>
  <c r="CE87" i="2"/>
  <c r="CT87" i="2"/>
  <c r="CT95" i="2" s="1"/>
  <c r="DC99" i="2"/>
  <c r="D87" i="2"/>
  <c r="V87" i="2"/>
  <c r="AK87" i="2"/>
  <c r="AZ87" i="2"/>
  <c r="BR87" i="2"/>
  <c r="CG87" i="2"/>
  <c r="CV87" i="2"/>
  <c r="L87" i="2"/>
  <c r="AA87" i="2"/>
  <c r="AS87" i="2"/>
  <c r="BH87" i="2"/>
  <c r="BW87" i="2"/>
  <c r="CO87" i="2"/>
  <c r="CO95" i="2" s="1"/>
  <c r="DD87" i="2"/>
  <c r="DD95" i="2" s="1"/>
  <c r="H87" i="2"/>
  <c r="W87" i="2"/>
  <c r="AL87" i="2"/>
  <c r="BD87" i="2"/>
  <c r="BS87" i="2"/>
  <c r="CH87" i="2"/>
  <c r="CZ87" i="2"/>
  <c r="C87" i="2"/>
  <c r="CZ99" i="2"/>
  <c r="DL99" i="2"/>
  <c r="DA99" i="2"/>
  <c r="DB98" i="2"/>
  <c r="DB87" i="2"/>
  <c r="DY87" i="2" s="1"/>
  <c r="C5" i="3"/>
  <c r="D5" i="3"/>
  <c r="E5" i="3"/>
  <c r="F5" i="3"/>
  <c r="G5" i="3"/>
  <c r="H5" i="3"/>
  <c r="I5" i="3"/>
  <c r="J5" i="3"/>
  <c r="K5" i="3"/>
  <c r="L5" i="3"/>
  <c r="DD99" i="2" l="1"/>
  <c r="DF99" i="2"/>
  <c r="DP99" i="2"/>
  <c r="DR99" i="2"/>
  <c r="EA87" i="2"/>
  <c r="DQ96" i="2"/>
  <c r="DV87" i="2"/>
  <c r="DZ87" i="2"/>
  <c r="DR96" i="2"/>
  <c r="DF96" i="2"/>
  <c r="DE96" i="2"/>
  <c r="CZ96" i="2"/>
  <c r="DD96" i="2"/>
  <c r="CZ95" i="2"/>
  <c r="DL96" i="2" s="1"/>
  <c r="DC96" i="2"/>
  <c r="DA96" i="2"/>
  <c r="DB96" i="2"/>
  <c r="DB95" i="2"/>
  <c r="DN96" i="2" s="1"/>
  <c r="DB99" i="2"/>
  <c r="DN99" i="2"/>
</calcChain>
</file>

<file path=xl/sharedStrings.xml><?xml version="1.0" encoding="utf-8"?>
<sst xmlns="http://schemas.openxmlformats.org/spreadsheetml/2006/main" count="4765" uniqueCount="346">
  <si>
    <t>SALES_PROD_MIS</t>
  </si>
  <si>
    <t>Arbitrage Fund</t>
  </si>
  <si>
    <t>Equity</t>
  </si>
  <si>
    <t>Arbitrage</t>
  </si>
  <si>
    <t>Balanced Hybrid Fund/Aggressive Hybrid Fund</t>
  </si>
  <si>
    <t>Banking and PSU Fund</t>
  </si>
  <si>
    <t>Debt</t>
  </si>
  <si>
    <t>TD</t>
  </si>
  <si>
    <t>Capital Protection Oriented Schemes</t>
  </si>
  <si>
    <t>Childrens Fund</t>
  </si>
  <si>
    <t>Conservative Hybrid Fund</t>
  </si>
  <si>
    <t>Corporate Bond Fund</t>
  </si>
  <si>
    <t>Credit Risk Fund</t>
  </si>
  <si>
    <t>Dividend Yield Fund</t>
  </si>
  <si>
    <t>Dynamic Bond Fund</t>
  </si>
  <si>
    <t>ELSS</t>
  </si>
  <si>
    <t>Equity Savings Fund</t>
  </si>
  <si>
    <t>Fixed Term Plan</t>
  </si>
  <si>
    <t>FMP</t>
  </si>
  <si>
    <t>Flexi Cap Fund</t>
  </si>
  <si>
    <t>Floater Fund</t>
  </si>
  <si>
    <t>Focused Fund</t>
  </si>
  <si>
    <t>Gilt Fund</t>
  </si>
  <si>
    <t>Gilt Fund with 10 year constant duration</t>
  </si>
  <si>
    <t>Income/Debt Oriented Schemes</t>
  </si>
  <si>
    <t>Infrastructure Debt Fund</t>
  </si>
  <si>
    <t>Large &amp; Mid Cap Fund</t>
  </si>
  <si>
    <t>Large Cap Fund</t>
  </si>
  <si>
    <t>Liquid Fund</t>
  </si>
  <si>
    <t>Cash</t>
  </si>
  <si>
    <t>Long Duration Fund</t>
  </si>
  <si>
    <t>Low Duration Fund</t>
  </si>
  <si>
    <t>Medium Duration Fund</t>
  </si>
  <si>
    <t>Medium to Long Duration Fund</t>
  </si>
  <si>
    <t>Mid Cap Fund</t>
  </si>
  <si>
    <t>Money Market Fund</t>
  </si>
  <si>
    <t>Multi Cap Fund</t>
  </si>
  <si>
    <t>Overnight Fund</t>
  </si>
  <si>
    <t>Retirement Fund</t>
  </si>
  <si>
    <t>Sectoral/Thematic Funds</t>
  </si>
  <si>
    <t>Short Duration Fund</t>
  </si>
  <si>
    <t>Small Cap Fund</t>
  </si>
  <si>
    <t>Ultra Short Duration Fund</t>
  </si>
  <si>
    <t>Value Fund/Contra Fund</t>
  </si>
  <si>
    <t>Grand Total</t>
  </si>
  <si>
    <t>Apr'25</t>
  </si>
  <si>
    <t>May'25</t>
  </si>
  <si>
    <t>Jun'25</t>
  </si>
  <si>
    <t>Jul'25</t>
  </si>
  <si>
    <t>Aug'25</t>
  </si>
  <si>
    <t>Sep'25</t>
  </si>
  <si>
    <t>AUM</t>
  </si>
  <si>
    <t>-</t>
  </si>
  <si>
    <t>Oct'25</t>
  </si>
  <si>
    <t>Nov'25</t>
  </si>
  <si>
    <t>## Include NFOs  - Groww Nifty Capital Markets ETF FOF, Mahindra Manulife Income Plus Arbitrage Active FOF, Axis Gold and Silver Passive FOF, Axis Multi-Asset Active FoF, Edelweiss Silver ETF</t>
  </si>
  <si>
    <t>## Include NFOs  -Axis Income Plus Arbitrage Passive FOF</t>
  </si>
  <si>
    <t>## Include- NFOs -Kotak Gold Silver Passive FOF</t>
  </si>
  <si>
    <t>## Include NFOs -Angel O;ne Gold ETF Fund of Fund;Edelweiss Multi Asset Omni Fund of Fund;HDFC Diversified Equity All Cap Active FOF;SBI Dynamic Asset Allocation Active FOF;Union Diversified Equity All Cap Active FOF</t>
  </si>
  <si>
    <t>## Include NFOs -Baroda BNP Paribas Gold ETF Fund of Fund;Groww BSE Power ETF FOF; Mirae Asset Multi Factor Passive FOF;Mirae Asset Gold Silver Passive FoF;Zerodha Multi Asset Passive FoF</t>
  </si>
  <si>
    <t>## Include NFOs - Edelweiss Income Plus Arbitrage Active Fund of Fund;Groww Nifty India Internet ETF FOF;Invesco India Income Plus Arbitrage Active Fund of Fund;Mirae Asset Income plus Arbitrage Active FOF;Zerodha Silver ETF FOF</t>
  </si>
  <si>
    <t>## Include NFOs - Nippon India Income Plus Arbitrage Active Fund of Fund and Union Income Plus Arbitrage Active FOF</t>
  </si>
  <si>
    <t>## Include NFOs - BARODA BNP PARIBAS INCOME PLUS ARBITRAGE ACTIVE FUND OF FUNDS, BARODA BNP PARIBAS  MULTI ASSET ACTIVE FOF, DSP Silver ETF Fund of Fund, GROWW SILVER ETF FOF, SBI Income Plus Arbitrage Active FOF and Tata Income Plus Arbitrage Active FOF</t>
  </si>
  <si>
    <t>## Include NFO - Groww Nifty 500 Momentum 50 ETF FOF, ICICI Prudential Nifty EV &amp; New Age Automotive ETF FOF and UTI Income Plus Arbitrage Active Fund of Fund. One FOF Domestic scheme was matured/ terminated during April 25.</t>
  </si>
  <si>
    <t xml:space="preserve">## Include NFO - Mirae Asset BSE Select IPO ETF Fund of Fund and Mirae Asset BSE 200 Equal Weight ETF Fund of Fund. There was a Fundamental Attribute Change carried out in one MF scheme, pursuant to which, the scheme which was earlier categorised as fund of fund overseas is now classified as fund of fund domestic. </t>
  </si>
  <si>
    <t>** Data in respect Fund of Funds Domestic is shown for information only. The same is included in the respective underlying schemes.</t>
  </si>
  <si>
    <t>Released on 10-Sep-2025</t>
  </si>
  <si>
    <t>Released on 11-Aug-2025</t>
  </si>
  <si>
    <t>Released on 09-Jul-2025</t>
  </si>
  <si>
    <t>Released on 10-Jun-2025</t>
  </si>
  <si>
    <t>Released on 09-May-2025</t>
  </si>
  <si>
    <t>## 127</t>
  </si>
  <si>
    <t>Fund of Funds Scheme (Domestic)**</t>
  </si>
  <si>
    <t>## 121</t>
  </si>
  <si>
    <t>Fund of Funds Scheme (Domestic) **</t>
  </si>
  <si>
    <t>## 120</t>
  </si>
  <si>
    <t xml:space="preserve">Fund of Funds Scheme (Domestic) ** </t>
  </si>
  <si>
    <t># 119</t>
  </si>
  <si>
    <t>Fund of Funds Scheme (Domestic)</t>
  </si>
  <si>
    <t>## 109</t>
  </si>
  <si>
    <t>##  104</t>
  </si>
  <si>
    <t>##  102</t>
  </si>
  <si>
    <t>##  96</t>
  </si>
  <si>
    <t/>
  </si>
  <si>
    <t>Total C Interval Schemes</t>
  </si>
  <si>
    <t>Other Schemes</t>
  </si>
  <si>
    <t>III</t>
  </si>
  <si>
    <t>Growth/Equity Oriented Schemes</t>
  </si>
  <si>
    <t>II</t>
  </si>
  <si>
    <t>I</t>
  </si>
  <si>
    <t>Interval Schemes</t>
  </si>
  <si>
    <t>C</t>
  </si>
  <si>
    <t>Total B -Close ended Schemes</t>
  </si>
  <si>
    <t>Sub Total (i+ii)</t>
  </si>
  <si>
    <t>Other Equity Schemes</t>
  </si>
  <si>
    <t>ii</t>
  </si>
  <si>
    <t>i</t>
  </si>
  <si>
    <t>Sub Total (i+ii+iii+iv)</t>
  </si>
  <si>
    <t>Other Debt Scheme</t>
  </si>
  <si>
    <t>iv</t>
  </si>
  <si>
    <t>iii</t>
  </si>
  <si>
    <t>Close Ended Schemes</t>
  </si>
  <si>
    <t>B</t>
  </si>
  <si>
    <t>Total A-Open ended Schemes</t>
  </si>
  <si>
    <t>Sub Total - V (i+ii+iii+iv)</t>
  </si>
  <si>
    <t>Fund of funds investing overseas</t>
  </si>
  <si>
    <t>Other ETFs</t>
  </si>
  <si>
    <t>GOLD ETF</t>
  </si>
  <si>
    <t>Index Funds</t>
  </si>
  <si>
    <t>V</t>
  </si>
  <si>
    <t>Sub Total - IV (i+ii)</t>
  </si>
  <si>
    <t>Solution Oriented Schemes</t>
  </si>
  <si>
    <t>IV</t>
  </si>
  <si>
    <t>Sub Total - III (i+ii+iii+iv+v+vi)</t>
  </si>
  <si>
    <t>vi</t>
  </si>
  <si>
    <t>v</t>
  </si>
  <si>
    <t>Multi Asset Allocation Fund</t>
  </si>
  <si>
    <t>Dynamic Asset Allocation/Balanced Advantage Fund</t>
  </si>
  <si>
    <t>Hybrid Schemes</t>
  </si>
  <si>
    <t>Sub Total - II (i+ii+iii+iv+v+vi+vii+viii+ix+x+xi)</t>
  </si>
  <si>
    <t>xi</t>
  </si>
  <si>
    <t>x</t>
  </si>
  <si>
    <t>ix</t>
  </si>
  <si>
    <t>viii</t>
  </si>
  <si>
    <t>vii</t>
  </si>
  <si>
    <t>Sub Total - I (i+ii+iii+iv+v+vi+vii+viii+ix+x+xi+xii+xiii+xiv+xv+xvi)</t>
  </si>
  <si>
    <t>xvi</t>
  </si>
  <si>
    <t>xv</t>
  </si>
  <si>
    <t>xiv</t>
  </si>
  <si>
    <t>xiii</t>
  </si>
  <si>
    <t>xii</t>
  </si>
  <si>
    <t>Open ended Schemes</t>
  </si>
  <si>
    <t>A</t>
  </si>
  <si>
    <t>Net Assets Under Management in segregated portfolio as on December 31, 2025 (INR in crore)</t>
  </si>
  <si>
    <t>No. of segregated portfolios created as on December 31, 2025</t>
  </si>
  <si>
    <t>Average Net Assets Under Management for the month December 2025 (INR in crore)</t>
  </si>
  <si>
    <t>Net Assets Under Management as on December 31, 2025 (INR in crore)</t>
  </si>
  <si>
    <t>Net Inflow (+ve)/Outflow (-ve) for the month of December 2025 (INR in crore)</t>
  </si>
  <si>
    <t>Repurchase/Redemption for the month of December 2025 (INR in crore)</t>
  </si>
  <si>
    <t>Funds Mobilized for the month of December 2025 (INR in crore)</t>
  </si>
  <si>
    <t>No. of Folios as on December 31, 2025</t>
  </si>
  <si>
    <t>No. of Schemes as on December 31, 2025</t>
  </si>
  <si>
    <t xml:space="preserve">Scheme Name </t>
  </si>
  <si>
    <t xml:space="preserve">Sr </t>
  </si>
  <si>
    <t>Net Assets Under Management in segregated portfolio as on November 30, 2025 (INR in crore)</t>
  </si>
  <si>
    <t>No. of segregated portfolios created as on November 30, 2025</t>
  </si>
  <si>
    <t>Average Net Assets Under Management for the month November 2025 (INR in crore)</t>
  </si>
  <si>
    <t>Net Assets Under Management as on November 30, 2025 (INR in crore)</t>
  </si>
  <si>
    <t>Net Inflow (+ve)/Outflow (-ve) for the month of November 2025 (INR in crore)</t>
  </si>
  <si>
    <t>Repurchase/Redemption for the month of November 2025 (INR in crore)</t>
  </si>
  <si>
    <t>Funds Mobilized for the month of November 2025 (INR in crore)</t>
  </si>
  <si>
    <t>No. of Folios as on November 30, 2025</t>
  </si>
  <si>
    <t>No. of Schemes as on November 30, 2025</t>
  </si>
  <si>
    <t>Net Assets Under Management in segregated portfolio as on October 31, 2025 (INR in crore)</t>
  </si>
  <si>
    <t>No. of segregated portfolios created as on October 31, 2025</t>
  </si>
  <si>
    <t>Average Net Assets Under Management for the month October 2025 (INR in crore)</t>
  </si>
  <si>
    <t>Net Assets Under Management as on October 31, 2025 (INR in crore)</t>
  </si>
  <si>
    <t>Net Inflow (+ve)/Outflow (-ve) for the month of October 2025 (INR in crore)</t>
  </si>
  <si>
    <t>Repurchase/Redemption for the month of October 2025 (INR in crore)</t>
  </si>
  <si>
    <t>Funds Mobilized for the month of October 2025 (INR in crore)</t>
  </si>
  <si>
    <t>No. of Folios as on October 31, 2025</t>
  </si>
  <si>
    <t>No. of Schemes as on October 31, 2025</t>
  </si>
  <si>
    <t>Net Assets Under Management in segregated portfolio as on September 30, 2025 (INR in crore)</t>
  </si>
  <si>
    <t>No. of segregated portfolios created as on September 30, 2025</t>
  </si>
  <si>
    <t>Average Net Assets Under Management for the month September 2025 (INR in crore)</t>
  </si>
  <si>
    <t>Net Assets Under Management as on September 30, 2025 (INR in crore)</t>
  </si>
  <si>
    <t>Net Inflow (+ve)/Outflow (-ve) for the month of September 2025 (INR in crore)</t>
  </si>
  <si>
    <t>Repurchase/Redemption for the month of September 2025 (INR in crore)</t>
  </si>
  <si>
    <t>Funds Mobilized for the month of September 2025 (INR in crore)</t>
  </si>
  <si>
    <t>No. of Folios as on September 30, 2025</t>
  </si>
  <si>
    <t>No. of Schemes as on September 30, 2025</t>
  </si>
  <si>
    <t>Net Assets Under Management in segregated portfolio as on August 31, 2025 (INR in crore)</t>
  </si>
  <si>
    <t>No. of segregated portfolios created as on August 31, 2025</t>
  </si>
  <si>
    <t>Average Net Assets Under Management for the month August 2025 (INR in crore)</t>
  </si>
  <si>
    <t>Net Assets Under Management as on August 31, 2025 (INR in crore)</t>
  </si>
  <si>
    <t>Net Inflow (+ve)/Outflow (-ve) for the month of August 2025 (INR in crore)</t>
  </si>
  <si>
    <t>Repurchase/Redemption for the month of August 2025 (INR in crore)</t>
  </si>
  <si>
    <t>Funds Mobilized for the month of August 2025 (INR in crore)</t>
  </si>
  <si>
    <t>No. of Folios as on August 31, 2025</t>
  </si>
  <si>
    <t>No. of Schemes as on August 31, 2025</t>
  </si>
  <si>
    <t>Net Assets Under Management in segregated portfolio as on July 31, 2025 (INR in crore)</t>
  </si>
  <si>
    <t>No. of segregated portfolios created as on July 31, 2025</t>
  </si>
  <si>
    <t>Average Net Assets Under Management for the month July 2025 (INR in crore)</t>
  </si>
  <si>
    <t>Net Assets Under Management as on July 31, 2025 (INR in crore)</t>
  </si>
  <si>
    <t>Net Inflow (+ve)/Outflow (-ve) for the month of July 2025 (INR in crore)</t>
  </si>
  <si>
    <t>Repurchase/Redemption for the month of July 2025 (INR in crore)</t>
  </si>
  <si>
    <t>Funds Mobilized for the month of July 2025 (INR in crore)</t>
  </si>
  <si>
    <t>No. of Folios as on July 31, 2025</t>
  </si>
  <si>
    <t>No. of Schemes as on July 31, 2025</t>
  </si>
  <si>
    <t>Net Assets Under Management in segregated portfolio as on June 30, 2025 (INR in crore)</t>
  </si>
  <si>
    <t>No. of segregated portfolios created as on June 30, 2025</t>
  </si>
  <si>
    <t>Average Net Assets Under Management for the month June 2025 (INR in crore)</t>
  </si>
  <si>
    <t>Net Assets Under Management as on June 30, 2025 (INR in crore)</t>
  </si>
  <si>
    <t>Net Inflow (+ve)/Outflow (-ve) for the month of June 2025 (INR in crore)</t>
  </si>
  <si>
    <t>Repurchase/ Redemption for the month of June 2025 (INR in crore)</t>
  </si>
  <si>
    <t>Funds Mobilized for the month of June 2025 (INR in crore)</t>
  </si>
  <si>
    <t>No. of Folios as on June 30, 2025</t>
  </si>
  <si>
    <t>No. of Schemes as on June 30, 2025</t>
  </si>
  <si>
    <t>Net Assets Under Management in segregated portfolio as on May 31, 2025 (INR in crore)</t>
  </si>
  <si>
    <t>No. of segregated portfolios created as on May 31, 2025</t>
  </si>
  <si>
    <t>Average Net Assets Under Management for the month May 2025 (INR in crore)</t>
  </si>
  <si>
    <t>Net Assets Under Management as on May 31, 2025 (INR in crore)</t>
  </si>
  <si>
    <t>Net Inflow (+ve)/Outflow (-ve) for the month of May 2025 (INR in crore)</t>
  </si>
  <si>
    <t>Repurchase/ Redemption for the month of May 2025 (INR in crore)</t>
  </si>
  <si>
    <t>Funds Mobilized for the month of May 2025 (INR in crore)</t>
  </si>
  <si>
    <t>No. of Folios as on May 31, 2025</t>
  </si>
  <si>
    <t>No. of Schemes as on May 31, 2025</t>
  </si>
  <si>
    <t>Net Assets Under Management in segregated portfolio as on April 30, 2025 (INR in crore)</t>
  </si>
  <si>
    <t>No. of segregated portfolios created as on April 30, 2025</t>
  </si>
  <si>
    <t>Average Net Assets Under Management for the month April 2025 (INR in crore)</t>
  </si>
  <si>
    <t>Net Assets Under Management as on April 30, 2025 (INR in crore)</t>
  </si>
  <si>
    <t>Net Inflow (+ve)/Outflow (-ve) for the month of April 2025 (INR in crore)</t>
  </si>
  <si>
    <t>Repurchase/ Redemption for the month of April 2025 (INR in crore)</t>
  </si>
  <si>
    <t>Funds Mobilized for the month of April 2025 (INR in crore)</t>
  </si>
  <si>
    <t>No. of Folios as on April 30, 2025</t>
  </si>
  <si>
    <t>No. of Schemes as on April 30, 2025</t>
  </si>
  <si>
    <t>Average Net Assets Under Management for the month March 2025 (INR in crore)</t>
  </si>
  <si>
    <t>Net Assets Under Management as on March 31, 2025 (INR in crore)</t>
  </si>
  <si>
    <t xml:space="preserve">Monthly Report for the month of December 2025 </t>
  </si>
  <si>
    <t xml:space="preserve">Monthly Report for the month of November 2025 </t>
  </si>
  <si>
    <t xml:space="preserve">Monthly Report for the month of October 2025 </t>
  </si>
  <si>
    <t xml:space="preserve">Monthly Report for the month of September 2025 </t>
  </si>
  <si>
    <t xml:space="preserve">Monthly Report for the month of August 2025 </t>
  </si>
  <si>
    <t xml:space="preserve">Monthly Report for the month of July 2025 </t>
  </si>
  <si>
    <t xml:space="preserve">Monthly Report for the month of June 2025 </t>
  </si>
  <si>
    <t xml:space="preserve">Monthly Report for the month of May 2025 </t>
  </si>
  <si>
    <t xml:space="preserve">Monthly Report for the month of April 2025 </t>
  </si>
  <si>
    <t># Includes the past/legacy data on account of above reason, revised on 14th May 2025.</t>
  </si>
  <si>
    <t>- 2 consecutive instalments with respect to others are failed, are treated as ceased/discontinued.</t>
  </si>
  <si>
    <t>- 3 consecutive instalments with respect to daily, weekly, fortnightly, and monthly intervals and</t>
  </si>
  <si>
    <t>* As per SEBI guidelines, the SIPs where</t>
  </si>
  <si>
    <t>Apr 23 – Mar 24</t>
  </si>
  <si>
    <t>Apr 24 – Mar 25</t>
  </si>
  <si>
    <t>SIP AUM
 ₹ crore</t>
  </si>
  <si>
    <t>SIP Contribution ₹ crore</t>
  </si>
  <si>
    <t>No. of Contributing SIP accounts</t>
  </si>
  <si>
    <t>No. of SIPs discontinued*/tenure completed</t>
  </si>
  <si>
    <t>No. of New SIPs registered</t>
  </si>
  <si>
    <t>Total No. of outstanding SIP Accounts</t>
  </si>
  <si>
    <t>Month</t>
  </si>
  <si>
    <t>April</t>
  </si>
  <si>
    <t>May</t>
  </si>
  <si>
    <t>Jun</t>
  </si>
  <si>
    <t>July</t>
  </si>
  <si>
    <t>August</t>
  </si>
  <si>
    <t>September</t>
  </si>
  <si>
    <t>October</t>
  </si>
  <si>
    <t>November</t>
  </si>
  <si>
    <t>December</t>
  </si>
  <si>
    <t>January</t>
  </si>
  <si>
    <t>February</t>
  </si>
  <si>
    <t>March</t>
  </si>
  <si>
    <t>Total During FY</t>
  </si>
  <si>
    <t>FY 2016-17</t>
  </si>
  <si>
    <t>FY 2017-18</t>
  </si>
  <si>
    <t>FY 2018-19</t>
  </si>
  <si>
    <t>FY 2019-20</t>
  </si>
  <si>
    <t>FY 2020-21</t>
  </si>
  <si>
    <t>FY 2021-22</t>
  </si>
  <si>
    <t>FY 2022-23</t>
  </si>
  <si>
    <t>FY 2023-24</t>
  </si>
  <si>
    <t>FY 2024-25</t>
  </si>
  <si>
    <t>FY 2025-26</t>
  </si>
  <si>
    <t>SIP Contribution ₹ Crore</t>
  </si>
  <si>
    <t>SIP Contribution</t>
  </si>
  <si>
    <t xml:space="preserve">Monthly Report for the month of January 2026 </t>
  </si>
  <si>
    <t>No. of Schemes as on January 31, 2026</t>
  </si>
  <si>
    <t>No. of Folios as on January 31, 2026</t>
  </si>
  <si>
    <t>Funds Mobilized for the month of January 2026 (INR in crore)</t>
  </si>
  <si>
    <t>Repurchase/Redemption for the month of January 2026 (INR in crore)</t>
  </si>
  <si>
    <t>Net Inflow (+ve)/Outflow (-ve) for the month of January 2026 (INR in crore)</t>
  </si>
  <si>
    <t>Net Assets Under Management as on January 31, 2026 (INR in crore)</t>
  </si>
  <si>
    <t>Average Net Assets Under Management for the month January 2026 (INR in crore)</t>
  </si>
  <si>
    <t>No. of segregated portfolios created as on January 31, 2026</t>
  </si>
  <si>
    <t>Net Assets Under Management in segregated portfolio as on January 31, 2026 (INR in crore)</t>
  </si>
  <si>
    <t>## 132</t>
  </si>
  <si>
    <t>## Include NFOs  - Sundaram Income Plus Arbitrage Active FoF, The Wealth Company Gold ETF FOF, Bandhan Gold ETF FOF, Bandhan Silver ETF FOF, Motilal Oswal Diversified Equity Flexicap Passive Fund of Funds</t>
  </si>
  <si>
    <t>Equity  exl Arb, ETFs, Index</t>
  </si>
  <si>
    <t>Total - Dec'25</t>
  </si>
  <si>
    <t>Total - Jan'26</t>
  </si>
  <si>
    <t>Growth - Jan'26 Vs Dec'25</t>
  </si>
  <si>
    <t>Growth - Dec'25 Vs Nov'25</t>
  </si>
  <si>
    <t>No. of Schemes</t>
  </si>
  <si>
    <t>No. of Folios</t>
  </si>
  <si>
    <t>GS</t>
  </si>
  <si>
    <t>Redemption</t>
  </si>
  <si>
    <t>NS</t>
  </si>
  <si>
    <t>AAUM</t>
  </si>
  <si>
    <t>NS - Growth-(Dec'25 Vs Jan'26)</t>
  </si>
  <si>
    <t>AUM - Growth-(Dec'25 Vs Jan'26)</t>
  </si>
  <si>
    <t>GS - Growth-(Dec'25 Vs Jan'26)</t>
  </si>
  <si>
    <t>Growth In below Schemes</t>
  </si>
  <si>
    <t>Growth</t>
  </si>
  <si>
    <t>Debt Scheme</t>
  </si>
  <si>
    <t>Equity Scheme</t>
  </si>
  <si>
    <t>Debt/Equity/Hybrid</t>
  </si>
  <si>
    <t>Dec'25</t>
  </si>
  <si>
    <t>Apr'25 to Jan'26</t>
  </si>
  <si>
    <t>DEBT / EQUITY</t>
  </si>
  <si>
    <t>Mar'25</t>
  </si>
  <si>
    <t>Total</t>
  </si>
  <si>
    <t>Debt-ETF</t>
  </si>
  <si>
    <t>Equity-ETF</t>
  </si>
  <si>
    <t>Open ended Schemes/Closed ended Schemes</t>
  </si>
  <si>
    <t>Asset Type</t>
  </si>
  <si>
    <t>Jan'25</t>
  </si>
  <si>
    <t>Apr'25 to Feb'26</t>
  </si>
  <si>
    <t>Funds Mobilized  (INR in crore)</t>
  </si>
  <si>
    <t>Net Inflow (+ve)/Outflow (-ve)  (INR in crore)</t>
  </si>
  <si>
    <t>GS - Growth-(Jan'26 Vs Feb'26)</t>
  </si>
  <si>
    <t>NS - Growth-(Jan'26 Vs Feb'26)</t>
  </si>
  <si>
    <t>AUM - Growth-(Jan'26 Vs Feb'26)</t>
  </si>
  <si>
    <t>Feb'26</t>
  </si>
  <si>
    <t>No. of Schemes as on February 28, 2026</t>
  </si>
  <si>
    <t>No. of Folios as on February 28, 2026</t>
  </si>
  <si>
    <t>Funds Mobilized for the month of February 2026 (INR in crore)</t>
  </si>
  <si>
    <t>Repurchase/Redemption for the month of February 2026 (INR in crore)</t>
  </si>
  <si>
    <t>Net Inflow (+ve)/Outflow (-ve) for the month of February 2026 (INR in crore)</t>
  </si>
  <si>
    <t>Net Assets Under Management as on February 28, 2026 (INR in crore)</t>
  </si>
  <si>
    <t>Average Net Assets Under Management for the month February 2026 (INR in crore)</t>
  </si>
  <si>
    <t>No. of segregated portfolios created as on February 28, 2026</t>
  </si>
  <si>
    <t>Net Assets Under Management in segregated portfolio as on February 28, 2026 (INR in crore)</t>
  </si>
  <si>
    <t>## 136</t>
  </si>
  <si>
    <t>ELSS-Close Ended</t>
  </si>
  <si>
    <t>Mar'26</t>
  </si>
  <si>
    <t>No. of Schemes as on March 31, 2026</t>
  </si>
  <si>
    <t>No. of Folios as on March 31, 2026</t>
  </si>
  <si>
    <t>Funds Mobilized for the month of March 2026 (INR in crore)</t>
  </si>
  <si>
    <t>Repurchase/Redemption for the month of March 2026 (INR in crore)</t>
  </si>
  <si>
    <t>Net Inflow (+ve)/Outflow (-ve) for the month of March 2026 (INR in crore)</t>
  </si>
  <si>
    <t>Net Assets Under Management as on March 31, 2026 (INR in crore)</t>
  </si>
  <si>
    <t>Average Net Assets Under Management for the month March 2026 (INR in crore)</t>
  </si>
  <si>
    <t>No. of segregated portfolios created as on March 31, 2026</t>
  </si>
  <si>
    <t>Net Assets Under Management in segregated portfolio as on March 31, 2026 (INR in crore)</t>
  </si>
  <si>
    <t>## 145</t>
  </si>
  <si>
    <t>Apr'25 to Mar'26</t>
  </si>
  <si>
    <t>GS - Growth-(Feb'26 Vs Mar'26)</t>
  </si>
  <si>
    <t>NS - Growth-(Feb'26 Vs Mar'26)</t>
  </si>
  <si>
    <t>AUM - Growth-(Feb'26 Vs Mar'26)</t>
  </si>
  <si>
    <t>Apr 25 – Mar 26</t>
  </si>
  <si>
    <t xml:space="preserve">SIP Count - </t>
  </si>
  <si>
    <t>Fig in cr</t>
  </si>
  <si>
    <t>(Lakh)</t>
  </si>
  <si>
    <t>(Cr)</t>
  </si>
  <si>
    <t>FY 2026-27</t>
  </si>
  <si>
    <t>Month-wise SIP contribution collected from FY 2016-17 onwards are mentioned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</si>
</sst>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0.00_);_(* \(#,##0.00\);_(* &quot;-&quot;??_);_(@_)"/>
    <numFmt numFmtId="165" formatCode="_ * #,##0_ ;_ * \-#,##0_ ;_ * &quot;-&quot;??_ ;_ @_ "/>
  </numFmts>
  <fonts count="20" x14ac:knownFonts="1">
    <font>
      <sz val="12"/>
      <color theme="1"/>
      <name val="Source Sans 3"/>
      <family val="2"/>
    </font>
    <font>
      <sz val="10"/>
      <color theme="1"/>
      <name val="Roboto"/>
      <family val="2"/>
    </font>
    <font>
      <b/>
      <sz val="9.5"/>
      <color theme="1"/>
      <name val="Calibri"/>
      <family val="2"/>
    </font>
    <font>
      <sz val="11"/>
      <color theme="1"/>
      <name val="Calibri"/>
      <family val="2"/>
    </font>
    <font>
      <sz val="9"/>
      <name val="Calibri"/>
      <family val="2"/>
    </font>
    <font>
      <sz val="9"/>
      <color theme="1"/>
      <name val="Calibri"/>
      <family val="2"/>
    </font>
    <font>
      <i/>
      <sz val="9"/>
      <color theme="1"/>
      <name val="Calibri"/>
      <family val="2"/>
    </font>
    <font>
      <b/>
      <sz val="9"/>
      <name val="Calibri"/>
      <family val="2"/>
    </font>
    <font>
      <sz val="7"/>
      <name val="Calibri"/>
      <family val="2"/>
    </font>
    <font>
      <sz val="7"/>
      <color theme="1"/>
      <name val="Calibri"/>
      <family val="2"/>
    </font>
    <font>
      <b/>
      <sz val="7"/>
      <name val="Calibri"/>
      <family val="2"/>
    </font>
    <font>
      <sz val="10"/>
      <color theme="1"/>
      <name val="Calibri"/>
      <family val="2"/>
    </font>
    <font>
      <b/>
      <sz val="10"/>
      <color theme="1"/>
      <name val="Calibri"/>
      <family val="2"/>
    </font>
    <font>
      <sz val="12"/>
      <color theme="1"/>
      <name val="Source Sans 3"/>
      <family val="2"/>
    </font>
    <font>
      <b/>
      <sz val="10"/>
      <name val="Calibri"/>
      <family val="2"/>
    </font>
    <font>
      <sz val="10"/>
      <name val="Calibri"/>
      <family val="2"/>
    </font>
    <font>
      <b/>
      <sz val="9.5"/>
      <name val="Calibri"/>
      <family val="2"/>
    </font>
    <font>
      <sz val="10"/>
      <color rgb="FF000000"/>
      <name val="Arial"/>
      <family val="2"/>
    </font>
    <font>
      <sz val="11"/>
      <color theme="1"/>
      <name val="Aptos Narrow"/>
      <family val="2"/>
      <scheme val="minor"/>
    </font>
    <font>
      <sz val="7"/>
      <color theme="1"/>
      <name val="Montserrat"/>
    </font>
  </fonts>
  <fills count="17">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rgb="FFFFE699"/>
        <bgColor indexed="64"/>
      </patternFill>
    </fill>
    <fill>
      <patternFill patternType="solid">
        <fgColor rgb="FFCCCCFF"/>
        <bgColor indexed="64"/>
      </patternFill>
    </fill>
    <fill>
      <patternFill patternType="solid">
        <fgColor rgb="FFF8CBAD"/>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s>
  <cellStyleXfs count="11">
    <xf numFmtId="0" fontId="0" fillId="0" borderId="0"/>
    <xf numFmtId="0" fontId="1" fillId="0" borderId="0"/>
    <xf numFmtId="0" fontId="3" fillId="0" borderId="0"/>
    <xf numFmtId="43" fontId="3" fillId="0" borderId="0" applyFon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17" fillId="0" borderId="0"/>
    <xf numFmtId="164" fontId="17" fillId="0" borderId="0" applyFont="0" applyFill="0" applyBorder="0" applyAlignment="0" applyProtection="0"/>
    <xf numFmtId="43" fontId="18" fillId="0" borderId="0" applyFont="0" applyFill="0" applyBorder="0" applyAlignment="0" applyProtection="0"/>
    <xf numFmtId="0" fontId="18" fillId="0" borderId="0"/>
    <xf numFmtId="9" fontId="17" fillId="0" borderId="0" applyFont="0" applyFill="0" applyBorder="0" applyAlignment="0" applyProtection="0"/>
  </cellStyleXfs>
  <cellXfs count="239">
    <xf numFmtId="0" fontId="0" fillId="0" borderId="0" xfId="0"/>
    <xf numFmtId="0" fontId="4" fillId="0" borderId="0" xfId="2" applyFont="1" applyAlignment="1">
      <alignment vertical="top" wrapText="1"/>
    </xf>
    <xf numFmtId="0" fontId="5" fillId="5" borderId="0" xfId="2" applyFont="1" applyFill="1" applyAlignment="1">
      <alignment vertical="top" wrapText="1"/>
    </xf>
    <xf numFmtId="165" fontId="7" fillId="0" borderId="0" xfId="3" applyNumberFormat="1" applyFont="1" applyAlignment="1">
      <alignment horizontal="left" vertical="top"/>
    </xf>
    <xf numFmtId="0" fontId="7" fillId="0" borderId="0" xfId="2" applyFont="1" applyAlignment="1">
      <alignment vertical="top"/>
    </xf>
    <xf numFmtId="43" fontId="7" fillId="0" borderId="1" xfId="3" applyFont="1" applyFill="1" applyBorder="1" applyAlignment="1">
      <alignment horizontal="right" vertical="center"/>
    </xf>
    <xf numFmtId="165" fontId="7" fillId="0" borderId="1" xfId="3" applyNumberFormat="1" applyFont="1" applyFill="1" applyBorder="1" applyAlignment="1">
      <alignment horizontal="right" vertical="center"/>
    </xf>
    <xf numFmtId="0" fontId="7" fillId="0" borderId="1" xfId="2" applyFont="1" applyBorder="1" applyAlignment="1">
      <alignment horizontal="left" vertical="center"/>
    </xf>
    <xf numFmtId="43" fontId="7" fillId="0" borderId="3" xfId="3" applyFont="1" applyFill="1" applyBorder="1" applyAlignment="1">
      <alignment horizontal="right" vertical="center"/>
    </xf>
    <xf numFmtId="43" fontId="7" fillId="0" borderId="1" xfId="3" applyFont="1" applyBorder="1" applyAlignment="1">
      <alignment horizontal="right" vertical="center"/>
    </xf>
    <xf numFmtId="0" fontId="7" fillId="0" borderId="1" xfId="2" applyFont="1" applyBorder="1" applyAlignment="1">
      <alignment horizontal="center" vertical="center"/>
    </xf>
    <xf numFmtId="43" fontId="7" fillId="6" borderId="1" xfId="3" applyFont="1" applyFill="1" applyBorder="1" applyAlignment="1">
      <alignment horizontal="right" vertical="center"/>
    </xf>
    <xf numFmtId="165" fontId="7" fillId="6" borderId="1" xfId="3" applyNumberFormat="1" applyFont="1" applyFill="1" applyBorder="1" applyAlignment="1">
      <alignment horizontal="right" vertical="center"/>
    </xf>
    <xf numFmtId="0" fontId="7" fillId="6" borderId="1" xfId="2" applyFont="1" applyFill="1" applyBorder="1" applyAlignment="1">
      <alignment horizontal="left" vertical="center"/>
    </xf>
    <xf numFmtId="43" fontId="4" fillId="0" borderId="1" xfId="3" applyFont="1" applyFill="1" applyBorder="1" applyAlignment="1">
      <alignment horizontal="right" vertical="center"/>
    </xf>
    <xf numFmtId="165" fontId="4" fillId="0" borderId="1" xfId="3" applyNumberFormat="1" applyFont="1" applyFill="1" applyBorder="1" applyAlignment="1">
      <alignment horizontal="right" vertical="center"/>
    </xf>
    <xf numFmtId="0" fontId="4" fillId="0" borderId="1" xfId="2" applyFont="1" applyBorder="1" applyAlignment="1">
      <alignment horizontal="left" vertical="center"/>
    </xf>
    <xf numFmtId="0" fontId="4" fillId="0" borderId="1" xfId="2" applyFont="1" applyBorder="1" applyAlignment="1">
      <alignment horizontal="center" vertical="center"/>
    </xf>
    <xf numFmtId="165" fontId="4" fillId="0" borderId="7" xfId="3" applyNumberFormat="1" applyFont="1" applyFill="1" applyBorder="1" applyAlignment="1">
      <alignment horizontal="right" vertical="center"/>
    </xf>
    <xf numFmtId="43" fontId="4" fillId="0" borderId="3" xfId="3" applyFont="1" applyFill="1" applyBorder="1" applyAlignment="1">
      <alignment horizontal="right" vertical="center"/>
    </xf>
    <xf numFmtId="0" fontId="4" fillId="0" borderId="2" xfId="2" applyFont="1" applyBorder="1" applyAlignment="1">
      <alignment horizontal="center" vertical="center"/>
    </xf>
    <xf numFmtId="43" fontId="4" fillId="0" borderId="1" xfId="3" applyFont="1" applyBorder="1" applyAlignment="1">
      <alignment horizontal="right" vertical="center"/>
    </xf>
    <xf numFmtId="0" fontId="7" fillId="7" borderId="1" xfId="2" applyFont="1" applyFill="1" applyBorder="1" applyAlignment="1">
      <alignment horizontal="left" vertical="center"/>
    </xf>
    <xf numFmtId="0" fontId="7" fillId="7" borderId="1" xfId="2" applyFont="1" applyFill="1" applyBorder="1" applyAlignment="1">
      <alignment horizontal="center" vertical="center" wrapText="1"/>
    </xf>
    <xf numFmtId="0" fontId="7" fillId="7" borderId="2" xfId="2" applyFont="1" applyFill="1" applyBorder="1" applyAlignment="1">
      <alignment horizontal="center" vertical="center" wrapText="1"/>
    </xf>
    <xf numFmtId="43" fontId="7" fillId="8" borderId="1" xfId="3" applyFont="1" applyFill="1" applyBorder="1" applyAlignment="1">
      <alignment horizontal="right" vertical="center"/>
    </xf>
    <xf numFmtId="165" fontId="7" fillId="8" borderId="1" xfId="3" applyNumberFormat="1" applyFont="1" applyFill="1" applyBorder="1" applyAlignment="1">
      <alignment horizontal="right" vertical="center"/>
    </xf>
    <xf numFmtId="0" fontId="7" fillId="8" borderId="1" xfId="2" applyFont="1" applyFill="1" applyBorder="1" applyAlignment="1">
      <alignment horizontal="left" vertical="center"/>
    </xf>
    <xf numFmtId="0" fontId="8" fillId="0" borderId="0" xfId="2" applyFont="1" applyAlignment="1">
      <alignment vertical="top" wrapText="1"/>
    </xf>
    <xf numFmtId="0" fontId="9" fillId="5" borderId="0" xfId="2" applyFont="1" applyFill="1" applyAlignment="1">
      <alignment vertical="top" wrapText="1"/>
    </xf>
    <xf numFmtId="0" fontId="11" fillId="0" borderId="0" xfId="0" applyFont="1"/>
    <xf numFmtId="0" fontId="12" fillId="0" borderId="0" xfId="0" applyFont="1"/>
    <xf numFmtId="0" fontId="11" fillId="0" borderId="0" xfId="0" applyFont="1" applyAlignment="1">
      <alignment vertical="center"/>
    </xf>
    <xf numFmtId="3" fontId="12" fillId="0" borderId="1" xfId="0" applyNumberFormat="1" applyFont="1" applyBorder="1" applyAlignment="1">
      <alignment horizontal="center"/>
    </xf>
    <xf numFmtId="4" fontId="12" fillId="0" borderId="1" xfId="0" applyNumberFormat="1" applyFont="1" applyBorder="1" applyAlignment="1">
      <alignment horizontal="center"/>
    </xf>
    <xf numFmtId="0" fontId="12" fillId="0" borderId="1" xfId="0" applyFont="1" applyBorder="1" applyAlignment="1">
      <alignment horizontal="left"/>
    </xf>
    <xf numFmtId="3" fontId="11" fillId="0" borderId="1" xfId="0" applyNumberFormat="1" applyFont="1" applyBorder="1" applyAlignment="1">
      <alignment horizontal="center"/>
    </xf>
    <xf numFmtId="4" fontId="11" fillId="0" borderId="1" xfId="0" applyNumberFormat="1" applyFont="1" applyBorder="1" applyAlignment="1">
      <alignment horizontal="center"/>
    </xf>
    <xf numFmtId="17" fontId="11" fillId="0" borderId="1" xfId="0" applyNumberFormat="1" applyFont="1" applyBorder="1" applyAlignment="1">
      <alignment horizontal="left"/>
    </xf>
    <xf numFmtId="3" fontId="12" fillId="4" borderId="1" xfId="0" applyNumberFormat="1" applyFont="1" applyFill="1" applyBorder="1" applyAlignment="1">
      <alignment horizontal="center"/>
    </xf>
    <xf numFmtId="0" fontId="11" fillId="0" borderId="0" xfId="0" applyFont="1" applyAlignment="1">
      <alignment wrapText="1"/>
    </xf>
    <xf numFmtId="0" fontId="12" fillId="3" borderId="1" xfId="0" applyFont="1" applyFill="1" applyBorder="1" applyAlignment="1">
      <alignment horizontal="center" vertical="center" wrapText="1"/>
    </xf>
    <xf numFmtId="0" fontId="12" fillId="10" borderId="0" xfId="0" applyFont="1" applyFill="1"/>
    <xf numFmtId="3" fontId="11" fillId="4" borderId="1" xfId="0" applyNumberFormat="1" applyFont="1" applyFill="1" applyBorder="1" applyAlignment="1">
      <alignment horizontal="center"/>
    </xf>
    <xf numFmtId="0" fontId="11" fillId="0" borderId="1" xfId="0" applyFont="1" applyBorder="1"/>
    <xf numFmtId="3" fontId="12" fillId="3" borderId="1" xfId="0" applyNumberFormat="1" applyFont="1" applyFill="1" applyBorder="1" applyAlignment="1">
      <alignment horizontal="center"/>
    </xf>
    <xf numFmtId="0" fontId="12" fillId="3" borderId="1" xfId="0" applyFont="1" applyFill="1" applyBorder="1" applyAlignment="1">
      <alignment horizontal="center"/>
    </xf>
    <xf numFmtId="0" fontId="12" fillId="4" borderId="1" xfId="0" applyFont="1" applyFill="1" applyBorder="1" applyAlignment="1">
      <alignment horizontal="center"/>
    </xf>
    <xf numFmtId="0" fontId="9" fillId="5" borderId="0" xfId="2" applyFont="1" applyFill="1" applyAlignment="1">
      <alignment vertical="top"/>
    </xf>
    <xf numFmtId="0" fontId="5" fillId="5" borderId="0" xfId="2" applyFont="1" applyFill="1" applyAlignment="1">
      <alignment vertical="top"/>
    </xf>
    <xf numFmtId="0" fontId="7" fillId="7" borderId="1" xfId="2" applyFont="1" applyFill="1" applyBorder="1" applyAlignment="1">
      <alignment horizontal="center" vertical="center"/>
    </xf>
    <xf numFmtId="0" fontId="7" fillId="7" borderId="2" xfId="2" applyFont="1" applyFill="1" applyBorder="1" applyAlignment="1">
      <alignment horizontal="center" vertical="center"/>
    </xf>
    <xf numFmtId="0" fontId="4" fillId="0" borderId="1" xfId="2" applyFont="1" applyBorder="1" applyAlignment="1">
      <alignment vertical="top"/>
    </xf>
    <xf numFmtId="0" fontId="4" fillId="0" borderId="7" xfId="2" applyFont="1" applyBorder="1" applyAlignment="1">
      <alignment vertical="top"/>
    </xf>
    <xf numFmtId="0" fontId="4" fillId="0" borderId="3" xfId="2" applyFont="1" applyBorder="1" applyAlignment="1">
      <alignment vertical="top"/>
    </xf>
    <xf numFmtId="165" fontId="4" fillId="0" borderId="1" xfId="3" applyNumberFormat="1" applyFont="1" applyBorder="1" applyAlignment="1">
      <alignment vertical="top"/>
    </xf>
    <xf numFmtId="43" fontId="4" fillId="0" borderId="1" xfId="3" applyFont="1" applyBorder="1" applyAlignment="1">
      <alignment vertical="top"/>
    </xf>
    <xf numFmtId="0" fontId="4" fillId="0" borderId="2" xfId="2" applyFont="1" applyBorder="1" applyAlignment="1">
      <alignment vertical="top"/>
    </xf>
    <xf numFmtId="165" fontId="4" fillId="0" borderId="7" xfId="3" applyNumberFormat="1" applyFont="1" applyBorder="1" applyAlignment="1">
      <alignment vertical="top"/>
    </xf>
    <xf numFmtId="43" fontId="4" fillId="0" borderId="3" xfId="3" applyFont="1" applyBorder="1" applyAlignment="1">
      <alignment vertical="top"/>
    </xf>
    <xf numFmtId="0" fontId="4" fillId="0" borderId="1" xfId="2" applyFont="1" applyBorder="1" applyAlignment="1">
      <alignment vertical="center"/>
    </xf>
    <xf numFmtId="165" fontId="4" fillId="0" borderId="1" xfId="3" applyNumberFormat="1" applyFont="1" applyBorder="1" applyAlignment="1">
      <alignment vertical="center"/>
    </xf>
    <xf numFmtId="43" fontId="4" fillId="0" borderId="1" xfId="3" applyFont="1" applyBorder="1" applyAlignment="1">
      <alignment vertical="center"/>
    </xf>
    <xf numFmtId="0" fontId="4" fillId="0" borderId="0" xfId="2" applyFont="1" applyAlignment="1">
      <alignment vertical="top"/>
    </xf>
    <xf numFmtId="165" fontId="4" fillId="0" borderId="0" xfId="2" applyNumberFormat="1" applyFont="1" applyAlignment="1">
      <alignment vertical="top"/>
    </xf>
    <xf numFmtId="165" fontId="4" fillId="0" borderId="0" xfId="3" applyNumberFormat="1" applyFont="1" applyAlignment="1">
      <alignment vertical="top"/>
    </xf>
    <xf numFmtId="43" fontId="4" fillId="0" borderId="0" xfId="3" applyFont="1" applyAlignment="1">
      <alignment vertical="top"/>
    </xf>
    <xf numFmtId="0" fontId="4" fillId="0" borderId="26" xfId="2" applyFont="1" applyBorder="1" applyAlignment="1">
      <alignment vertical="top"/>
    </xf>
    <xf numFmtId="165" fontId="4" fillId="0" borderId="0" xfId="3" applyNumberFormat="1" applyFont="1" applyBorder="1" applyAlignment="1">
      <alignment vertical="top"/>
    </xf>
    <xf numFmtId="43" fontId="4" fillId="0" borderId="0" xfId="3" applyFont="1" applyBorder="1" applyAlignment="1">
      <alignment vertical="top"/>
    </xf>
    <xf numFmtId="43" fontId="4" fillId="0" borderId="23" xfId="3" applyFont="1" applyBorder="1" applyAlignment="1">
      <alignment vertical="top"/>
    </xf>
    <xf numFmtId="0" fontId="4" fillId="0" borderId="13" xfId="2" applyFont="1" applyBorder="1" applyAlignment="1">
      <alignment vertical="top"/>
    </xf>
    <xf numFmtId="43" fontId="4" fillId="0" borderId="14" xfId="3" applyFont="1" applyBorder="1" applyAlignment="1">
      <alignment vertical="top"/>
    </xf>
    <xf numFmtId="0" fontId="4" fillId="0" borderId="25" xfId="2" applyFont="1" applyBorder="1" applyAlignment="1">
      <alignment vertical="top"/>
    </xf>
    <xf numFmtId="0" fontId="4" fillId="0" borderId="19" xfId="2" applyFont="1" applyBorder="1" applyAlignment="1">
      <alignment vertical="top"/>
    </xf>
    <xf numFmtId="43" fontId="4" fillId="0" borderId="17" xfId="3" applyFont="1" applyBorder="1" applyAlignment="1">
      <alignment vertical="top"/>
    </xf>
    <xf numFmtId="165" fontId="4" fillId="0" borderId="17" xfId="3" applyNumberFormat="1" applyFont="1" applyBorder="1" applyAlignment="1">
      <alignment vertical="top"/>
    </xf>
    <xf numFmtId="43" fontId="4" fillId="0" borderId="16" xfId="3" applyFont="1" applyBorder="1" applyAlignment="1">
      <alignment vertical="top"/>
    </xf>
    <xf numFmtId="165" fontId="7" fillId="3" borderId="1" xfId="3" applyNumberFormat="1" applyFont="1" applyFill="1" applyBorder="1" applyAlignment="1">
      <alignment horizontal="right" vertical="center"/>
    </xf>
    <xf numFmtId="43" fontId="7" fillId="3" borderId="1" xfId="3" applyFont="1" applyFill="1" applyBorder="1" applyAlignment="1">
      <alignment horizontal="right" vertical="center"/>
    </xf>
    <xf numFmtId="43" fontId="14" fillId="7" borderId="1" xfId="4" applyFont="1" applyFill="1" applyBorder="1" applyAlignment="1">
      <alignment horizontal="center" vertical="center" wrapText="1"/>
    </xf>
    <xf numFmtId="165" fontId="14" fillId="7" borderId="1" xfId="4" applyNumberFormat="1" applyFont="1" applyFill="1" applyBorder="1" applyAlignment="1">
      <alignment horizontal="center" vertical="center" wrapText="1"/>
    </xf>
    <xf numFmtId="43" fontId="14" fillId="7" borderId="1" xfId="4" applyFont="1" applyFill="1" applyBorder="1" applyAlignment="1">
      <alignment horizontal="left" vertical="center"/>
    </xf>
    <xf numFmtId="165" fontId="15" fillId="0" borderId="1" xfId="4" applyNumberFormat="1" applyFont="1" applyBorder="1" applyAlignment="1">
      <alignment vertical="top" wrapText="1"/>
    </xf>
    <xf numFmtId="43" fontId="15" fillId="0" borderId="1" xfId="4" applyFont="1" applyBorder="1" applyAlignment="1">
      <alignment vertical="top" wrapText="1"/>
    </xf>
    <xf numFmtId="43" fontId="15" fillId="0" borderId="1" xfId="4" applyFont="1" applyBorder="1" applyAlignment="1">
      <alignment horizontal="center" vertical="center"/>
    </xf>
    <xf numFmtId="43" fontId="15" fillId="0" borderId="1" xfId="4" applyFont="1" applyBorder="1" applyAlignment="1">
      <alignment horizontal="left" vertical="center"/>
    </xf>
    <xf numFmtId="165" fontId="15" fillId="0" borderId="1" xfId="4" applyNumberFormat="1" applyFont="1" applyBorder="1" applyAlignment="1">
      <alignment horizontal="right" vertical="center"/>
    </xf>
    <xf numFmtId="43" fontId="15" fillId="0" borderId="1" xfId="4" applyFont="1" applyBorder="1" applyAlignment="1">
      <alignment horizontal="right" vertical="center"/>
    </xf>
    <xf numFmtId="43" fontId="14" fillId="8" borderId="1" xfId="4" applyFont="1" applyFill="1" applyBorder="1" applyAlignment="1">
      <alignment horizontal="left" vertical="center"/>
    </xf>
    <xf numFmtId="43" fontId="14" fillId="0" borderId="1" xfId="4" applyFont="1" applyBorder="1" applyAlignment="1">
      <alignment horizontal="left" vertical="center"/>
    </xf>
    <xf numFmtId="43" fontId="14" fillId="6" borderId="1" xfId="4" applyFont="1" applyFill="1" applyBorder="1" applyAlignment="1">
      <alignment horizontal="left" vertical="center"/>
    </xf>
    <xf numFmtId="43" fontId="14" fillId="0" borderId="1" xfId="4" applyFont="1" applyBorder="1" applyAlignment="1">
      <alignment horizontal="center" vertical="center"/>
    </xf>
    <xf numFmtId="165" fontId="14" fillId="0" borderId="1" xfId="4" applyNumberFormat="1" applyFont="1" applyBorder="1" applyAlignment="1">
      <alignment horizontal="right" vertical="center"/>
    </xf>
    <xf numFmtId="43" fontId="14" fillId="0" borderId="1" xfId="4" applyFont="1" applyBorder="1" applyAlignment="1">
      <alignment horizontal="right" vertical="center"/>
    </xf>
    <xf numFmtId="0" fontId="0" fillId="0" borderId="1" xfId="0" applyBorder="1"/>
    <xf numFmtId="0" fontId="14" fillId="3" borderId="1" xfId="2" applyFont="1" applyFill="1" applyBorder="1" applyAlignment="1">
      <alignment vertical="top" wrapText="1"/>
    </xf>
    <xf numFmtId="10" fontId="14" fillId="3" borderId="1" xfId="5" applyNumberFormat="1" applyFont="1" applyFill="1" applyBorder="1" applyAlignment="1">
      <alignment horizontal="center" vertical="top" wrapText="1"/>
    </xf>
    <xf numFmtId="0" fontId="14" fillId="3" borderId="1" xfId="2" applyFont="1" applyFill="1" applyBorder="1" applyAlignment="1">
      <alignment vertical="top"/>
    </xf>
    <xf numFmtId="0" fontId="14" fillId="3" borderId="1" xfId="2" applyFont="1" applyFill="1" applyBorder="1" applyAlignment="1">
      <alignment horizontal="left" vertical="top"/>
    </xf>
    <xf numFmtId="165" fontId="14" fillId="3" borderId="1" xfId="5" applyNumberFormat="1" applyFont="1" applyFill="1" applyBorder="1" applyAlignment="1">
      <alignment horizontal="center" vertical="top" wrapText="1"/>
    </xf>
    <xf numFmtId="10" fontId="14" fillId="3" borderId="1" xfId="5" applyNumberFormat="1" applyFont="1" applyFill="1" applyBorder="1" applyAlignment="1">
      <alignment horizontal="center" vertical="top"/>
    </xf>
    <xf numFmtId="0" fontId="7" fillId="7" borderId="1" xfId="2" applyFont="1" applyFill="1" applyBorder="1" applyAlignment="1">
      <alignment vertical="center"/>
    </xf>
    <xf numFmtId="43" fontId="4" fillId="3" borderId="1" xfId="3" applyFont="1" applyFill="1" applyBorder="1" applyAlignment="1">
      <alignment horizontal="right" vertical="center"/>
    </xf>
    <xf numFmtId="43" fontId="15" fillId="3" borderId="1" xfId="4" applyFont="1" applyFill="1" applyBorder="1" applyAlignment="1">
      <alignment horizontal="right" vertical="center"/>
    </xf>
    <xf numFmtId="0" fontId="8" fillId="0" borderId="0" xfId="2" applyFont="1" applyAlignment="1">
      <alignment horizontal="center" vertical="top" wrapText="1"/>
    </xf>
    <xf numFmtId="0" fontId="4" fillId="0" borderId="0" xfId="2" applyFont="1" applyAlignment="1">
      <alignment horizontal="center" vertical="top" wrapText="1"/>
    </xf>
    <xf numFmtId="9" fontId="4" fillId="0" borderId="0" xfId="5" applyFont="1" applyAlignment="1">
      <alignment horizontal="center" vertical="top" wrapText="1"/>
    </xf>
    <xf numFmtId="9" fontId="4" fillId="3" borderId="0" xfId="5" applyFont="1" applyFill="1" applyAlignment="1">
      <alignment horizontal="center" vertical="top" wrapText="1"/>
    </xf>
    <xf numFmtId="0" fontId="7" fillId="3" borderId="1" xfId="2" applyFont="1" applyFill="1" applyBorder="1" applyAlignment="1">
      <alignment horizontal="center" vertical="center" wrapText="1"/>
    </xf>
    <xf numFmtId="9" fontId="4" fillId="0" borderId="0" xfId="5" applyFont="1" applyFill="1" applyAlignment="1">
      <alignment horizontal="center" vertical="top" wrapText="1"/>
    </xf>
    <xf numFmtId="43" fontId="15" fillId="11" borderId="1" xfId="4" applyFont="1" applyFill="1" applyBorder="1" applyAlignment="1">
      <alignment horizontal="right" vertical="center"/>
    </xf>
    <xf numFmtId="43" fontId="4" fillId="11" borderId="1" xfId="3" applyFont="1" applyFill="1" applyBorder="1" applyAlignment="1">
      <alignment horizontal="right" vertical="center"/>
    </xf>
    <xf numFmtId="43" fontId="15" fillId="0" borderId="1" xfId="4" applyFont="1" applyFill="1" applyBorder="1" applyAlignment="1">
      <alignment horizontal="right" vertical="center"/>
    </xf>
    <xf numFmtId="165" fontId="7" fillId="11" borderId="1" xfId="3" applyNumberFormat="1" applyFont="1" applyFill="1" applyBorder="1" applyAlignment="1">
      <alignment horizontal="right" vertical="center"/>
    </xf>
    <xf numFmtId="0" fontId="4" fillId="0" borderId="1" xfId="2" applyFont="1" applyBorder="1" applyAlignment="1">
      <alignment vertical="top" wrapText="1"/>
    </xf>
    <xf numFmtId="0" fontId="7" fillId="3" borderId="1" xfId="2" applyFont="1" applyFill="1" applyBorder="1" applyAlignment="1">
      <alignment horizontal="left" vertical="top" wrapText="1"/>
    </xf>
    <xf numFmtId="0" fontId="7" fillId="3" borderId="1" xfId="2" applyFont="1" applyFill="1" applyBorder="1" applyAlignment="1">
      <alignment horizontal="center" vertical="top" wrapText="1"/>
    </xf>
    <xf numFmtId="43" fontId="16" fillId="7" borderId="1" xfId="4" applyFont="1" applyFill="1" applyBorder="1" applyAlignment="1">
      <alignment horizontal="left" vertical="center"/>
    </xf>
    <xf numFmtId="0" fontId="4" fillId="0" borderId="32" xfId="2" applyFont="1" applyBorder="1" applyAlignment="1">
      <alignment vertical="center"/>
    </xf>
    <xf numFmtId="0" fontId="7" fillId="12" borderId="1" xfId="2" applyFont="1" applyFill="1" applyBorder="1" applyAlignment="1">
      <alignment vertical="center"/>
    </xf>
    <xf numFmtId="9" fontId="7" fillId="12" borderId="1" xfId="5" applyFont="1" applyFill="1" applyBorder="1" applyAlignment="1">
      <alignment horizontal="center" vertical="top" wrapText="1"/>
    </xf>
    <xf numFmtId="9" fontId="4" fillId="3" borderId="1" xfId="5" applyFont="1" applyFill="1" applyBorder="1" applyAlignment="1">
      <alignment horizontal="center" vertical="top" wrapText="1"/>
    </xf>
    <xf numFmtId="0" fontId="6" fillId="0" borderId="0" xfId="2" applyFont="1" applyAlignment="1">
      <alignment horizontal="center" vertical="center"/>
    </xf>
    <xf numFmtId="0" fontId="4" fillId="0" borderId="21" xfId="2" applyFont="1" applyBorder="1" applyAlignment="1">
      <alignment vertical="top"/>
    </xf>
    <xf numFmtId="0" fontId="4" fillId="0" borderId="20" xfId="2" applyFont="1" applyBorder="1" applyAlignment="1">
      <alignment vertical="top"/>
    </xf>
    <xf numFmtId="0" fontId="12" fillId="9" borderId="1" xfId="0" applyFont="1" applyFill="1" applyBorder="1" applyAlignment="1">
      <alignment horizontal="left"/>
    </xf>
    <xf numFmtId="4" fontId="12" fillId="9" borderId="1" xfId="0" applyNumberFormat="1" applyFont="1" applyFill="1" applyBorder="1" applyAlignment="1">
      <alignment horizontal="center"/>
    </xf>
    <xf numFmtId="3" fontId="12" fillId="9" borderId="1" xfId="0" applyNumberFormat="1" applyFont="1" applyFill="1" applyBorder="1" applyAlignment="1">
      <alignment horizontal="center"/>
    </xf>
    <xf numFmtId="4" fontId="11" fillId="13" borderId="1" xfId="0" applyNumberFormat="1" applyFont="1" applyFill="1" applyBorder="1" applyAlignment="1">
      <alignment horizontal="center"/>
    </xf>
    <xf numFmtId="0" fontId="11" fillId="13" borderId="0" xfId="0" applyFont="1" applyFill="1" applyAlignment="1">
      <alignment vertical="center"/>
    </xf>
    <xf numFmtId="0" fontId="7" fillId="13" borderId="1" xfId="2" applyFont="1" applyFill="1" applyBorder="1" applyAlignment="1">
      <alignment horizontal="center" vertical="center" wrapText="1"/>
    </xf>
    <xf numFmtId="43" fontId="14" fillId="13" borderId="1" xfId="4" applyFont="1" applyFill="1" applyBorder="1" applyAlignment="1">
      <alignment horizontal="center" vertical="center" wrapText="1"/>
    </xf>
    <xf numFmtId="0" fontId="7" fillId="14" borderId="1" xfId="2" applyFont="1" applyFill="1" applyBorder="1" applyAlignment="1">
      <alignment horizontal="center" vertical="center" wrapText="1"/>
    </xf>
    <xf numFmtId="43" fontId="14" fillId="14" borderId="1" xfId="4" applyFont="1" applyFill="1" applyBorder="1" applyAlignment="1">
      <alignment horizontal="center" vertical="center" wrapText="1"/>
    </xf>
    <xf numFmtId="43" fontId="14" fillId="3" borderId="1" xfId="4" applyFont="1" applyFill="1" applyBorder="1" applyAlignment="1">
      <alignment horizontal="center" vertical="center" wrapText="1"/>
    </xf>
    <xf numFmtId="9" fontId="7" fillId="13" borderId="1" xfId="5" applyFont="1" applyFill="1" applyBorder="1" applyAlignment="1">
      <alignment horizontal="center" vertical="center" wrapText="1"/>
    </xf>
    <xf numFmtId="9" fontId="7" fillId="14" borderId="1" xfId="5" applyFont="1" applyFill="1" applyBorder="1" applyAlignment="1">
      <alignment horizontal="center" vertical="center" wrapText="1"/>
    </xf>
    <xf numFmtId="9" fontId="7" fillId="3" borderId="1" xfId="5" applyFont="1" applyFill="1" applyBorder="1" applyAlignment="1">
      <alignment horizontal="center" vertical="center" wrapText="1"/>
    </xf>
    <xf numFmtId="3" fontId="7" fillId="13" borderId="1" xfId="5" applyNumberFormat="1" applyFont="1" applyFill="1" applyBorder="1" applyAlignment="1">
      <alignment horizontal="center" vertical="center" wrapText="1"/>
    </xf>
    <xf numFmtId="3" fontId="7" fillId="14" borderId="1" xfId="5" applyNumberFormat="1" applyFont="1" applyFill="1" applyBorder="1" applyAlignment="1">
      <alignment horizontal="center" vertical="center" wrapText="1"/>
    </xf>
    <xf numFmtId="43" fontId="14" fillId="4" borderId="1" xfId="4" applyFont="1" applyFill="1" applyBorder="1" applyAlignment="1">
      <alignment horizontal="center" vertical="center" wrapText="1"/>
    </xf>
    <xf numFmtId="43" fontId="4" fillId="0" borderId="5" xfId="3" applyFont="1" applyFill="1" applyBorder="1" applyAlignment="1">
      <alignment horizontal="right" vertical="center"/>
    </xf>
    <xf numFmtId="43" fontId="14" fillId="10" borderId="1" xfId="4" applyFont="1" applyFill="1" applyBorder="1" applyAlignment="1">
      <alignment horizontal="center" vertical="center" wrapText="1"/>
    </xf>
    <xf numFmtId="43" fontId="14" fillId="15" borderId="1" xfId="4" applyFont="1" applyFill="1" applyBorder="1" applyAlignment="1">
      <alignment horizontal="center" vertical="center" wrapText="1"/>
    </xf>
    <xf numFmtId="165" fontId="7" fillId="15" borderId="1" xfId="3" applyNumberFormat="1" applyFont="1" applyFill="1" applyBorder="1" applyAlignment="1">
      <alignment horizontal="right" vertical="center"/>
    </xf>
    <xf numFmtId="165" fontId="7" fillId="10" borderId="1" xfId="3" applyNumberFormat="1" applyFont="1" applyFill="1" applyBorder="1" applyAlignment="1">
      <alignment horizontal="right" vertical="center"/>
    </xf>
    <xf numFmtId="0" fontId="6" fillId="0" borderId="0" xfId="2" applyFont="1" applyAlignment="1">
      <alignment vertical="center"/>
    </xf>
    <xf numFmtId="0" fontId="2" fillId="2" borderId="1" xfId="0" applyFont="1" applyFill="1" applyBorder="1" applyAlignment="1">
      <alignment horizontal="center" vertical="center" wrapText="1"/>
    </xf>
    <xf numFmtId="0" fontId="7" fillId="3" borderId="32" xfId="2" applyFont="1" applyFill="1" applyBorder="1" applyAlignment="1">
      <alignment horizontal="center" vertical="center" wrapText="1"/>
    </xf>
    <xf numFmtId="165" fontId="4" fillId="0" borderId="9" xfId="3" applyNumberFormat="1" applyFont="1" applyFill="1" applyBorder="1" applyAlignment="1">
      <alignment horizontal="right" vertical="center"/>
    </xf>
    <xf numFmtId="43" fontId="4" fillId="0" borderId="9" xfId="3" applyFont="1" applyFill="1" applyBorder="1" applyAlignment="1">
      <alignment horizontal="right" vertical="center"/>
    </xf>
    <xf numFmtId="165" fontId="4" fillId="0" borderId="12" xfId="3" applyNumberFormat="1" applyFont="1" applyFill="1" applyBorder="1" applyAlignment="1">
      <alignment horizontal="right" vertical="center"/>
    </xf>
    <xf numFmtId="43" fontId="4" fillId="0" borderId="11" xfId="3" applyFont="1" applyFill="1" applyBorder="1" applyAlignment="1">
      <alignment horizontal="right" vertical="center"/>
    </xf>
    <xf numFmtId="43" fontId="4" fillId="3" borderId="9" xfId="3" applyFont="1" applyFill="1" applyBorder="1" applyAlignment="1">
      <alignment horizontal="right" vertical="center"/>
    </xf>
    <xf numFmtId="165" fontId="15" fillId="0" borderId="9" xfId="4" applyNumberFormat="1" applyFont="1" applyBorder="1" applyAlignment="1">
      <alignment horizontal="right" vertical="center"/>
    </xf>
    <xf numFmtId="43" fontId="15" fillId="0" borderId="9" xfId="4" applyFont="1" applyBorder="1" applyAlignment="1">
      <alignment horizontal="right" vertical="center"/>
    </xf>
    <xf numFmtId="43" fontId="15" fillId="3" borderId="9" xfId="4" applyFont="1" applyFill="1" applyBorder="1" applyAlignment="1">
      <alignment horizontal="right" vertical="center"/>
    </xf>
    <xf numFmtId="9" fontId="7" fillId="3" borderId="9" xfId="5" applyFont="1" applyFill="1" applyBorder="1" applyAlignment="1">
      <alignment horizontal="center" vertical="center" wrapText="1"/>
    </xf>
    <xf numFmtId="0" fontId="5" fillId="5" borderId="1" xfId="2" applyFont="1" applyFill="1" applyBorder="1" applyAlignment="1">
      <alignment vertical="top" wrapText="1"/>
    </xf>
    <xf numFmtId="0" fontId="4" fillId="0" borderId="9" xfId="2" applyFont="1" applyBorder="1" applyAlignment="1">
      <alignment horizontal="left" vertical="center"/>
    </xf>
    <xf numFmtId="0" fontId="4" fillId="0" borderId="0" xfId="2" applyFont="1" applyAlignment="1">
      <alignment horizontal="center" vertical="center"/>
    </xf>
    <xf numFmtId="3" fontId="14" fillId="3" borderId="1" xfId="5" applyNumberFormat="1" applyFont="1" applyFill="1" applyBorder="1" applyAlignment="1">
      <alignment horizontal="center" vertical="center" wrapText="1"/>
    </xf>
    <xf numFmtId="165" fontId="4" fillId="0" borderId="0" xfId="3" applyNumberFormat="1" applyFont="1" applyBorder="1" applyAlignment="1">
      <alignment horizontal="center" vertical="center"/>
    </xf>
    <xf numFmtId="9" fontId="7" fillId="0" borderId="1" xfId="5" applyFont="1" applyFill="1" applyBorder="1" applyAlignment="1">
      <alignment horizontal="center" vertical="center" wrapText="1"/>
    </xf>
    <xf numFmtId="3" fontId="7" fillId="15" borderId="9" xfId="5" applyNumberFormat="1" applyFont="1" applyFill="1" applyBorder="1" applyAlignment="1">
      <alignment horizontal="center" vertical="center" wrapText="1"/>
    </xf>
    <xf numFmtId="9" fontId="7" fillId="15" borderId="1" xfId="5" applyFont="1" applyFill="1" applyBorder="1" applyAlignment="1">
      <alignment horizontal="center" vertical="center" wrapText="1"/>
    </xf>
    <xf numFmtId="0" fontId="7" fillId="15" borderId="32" xfId="2" applyFont="1" applyFill="1" applyBorder="1" applyAlignment="1">
      <alignment horizontal="center" vertical="center" wrapText="1"/>
    </xf>
    <xf numFmtId="0" fontId="7" fillId="15" borderId="1" xfId="2" applyFont="1" applyFill="1" applyBorder="1" applyAlignment="1">
      <alignment horizontal="center" vertical="center" wrapText="1"/>
    </xf>
    <xf numFmtId="9" fontId="7" fillId="15" borderId="9" xfId="5" applyFont="1" applyFill="1" applyBorder="1" applyAlignment="1">
      <alignment horizontal="center" vertical="center" wrapText="1"/>
    </xf>
    <xf numFmtId="43" fontId="14" fillId="16" borderId="1" xfId="4" applyFont="1" applyFill="1" applyBorder="1" applyAlignment="1">
      <alignment horizontal="center" vertical="center" wrapText="1"/>
    </xf>
    <xf numFmtId="3" fontId="7" fillId="16" borderId="9" xfId="5" applyNumberFormat="1" applyFont="1" applyFill="1" applyBorder="1" applyAlignment="1">
      <alignment horizontal="center" vertical="center" wrapText="1"/>
    </xf>
    <xf numFmtId="9" fontId="7" fillId="16" borderId="1" xfId="5" applyFont="1" applyFill="1" applyBorder="1" applyAlignment="1">
      <alignment horizontal="center" vertical="center" wrapText="1"/>
    </xf>
    <xf numFmtId="0" fontId="7" fillId="16" borderId="1" xfId="2" applyFont="1" applyFill="1" applyBorder="1" applyAlignment="1">
      <alignment horizontal="center" vertical="center" wrapText="1"/>
    </xf>
    <xf numFmtId="9" fontId="7" fillId="16" borderId="9" xfId="5" applyFont="1" applyFill="1" applyBorder="1" applyAlignment="1">
      <alignment horizontal="center" vertical="center" wrapText="1"/>
    </xf>
    <xf numFmtId="3" fontId="6" fillId="0" borderId="0" xfId="2" applyNumberFormat="1" applyFont="1" applyAlignment="1">
      <alignment horizontal="center" vertical="center"/>
    </xf>
    <xf numFmtId="3" fontId="4" fillId="4" borderId="9" xfId="3" applyNumberFormat="1" applyFont="1" applyFill="1" applyBorder="1" applyAlignment="1">
      <alignment horizontal="center" vertical="center"/>
    </xf>
    <xf numFmtId="3" fontId="4" fillId="4" borderId="1" xfId="3" applyNumberFormat="1" applyFont="1" applyFill="1" applyBorder="1" applyAlignment="1">
      <alignment horizontal="center" vertical="center"/>
    </xf>
    <xf numFmtId="43" fontId="4" fillId="4" borderId="1" xfId="3" applyFont="1" applyFill="1" applyBorder="1" applyAlignment="1">
      <alignment horizontal="right" vertical="center"/>
    </xf>
    <xf numFmtId="10" fontId="7" fillId="3" borderId="1" xfId="5" applyNumberFormat="1" applyFont="1" applyFill="1" applyBorder="1" applyAlignment="1">
      <alignment horizontal="center" vertical="center" wrapText="1"/>
    </xf>
    <xf numFmtId="9" fontId="4" fillId="16" borderId="1" xfId="5" applyFont="1" applyFill="1" applyBorder="1" applyAlignment="1">
      <alignment horizontal="center" vertical="top" wrapText="1"/>
    </xf>
    <xf numFmtId="9" fontId="7" fillId="16" borderId="0" xfId="5" applyFont="1" applyFill="1" applyBorder="1" applyAlignment="1">
      <alignment horizontal="center" vertical="center" wrapText="1"/>
    </xf>
    <xf numFmtId="9" fontId="4" fillId="15" borderId="1" xfId="5" applyFont="1" applyFill="1" applyBorder="1" applyAlignment="1">
      <alignment horizontal="center" vertical="top" wrapText="1"/>
    </xf>
    <xf numFmtId="9" fontId="7" fillId="15" borderId="0" xfId="5" applyFont="1" applyFill="1" applyBorder="1" applyAlignment="1">
      <alignment horizontal="center" vertical="center" wrapText="1"/>
    </xf>
    <xf numFmtId="0" fontId="19" fillId="0" borderId="0" xfId="0" applyFont="1"/>
    <xf numFmtId="0" fontId="12" fillId="10" borderId="0" xfId="0" applyFont="1" applyFill="1" applyAlignment="1">
      <alignment horizontal="center"/>
    </xf>
    <xf numFmtId="0" fontId="12" fillId="14" borderId="0" xfId="0" applyFont="1" applyFill="1" applyAlignment="1">
      <alignment horizontal="center"/>
    </xf>
    <xf numFmtId="0" fontId="12" fillId="3" borderId="1" xfId="0" applyFont="1" applyFill="1" applyBorder="1" applyAlignment="1">
      <alignment horizontal="center"/>
    </xf>
    <xf numFmtId="0" fontId="7" fillId="4" borderId="22" xfId="2" applyFont="1" applyFill="1" applyBorder="1" applyAlignment="1">
      <alignment horizontal="center" vertical="center" wrapText="1"/>
    </xf>
    <xf numFmtId="0" fontId="7" fillId="4" borderId="20" xfId="2" applyFont="1" applyFill="1" applyBorder="1" applyAlignment="1">
      <alignment horizontal="center" vertical="center" wrapText="1"/>
    </xf>
    <xf numFmtId="0" fontId="7" fillId="7" borderId="32" xfId="2" applyFont="1" applyFill="1" applyBorder="1" applyAlignment="1">
      <alignment horizontal="center" vertical="center"/>
    </xf>
    <xf numFmtId="0" fontId="9" fillId="0" borderId="30" xfId="2" applyFont="1" applyBorder="1" applyAlignment="1">
      <alignment horizontal="center" vertical="center"/>
    </xf>
    <xf numFmtId="0" fontId="9" fillId="0" borderId="29" xfId="2" applyFont="1" applyBorder="1" applyAlignment="1">
      <alignment horizontal="center" vertical="center"/>
    </xf>
    <xf numFmtId="0" fontId="10" fillId="0" borderId="30" xfId="2" applyFont="1" applyBorder="1" applyAlignment="1">
      <alignment horizontal="center" vertical="center"/>
    </xf>
    <xf numFmtId="0" fontId="10" fillId="0" borderId="29" xfId="2" applyFont="1" applyBorder="1" applyAlignment="1">
      <alignment horizontal="center" vertical="center"/>
    </xf>
    <xf numFmtId="0" fontId="9" fillId="0" borderId="24" xfId="2" applyFont="1" applyBorder="1" applyAlignment="1">
      <alignment horizontal="center" vertical="center"/>
    </xf>
    <xf numFmtId="0" fontId="9" fillId="0" borderId="7" xfId="2" applyFont="1" applyBorder="1" applyAlignment="1">
      <alignment horizontal="center" vertical="center"/>
    </xf>
    <xf numFmtId="0" fontId="9" fillId="0" borderId="1" xfId="2" applyFont="1" applyBorder="1" applyAlignment="1">
      <alignment horizontal="center" vertical="center"/>
    </xf>
    <xf numFmtId="0" fontId="7" fillId="7" borderId="33" xfId="2" applyFont="1" applyFill="1" applyBorder="1" applyAlignment="1">
      <alignment horizontal="center" vertical="center"/>
    </xf>
    <xf numFmtId="0" fontId="7" fillId="7" borderId="21" xfId="2" applyFont="1" applyFill="1" applyBorder="1" applyAlignment="1">
      <alignment horizontal="center" vertical="center"/>
    </xf>
    <xf numFmtId="0" fontId="7" fillId="7" borderId="34" xfId="2" applyFont="1" applyFill="1" applyBorder="1" applyAlignment="1">
      <alignment horizontal="center" vertical="center"/>
    </xf>
    <xf numFmtId="0" fontId="10" fillId="0" borderId="1" xfId="2" applyFont="1" applyBorder="1" applyAlignment="1">
      <alignment horizontal="center" vertical="center"/>
    </xf>
    <xf numFmtId="0" fontId="10" fillId="0" borderId="24" xfId="2" applyFont="1" applyBorder="1" applyAlignment="1">
      <alignment horizontal="center" vertical="center"/>
    </xf>
    <xf numFmtId="0" fontId="10" fillId="0" borderId="7" xfId="2" applyFont="1" applyBorder="1" applyAlignment="1">
      <alignment horizontal="center" vertical="center"/>
    </xf>
    <xf numFmtId="0" fontId="7" fillId="4" borderId="21" xfId="2" applyFont="1" applyFill="1" applyBorder="1" applyAlignment="1">
      <alignment horizontal="center" vertical="center"/>
    </xf>
    <xf numFmtId="0" fontId="7" fillId="7" borderId="20" xfId="2" applyFont="1" applyFill="1" applyBorder="1" applyAlignment="1">
      <alignment horizontal="center" vertical="center"/>
    </xf>
    <xf numFmtId="0" fontId="7" fillId="4" borderId="5" xfId="2" applyFont="1" applyFill="1" applyBorder="1" applyAlignment="1">
      <alignment horizontal="center" vertical="center" wrapText="1"/>
    </xf>
    <xf numFmtId="0" fontId="7" fillId="4" borderId="7" xfId="2" applyFont="1" applyFill="1" applyBorder="1" applyAlignment="1">
      <alignment horizontal="center" vertical="center" wrapText="1"/>
    </xf>
    <xf numFmtId="0" fontId="4" fillId="3" borderId="1" xfId="2" applyFont="1" applyFill="1" applyBorder="1" applyAlignment="1">
      <alignment vertical="top"/>
    </xf>
    <xf numFmtId="0" fontId="4" fillId="0" borderId="1" xfId="2" applyFont="1" applyBorder="1" applyAlignment="1">
      <alignment vertical="top"/>
    </xf>
    <xf numFmtId="0" fontId="7" fillId="4" borderId="24" xfId="2" applyFont="1" applyFill="1" applyBorder="1" applyAlignment="1">
      <alignment horizontal="center" vertical="center"/>
    </xf>
    <xf numFmtId="0" fontId="7" fillId="7" borderId="1" xfId="2" applyFont="1" applyFill="1" applyBorder="1" applyAlignment="1">
      <alignment horizontal="center" vertical="center"/>
    </xf>
    <xf numFmtId="0" fontId="6" fillId="0" borderId="5" xfId="2" applyFont="1" applyBorder="1" applyAlignment="1">
      <alignment horizontal="left" vertical="center"/>
    </xf>
    <xf numFmtId="0" fontId="6" fillId="0" borderId="24" xfId="2" applyFont="1" applyBorder="1" applyAlignment="1">
      <alignment horizontal="left" vertical="center"/>
    </xf>
    <xf numFmtId="0" fontId="6" fillId="0" borderId="7" xfId="2" applyFont="1" applyBorder="1" applyAlignment="1">
      <alignment horizontal="left" vertical="center"/>
    </xf>
    <xf numFmtId="0" fontId="4" fillId="0" borderId="22" xfId="2" applyFont="1" applyBorder="1" applyAlignment="1">
      <alignment vertical="top"/>
    </xf>
    <xf numFmtId="0" fontId="4" fillId="0" borderId="21" xfId="2" applyFont="1" applyBorder="1" applyAlignment="1">
      <alignment vertical="top"/>
    </xf>
    <xf numFmtId="0" fontId="4" fillId="0" borderId="20" xfId="2" applyFont="1" applyBorder="1" applyAlignment="1">
      <alignment vertical="top"/>
    </xf>
    <xf numFmtId="0" fontId="6" fillId="0" borderId="0" xfId="2" applyFont="1" applyAlignment="1">
      <alignment horizontal="left" vertical="center"/>
    </xf>
    <xf numFmtId="0" fontId="6" fillId="0" borderId="4" xfId="2" applyFont="1" applyBorder="1" applyAlignment="1">
      <alignment horizontal="left" vertical="center"/>
    </xf>
    <xf numFmtId="0" fontId="6" fillId="0" borderId="6" xfId="2" applyFont="1" applyBorder="1" applyAlignment="1">
      <alignment horizontal="left" vertical="center"/>
    </xf>
    <xf numFmtId="0" fontId="6" fillId="0" borderId="18" xfId="2" applyFont="1" applyBorder="1" applyAlignment="1">
      <alignment horizontal="left" vertical="center"/>
    </xf>
    <xf numFmtId="0" fontId="6" fillId="0" borderId="8" xfId="2" applyFont="1" applyBorder="1" applyAlignment="1">
      <alignment horizontal="left" vertical="center"/>
    </xf>
    <xf numFmtId="0" fontId="4" fillId="0" borderId="10" xfId="2" applyFont="1" applyBorder="1" applyAlignment="1">
      <alignment vertical="top"/>
    </xf>
    <xf numFmtId="0" fontId="4" fillId="0" borderId="15" xfId="2" applyFont="1" applyBorder="1" applyAlignment="1">
      <alignment vertical="top"/>
    </xf>
    <xf numFmtId="0" fontId="4" fillId="0" borderId="12" xfId="2" applyFont="1" applyBorder="1" applyAlignment="1">
      <alignment vertical="top"/>
    </xf>
    <xf numFmtId="0" fontId="6" fillId="0" borderId="1" xfId="2" applyFont="1" applyBorder="1" applyAlignment="1">
      <alignment horizontal="left" vertical="center"/>
    </xf>
    <xf numFmtId="0" fontId="7" fillId="7" borderId="28" xfId="2" applyFont="1" applyFill="1" applyBorder="1" applyAlignment="1">
      <alignment horizontal="center" vertical="center"/>
    </xf>
    <xf numFmtId="0" fontId="7" fillId="7" borderId="24" xfId="2" applyFont="1" applyFill="1" applyBorder="1" applyAlignment="1">
      <alignment horizontal="center" vertical="center"/>
    </xf>
    <xf numFmtId="0" fontId="7" fillId="7" borderId="27" xfId="2" applyFont="1" applyFill="1" applyBorder="1" applyAlignment="1">
      <alignment horizontal="center" vertical="center"/>
    </xf>
    <xf numFmtId="0" fontId="7" fillId="0" borderId="21" xfId="2" applyFont="1" applyBorder="1" applyAlignment="1">
      <alignment horizontal="center" vertical="top"/>
    </xf>
    <xf numFmtId="0" fontId="6" fillId="0" borderId="0" xfId="2" applyFont="1" applyAlignment="1">
      <alignment horizontal="center" vertical="center"/>
    </xf>
    <xf numFmtId="0" fontId="6" fillId="0" borderId="0" xfId="2" applyFont="1" applyAlignment="1">
      <alignment horizontal="left" vertical="top"/>
    </xf>
    <xf numFmtId="0" fontId="10" fillId="0" borderId="5" xfId="2" applyFont="1" applyBorder="1" applyAlignment="1">
      <alignment horizontal="center" vertical="center"/>
    </xf>
    <xf numFmtId="0" fontId="10" fillId="0" borderId="31" xfId="2" applyFont="1" applyBorder="1" applyAlignment="1">
      <alignment horizontal="center" vertical="center"/>
    </xf>
    <xf numFmtId="0" fontId="7" fillId="7" borderId="5" xfId="2" applyFont="1" applyFill="1" applyBorder="1" applyAlignment="1">
      <alignment horizontal="center" vertical="center"/>
    </xf>
    <xf numFmtId="0" fontId="7" fillId="7" borderId="7" xfId="2" applyFont="1" applyFill="1" applyBorder="1" applyAlignment="1">
      <alignment horizontal="center" vertical="center"/>
    </xf>
    <xf numFmtId="0" fontId="7" fillId="7" borderId="2" xfId="2" applyFont="1" applyFill="1" applyBorder="1" applyAlignment="1">
      <alignment horizontal="center" vertical="center"/>
    </xf>
    <xf numFmtId="0" fontId="7" fillId="7" borderId="3" xfId="2" applyFont="1" applyFill="1" applyBorder="1" applyAlignment="1">
      <alignment horizontal="center" vertical="center"/>
    </xf>
  </cellXfs>
  <cellStyles count="11">
    <cellStyle name="Comma" xfId="4" builtinId="3"/>
    <cellStyle name="Comma 2" xfId="3" xr:uid="{F234C86B-4AED-4B94-B17D-4D4297A3FFA2}"/>
    <cellStyle name="Comma 2 2" xfId="8" xr:uid="{6DE14BEB-B602-4F2F-80F7-CF44E995BEA5}"/>
    <cellStyle name="Comma 3" xfId="7" xr:uid="{87EFCC8B-58F6-4C16-8C05-992D210EAEAA}"/>
    <cellStyle name="Normal" xfId="0" builtinId="0"/>
    <cellStyle name="Normal 2" xfId="2" xr:uid="{E66AE06D-87C6-47E7-AF03-F74DC6C55663}"/>
    <cellStyle name="Normal 2 2" xfId="9" xr:uid="{5755EE0F-D968-4535-AF29-DC34A55D8F61}"/>
    <cellStyle name="Normal 3" xfId="6" xr:uid="{2D5716BD-E250-4923-BB33-1BD48A954C37}"/>
    <cellStyle name="Normal 4" xfId="1" xr:uid="{1B6B9EE4-AF53-405F-B7CB-A5CBF42153A7}"/>
    <cellStyle name="Percent" xfId="5" builtinId="5"/>
    <cellStyle name="Percent 2" xfId="10" xr:uid="{B0F83BA9-E530-4DB0-BEB5-2348886A6C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8C65-DE84-49CE-8D10-A35984F31C69}">
  <dimension ref="A1:L44"/>
  <sheetViews>
    <sheetView tabSelected="1" workbookViewId="0">
      <pane xSplit="3" ySplit="5" topLeftCell="D6" activePane="bottomRight" state="frozen"/>
      <selection activeCell="H23" sqref="H23"/>
      <selection pane="topRight" activeCell="H23" sqref="H23"/>
      <selection pane="bottomLeft" activeCell="H23" sqref="H23"/>
      <selection pane="bottomRight" activeCell="A4" sqref="A4"/>
    </sheetView>
  </sheetViews>
  <sheetFormatPr defaultColWidth="9.25" defaultRowHeight="13" x14ac:dyDescent="0.3"/>
  <cols>
    <col min="1" max="1" width="17" style="31" customWidth="1"/>
    <col min="2" max="2" width="12.1640625" style="31" customWidth="1"/>
    <col min="3" max="8" width="9.75" style="30" customWidth="1"/>
    <col min="9" max="12" width="10.25" style="30" customWidth="1"/>
    <col min="13" max="16384" width="9.25" style="30"/>
  </cols>
  <sheetData>
    <row r="1" spans="1:12" x14ac:dyDescent="0.3">
      <c r="A1" s="42" t="s">
        <v>264</v>
      </c>
      <c r="B1" s="42"/>
    </row>
    <row r="2" spans="1:12" ht="13.5" x14ac:dyDescent="0.35">
      <c r="A2" s="184" t="s">
        <v>345</v>
      </c>
    </row>
    <row r="3" spans="1:12" x14ac:dyDescent="0.3">
      <c r="A3" s="46" t="s">
        <v>239</v>
      </c>
      <c r="B3" s="46"/>
      <c r="C3" s="187" t="s">
        <v>263</v>
      </c>
      <c r="D3" s="187"/>
      <c r="E3" s="187"/>
      <c r="F3" s="187"/>
      <c r="G3" s="187"/>
      <c r="H3" s="187"/>
      <c r="I3" s="187"/>
      <c r="J3" s="187"/>
      <c r="K3" s="187"/>
      <c r="L3" s="187"/>
    </row>
    <row r="4" spans="1:12" x14ac:dyDescent="0.3">
      <c r="A4" s="46" t="s">
        <v>341</v>
      </c>
      <c r="B4" s="47" t="s">
        <v>344</v>
      </c>
      <c r="C4" s="47" t="s">
        <v>262</v>
      </c>
      <c r="D4" s="46" t="s">
        <v>261</v>
      </c>
      <c r="E4" s="46" t="s">
        <v>260</v>
      </c>
      <c r="F4" s="46" t="s">
        <v>259</v>
      </c>
      <c r="G4" s="46" t="s">
        <v>258</v>
      </c>
      <c r="H4" s="46" t="s">
        <v>257</v>
      </c>
      <c r="I4" s="46" t="s">
        <v>256</v>
      </c>
      <c r="J4" s="46" t="s">
        <v>255</v>
      </c>
      <c r="K4" s="46" t="s">
        <v>254</v>
      </c>
      <c r="L4" s="46" t="s">
        <v>253</v>
      </c>
    </row>
    <row r="5" spans="1:12" x14ac:dyDescent="0.3">
      <c r="A5" s="46" t="s">
        <v>252</v>
      </c>
      <c r="B5" s="39">
        <f t="shared" ref="B5" si="0">SUBTOTAL(9,B6:B17)</f>
        <v>31115</v>
      </c>
      <c r="C5" s="39">
        <f t="shared" ref="C5:L5" si="1">SUBTOTAL(9,C6:C17)</f>
        <v>349589</v>
      </c>
      <c r="D5" s="45">
        <f t="shared" si="1"/>
        <v>289352</v>
      </c>
      <c r="E5" s="45">
        <f t="shared" si="1"/>
        <v>199219</v>
      </c>
      <c r="F5" s="45">
        <f t="shared" si="1"/>
        <v>155972</v>
      </c>
      <c r="G5" s="45">
        <f t="shared" si="1"/>
        <v>124566</v>
      </c>
      <c r="H5" s="45">
        <f t="shared" si="1"/>
        <v>96080</v>
      </c>
      <c r="I5" s="45">
        <f t="shared" si="1"/>
        <v>100084</v>
      </c>
      <c r="J5" s="45">
        <f t="shared" si="1"/>
        <v>92693</v>
      </c>
      <c r="K5" s="45">
        <f t="shared" si="1"/>
        <v>67190</v>
      </c>
      <c r="L5" s="45">
        <f t="shared" si="1"/>
        <v>43921</v>
      </c>
    </row>
    <row r="6" spans="1:12" x14ac:dyDescent="0.3">
      <c r="A6" s="44" t="s">
        <v>251</v>
      </c>
      <c r="B6" s="43"/>
      <c r="C6" s="43">
        <v>32087</v>
      </c>
      <c r="D6" s="36">
        <v>25926</v>
      </c>
      <c r="E6" s="36">
        <v>19271</v>
      </c>
      <c r="F6" s="36">
        <v>14276</v>
      </c>
      <c r="G6" s="36">
        <v>12328</v>
      </c>
      <c r="H6" s="36">
        <v>9182</v>
      </c>
      <c r="I6" s="36">
        <v>8641</v>
      </c>
      <c r="J6" s="36">
        <v>8055</v>
      </c>
      <c r="K6" s="36">
        <v>7119</v>
      </c>
      <c r="L6" s="36">
        <v>4335</v>
      </c>
    </row>
    <row r="7" spans="1:12" x14ac:dyDescent="0.3">
      <c r="A7" s="44" t="s">
        <v>250</v>
      </c>
      <c r="B7" s="43"/>
      <c r="C7" s="43">
        <v>29845</v>
      </c>
      <c r="D7" s="36">
        <v>25999</v>
      </c>
      <c r="E7" s="36">
        <v>19187</v>
      </c>
      <c r="F7" s="36">
        <v>13686</v>
      </c>
      <c r="G7" s="36">
        <v>11438</v>
      </c>
      <c r="H7" s="36">
        <v>7528</v>
      </c>
      <c r="I7" s="36">
        <v>8513</v>
      </c>
      <c r="J7" s="36">
        <v>8095</v>
      </c>
      <c r="K7" s="36">
        <v>6425</v>
      </c>
      <c r="L7" s="36">
        <v>4050</v>
      </c>
    </row>
    <row r="8" spans="1:12" x14ac:dyDescent="0.3">
      <c r="A8" s="44" t="s">
        <v>249</v>
      </c>
      <c r="B8" s="43"/>
      <c r="C8" s="43">
        <v>31002</v>
      </c>
      <c r="D8" s="36">
        <v>26400</v>
      </c>
      <c r="E8" s="36">
        <v>18838</v>
      </c>
      <c r="F8" s="36">
        <v>13856</v>
      </c>
      <c r="G8" s="36">
        <v>11517</v>
      </c>
      <c r="H8" s="36">
        <v>8023</v>
      </c>
      <c r="I8" s="36">
        <v>8532</v>
      </c>
      <c r="J8" s="36">
        <v>8064</v>
      </c>
      <c r="K8" s="36">
        <v>6644</v>
      </c>
      <c r="L8" s="36">
        <v>4095</v>
      </c>
    </row>
    <row r="9" spans="1:12" x14ac:dyDescent="0.3">
      <c r="A9" s="44" t="s">
        <v>248</v>
      </c>
      <c r="B9" s="43"/>
      <c r="C9" s="43">
        <v>31002</v>
      </c>
      <c r="D9" s="36">
        <v>26459</v>
      </c>
      <c r="E9" s="36">
        <v>17610</v>
      </c>
      <c r="F9" s="36">
        <v>13573</v>
      </c>
      <c r="G9" s="36">
        <v>11305</v>
      </c>
      <c r="H9" s="36">
        <v>8418</v>
      </c>
      <c r="I9" s="36">
        <v>8518</v>
      </c>
      <c r="J9" s="36">
        <v>8022</v>
      </c>
      <c r="K9" s="36">
        <v>6222</v>
      </c>
      <c r="L9" s="36">
        <v>3973</v>
      </c>
    </row>
    <row r="10" spans="1:12" x14ac:dyDescent="0.3">
      <c r="A10" s="44" t="s">
        <v>247</v>
      </c>
      <c r="B10" s="43"/>
      <c r="C10" s="43">
        <v>29445</v>
      </c>
      <c r="D10" s="36">
        <v>25320</v>
      </c>
      <c r="E10" s="36">
        <v>17073</v>
      </c>
      <c r="F10" s="36">
        <v>13306</v>
      </c>
      <c r="G10" s="36">
        <v>11005</v>
      </c>
      <c r="H10" s="36">
        <v>7302</v>
      </c>
      <c r="I10" s="36">
        <v>8273</v>
      </c>
      <c r="J10" s="36">
        <v>7985</v>
      </c>
      <c r="K10" s="36">
        <v>5893</v>
      </c>
      <c r="L10" s="36">
        <v>3884</v>
      </c>
    </row>
    <row r="11" spans="1:12" x14ac:dyDescent="0.3">
      <c r="A11" s="44" t="s">
        <v>246</v>
      </c>
      <c r="B11" s="43"/>
      <c r="C11" s="43">
        <v>29529</v>
      </c>
      <c r="D11" s="36">
        <v>25323</v>
      </c>
      <c r="E11" s="36">
        <v>16928</v>
      </c>
      <c r="F11" s="36">
        <v>13041</v>
      </c>
      <c r="G11" s="36">
        <v>10519</v>
      </c>
      <c r="H11" s="36">
        <v>7800</v>
      </c>
      <c r="I11" s="36">
        <v>8246</v>
      </c>
      <c r="J11" s="36">
        <v>7985</v>
      </c>
      <c r="K11" s="36">
        <v>5621</v>
      </c>
      <c r="L11" s="36">
        <v>3434</v>
      </c>
    </row>
    <row r="12" spans="1:12" x14ac:dyDescent="0.3">
      <c r="A12" s="44" t="s">
        <v>245</v>
      </c>
      <c r="B12" s="43"/>
      <c r="C12" s="43">
        <v>29361</v>
      </c>
      <c r="D12" s="36">
        <v>24509</v>
      </c>
      <c r="E12" s="36">
        <v>16042</v>
      </c>
      <c r="F12" s="36">
        <v>12976</v>
      </c>
      <c r="G12" s="36">
        <v>10351</v>
      </c>
      <c r="H12" s="36">
        <v>7788</v>
      </c>
      <c r="I12" s="36">
        <v>8263</v>
      </c>
      <c r="J12" s="36">
        <v>7727</v>
      </c>
      <c r="K12" s="36">
        <v>5516</v>
      </c>
      <c r="L12" s="36">
        <v>3698</v>
      </c>
    </row>
    <row r="13" spans="1:12" x14ac:dyDescent="0.3">
      <c r="A13" s="44" t="s">
        <v>244</v>
      </c>
      <c r="B13" s="43"/>
      <c r="C13" s="43">
        <v>28265</v>
      </c>
      <c r="D13" s="36">
        <v>23547</v>
      </c>
      <c r="E13" s="36">
        <v>15814</v>
      </c>
      <c r="F13" s="36">
        <v>12693</v>
      </c>
      <c r="G13" s="36">
        <v>9923</v>
      </c>
      <c r="H13" s="36">
        <v>7792</v>
      </c>
      <c r="I13" s="36">
        <v>8231</v>
      </c>
      <c r="J13" s="36">
        <v>7658</v>
      </c>
      <c r="K13" s="36">
        <v>5206</v>
      </c>
      <c r="L13" s="36">
        <v>3497</v>
      </c>
    </row>
    <row r="14" spans="1:12" x14ac:dyDescent="0.3">
      <c r="A14" s="44" t="s">
        <v>243</v>
      </c>
      <c r="B14" s="43"/>
      <c r="C14" s="43">
        <v>28464</v>
      </c>
      <c r="D14" s="36">
        <v>23332</v>
      </c>
      <c r="E14" s="36">
        <v>15245</v>
      </c>
      <c r="F14" s="36">
        <v>12140</v>
      </c>
      <c r="G14" s="36">
        <v>9609</v>
      </c>
      <c r="H14" s="36">
        <v>7831</v>
      </c>
      <c r="I14" s="36">
        <v>8324</v>
      </c>
      <c r="J14" s="36">
        <v>7554</v>
      </c>
      <c r="K14" s="36">
        <v>4947</v>
      </c>
      <c r="L14" s="36">
        <v>3334</v>
      </c>
    </row>
    <row r="15" spans="1:12" x14ac:dyDescent="0.3">
      <c r="A15" s="44" t="s">
        <v>242</v>
      </c>
      <c r="B15" s="43"/>
      <c r="C15" s="43">
        <v>27269</v>
      </c>
      <c r="D15" s="36">
        <v>21262</v>
      </c>
      <c r="E15" s="36">
        <v>14734</v>
      </c>
      <c r="F15" s="36">
        <v>12276</v>
      </c>
      <c r="G15" s="36">
        <v>9156</v>
      </c>
      <c r="H15" s="36">
        <v>7917</v>
      </c>
      <c r="I15" s="36">
        <v>8122</v>
      </c>
      <c r="J15" s="36">
        <v>7554</v>
      </c>
      <c r="K15" s="36">
        <v>4744</v>
      </c>
      <c r="L15" s="36">
        <v>3310</v>
      </c>
    </row>
    <row r="16" spans="1:12" x14ac:dyDescent="0.3">
      <c r="A16" s="44" t="s">
        <v>241</v>
      </c>
      <c r="B16" s="43"/>
      <c r="C16" s="43">
        <v>26688</v>
      </c>
      <c r="D16" s="36">
        <v>20904</v>
      </c>
      <c r="E16" s="36">
        <v>14749</v>
      </c>
      <c r="F16" s="36">
        <v>12286</v>
      </c>
      <c r="G16" s="36">
        <v>8819</v>
      </c>
      <c r="H16" s="36">
        <v>8123</v>
      </c>
      <c r="I16" s="36">
        <v>8183</v>
      </c>
      <c r="J16" s="36">
        <v>7304</v>
      </c>
      <c r="K16" s="36">
        <v>4584</v>
      </c>
      <c r="L16" s="36">
        <v>3189</v>
      </c>
    </row>
    <row r="17" spans="1:12" x14ac:dyDescent="0.3">
      <c r="A17" s="44" t="s">
        <v>240</v>
      </c>
      <c r="B17" s="43">
        <v>31115</v>
      </c>
      <c r="C17" s="43">
        <v>26632</v>
      </c>
      <c r="D17" s="36">
        <v>20371</v>
      </c>
      <c r="E17" s="36">
        <v>13728</v>
      </c>
      <c r="F17" s="36">
        <v>11863</v>
      </c>
      <c r="G17" s="36">
        <v>8596</v>
      </c>
      <c r="H17" s="36">
        <v>8376</v>
      </c>
      <c r="I17" s="36">
        <v>8238</v>
      </c>
      <c r="J17" s="36">
        <v>6690</v>
      </c>
      <c r="K17" s="36">
        <v>4269</v>
      </c>
      <c r="L17" s="36">
        <v>3122</v>
      </c>
    </row>
    <row r="19" spans="1:12" x14ac:dyDescent="0.3">
      <c r="A19" s="42" t="s">
        <v>340</v>
      </c>
      <c r="B19" s="30"/>
    </row>
    <row r="20" spans="1:12" x14ac:dyDescent="0.3">
      <c r="A20" s="42" t="s">
        <v>52</v>
      </c>
      <c r="B20" s="185" t="s">
        <v>342</v>
      </c>
      <c r="C20" s="185" t="s">
        <v>342</v>
      </c>
      <c r="D20" s="185" t="s">
        <v>342</v>
      </c>
      <c r="E20" s="185" t="s">
        <v>342</v>
      </c>
      <c r="F20" s="186" t="s">
        <v>343</v>
      </c>
      <c r="G20" s="186" t="s">
        <v>343</v>
      </c>
    </row>
    <row r="21" spans="1:12" s="40" customFormat="1" ht="52" x14ac:dyDescent="0.3">
      <c r="A21" s="41" t="s">
        <v>239</v>
      </c>
      <c r="B21" s="41" t="s">
        <v>238</v>
      </c>
      <c r="C21" s="41" t="s">
        <v>237</v>
      </c>
      <c r="D21" s="41" t="s">
        <v>236</v>
      </c>
      <c r="E21" s="41" t="s">
        <v>235</v>
      </c>
      <c r="F21" s="41" t="s">
        <v>234</v>
      </c>
      <c r="G21" s="41" t="s">
        <v>233</v>
      </c>
    </row>
    <row r="22" spans="1:12" s="40" customFormat="1" x14ac:dyDescent="0.3">
      <c r="A22" s="38">
        <v>46113</v>
      </c>
      <c r="B22" s="37">
        <v>1044.26</v>
      </c>
      <c r="C22" s="37">
        <v>50.71</v>
      </c>
      <c r="D22" s="37">
        <v>51.29</v>
      </c>
      <c r="E22" s="37">
        <v>964.91</v>
      </c>
      <c r="F22" s="36">
        <v>31115</v>
      </c>
      <c r="G22" s="36">
        <v>1685126</v>
      </c>
    </row>
    <row r="23" spans="1:12" s="40" customFormat="1" x14ac:dyDescent="0.3">
      <c r="A23" s="38"/>
      <c r="B23" s="37"/>
      <c r="C23" s="37"/>
      <c r="D23" s="37"/>
      <c r="E23" s="37"/>
      <c r="F23" s="36"/>
      <c r="G23" s="36"/>
    </row>
    <row r="24" spans="1:12" x14ac:dyDescent="0.3">
      <c r="A24" s="126" t="s">
        <v>339</v>
      </c>
      <c r="B24" s="127">
        <f>B25</f>
        <v>1044.8399999999999</v>
      </c>
      <c r="C24" s="127">
        <f>SUM(C25:C36)</f>
        <v>719.22</v>
      </c>
      <c r="D24" s="127">
        <f>SUM(D25:D36)</f>
        <v>679.75</v>
      </c>
      <c r="E24" s="127">
        <f>E25</f>
        <v>971.86</v>
      </c>
      <c r="F24" s="128">
        <f>SUM(F25:F36)</f>
        <v>349589</v>
      </c>
      <c r="G24" s="128">
        <f>G25</f>
        <v>1510943</v>
      </c>
    </row>
    <row r="25" spans="1:12" x14ac:dyDescent="0.3">
      <c r="A25" s="38">
        <v>46082</v>
      </c>
      <c r="B25" s="37">
        <v>1044.8399999999999</v>
      </c>
      <c r="C25" s="37">
        <v>52.82</v>
      </c>
      <c r="D25" s="37">
        <v>53.38</v>
      </c>
      <c r="E25" s="37">
        <v>971.86</v>
      </c>
      <c r="F25" s="36">
        <v>32087</v>
      </c>
      <c r="G25" s="36">
        <v>1510943</v>
      </c>
    </row>
    <row r="26" spans="1:12" x14ac:dyDescent="0.3">
      <c r="A26" s="38">
        <v>46054</v>
      </c>
      <c r="B26" s="37">
        <v>1045.4000000000001</v>
      </c>
      <c r="C26" s="37">
        <v>65.72</v>
      </c>
      <c r="D26" s="37">
        <v>49.7</v>
      </c>
      <c r="E26" s="37">
        <v>944.48</v>
      </c>
      <c r="F26" s="36">
        <v>29845</v>
      </c>
      <c r="G26" s="36">
        <v>1664085</v>
      </c>
    </row>
    <row r="27" spans="1:12" x14ac:dyDescent="0.3">
      <c r="A27" s="38">
        <v>46023</v>
      </c>
      <c r="B27" s="37">
        <v>1029.3800000000001</v>
      </c>
      <c r="C27" s="37">
        <v>74.11</v>
      </c>
      <c r="D27" s="37">
        <v>55.46</v>
      </c>
      <c r="E27" s="37">
        <v>992.19</v>
      </c>
      <c r="F27" s="36">
        <v>31002</v>
      </c>
      <c r="G27" s="36">
        <v>1636082</v>
      </c>
    </row>
    <row r="28" spans="1:12" x14ac:dyDescent="0.3">
      <c r="A28" s="38">
        <v>45992</v>
      </c>
      <c r="B28" s="37">
        <v>1010.73</v>
      </c>
      <c r="C28" s="37">
        <v>60.46</v>
      </c>
      <c r="D28" s="37">
        <v>51.57</v>
      </c>
      <c r="E28" s="37">
        <v>979</v>
      </c>
      <c r="F28" s="36">
        <v>31002</v>
      </c>
      <c r="G28" s="36">
        <v>1663369</v>
      </c>
    </row>
    <row r="29" spans="1:12" x14ac:dyDescent="0.3">
      <c r="A29" s="38">
        <v>45962</v>
      </c>
      <c r="B29" s="37">
        <v>1001.84</v>
      </c>
      <c r="C29" s="37">
        <v>57.14</v>
      </c>
      <c r="D29" s="37">
        <v>43.18</v>
      </c>
      <c r="E29" s="37">
        <v>942.52</v>
      </c>
      <c r="F29" s="36">
        <v>29445</v>
      </c>
      <c r="G29" s="36">
        <v>1652665</v>
      </c>
    </row>
    <row r="30" spans="1:12" x14ac:dyDescent="0.3">
      <c r="A30" s="38">
        <v>45931</v>
      </c>
      <c r="B30" s="37">
        <v>987.88</v>
      </c>
      <c r="C30" s="37">
        <v>60.25</v>
      </c>
      <c r="D30" s="37">
        <v>45.1</v>
      </c>
      <c r="E30" s="37">
        <v>945.2</v>
      </c>
      <c r="F30" s="36">
        <v>29529</v>
      </c>
      <c r="G30" s="36">
        <v>1625305</v>
      </c>
    </row>
    <row r="31" spans="1:12" x14ac:dyDescent="0.3">
      <c r="A31" s="38">
        <v>45901</v>
      </c>
      <c r="B31" s="37">
        <v>972.74</v>
      </c>
      <c r="C31" s="37">
        <v>57.73</v>
      </c>
      <c r="D31" s="37">
        <v>44.03</v>
      </c>
      <c r="E31" s="37">
        <v>925.21</v>
      </c>
      <c r="F31" s="36">
        <v>29361</v>
      </c>
      <c r="G31" s="36">
        <v>1552303</v>
      </c>
    </row>
    <row r="32" spans="1:12" x14ac:dyDescent="0.3">
      <c r="A32" s="38">
        <v>45870</v>
      </c>
      <c r="B32" s="37">
        <v>959.04</v>
      </c>
      <c r="C32" s="37">
        <v>55.23</v>
      </c>
      <c r="D32" s="37">
        <v>41.15</v>
      </c>
      <c r="E32" s="37">
        <v>898.7</v>
      </c>
      <c r="F32" s="36">
        <v>28265</v>
      </c>
      <c r="G32" s="36">
        <v>1518368</v>
      </c>
    </row>
    <row r="33" spans="1:8" x14ac:dyDescent="0.3">
      <c r="A33" s="38">
        <v>45839</v>
      </c>
      <c r="B33" s="37">
        <v>944.97</v>
      </c>
      <c r="C33" s="37">
        <v>68.69</v>
      </c>
      <c r="D33" s="37">
        <v>43.04</v>
      </c>
      <c r="E33" s="37">
        <v>911.18</v>
      </c>
      <c r="F33" s="36">
        <v>28464</v>
      </c>
      <c r="G33" s="36">
        <v>1519456</v>
      </c>
    </row>
    <row r="34" spans="1:8" x14ac:dyDescent="0.3">
      <c r="A34" s="38">
        <v>45809</v>
      </c>
      <c r="B34" s="37">
        <v>919.32</v>
      </c>
      <c r="C34" s="37">
        <v>61.91</v>
      </c>
      <c r="D34" s="37">
        <v>48.16</v>
      </c>
      <c r="E34" s="37">
        <v>864.7</v>
      </c>
      <c r="F34" s="36">
        <v>27269</v>
      </c>
      <c r="G34" s="36">
        <v>1530574</v>
      </c>
    </row>
    <row r="35" spans="1:8" x14ac:dyDescent="0.3">
      <c r="A35" s="38">
        <v>45778</v>
      </c>
      <c r="B35" s="37">
        <v>905.57</v>
      </c>
      <c r="C35" s="37">
        <v>59.15</v>
      </c>
      <c r="D35" s="37">
        <v>42.66</v>
      </c>
      <c r="E35" s="37">
        <v>856</v>
      </c>
      <c r="F35" s="36">
        <v>26688</v>
      </c>
      <c r="G35" s="36">
        <v>1461360</v>
      </c>
    </row>
    <row r="36" spans="1:8" x14ac:dyDescent="0.3">
      <c r="A36" s="38">
        <v>45748</v>
      </c>
      <c r="B36" s="37">
        <v>889.08</v>
      </c>
      <c r="C36" s="37">
        <v>46.01</v>
      </c>
      <c r="D36" s="129">
        <v>162.32</v>
      </c>
      <c r="E36" s="37">
        <v>838.25</v>
      </c>
      <c r="F36" s="36">
        <v>26632</v>
      </c>
      <c r="G36" s="36">
        <v>1389655</v>
      </c>
    </row>
    <row r="37" spans="1:8" x14ac:dyDescent="0.3">
      <c r="A37" s="126" t="s">
        <v>232</v>
      </c>
      <c r="B37" s="127">
        <v>1005.39</v>
      </c>
      <c r="C37" s="127">
        <v>679.85</v>
      </c>
      <c r="D37" s="127">
        <v>514.16999999999996</v>
      </c>
      <c r="E37" s="127">
        <v>811.16</v>
      </c>
      <c r="F37" s="128">
        <v>289352</v>
      </c>
      <c r="G37" s="128">
        <v>1335188</v>
      </c>
    </row>
    <row r="38" spans="1:8" x14ac:dyDescent="0.3">
      <c r="A38" s="35"/>
      <c r="B38" s="34"/>
      <c r="C38" s="34"/>
      <c r="D38" s="34"/>
      <c r="E38" s="34"/>
      <c r="F38" s="33"/>
      <c r="G38" s="33"/>
    </row>
    <row r="39" spans="1:8" x14ac:dyDescent="0.3">
      <c r="A39" s="126" t="s">
        <v>231</v>
      </c>
      <c r="B39" s="127">
        <v>839.71</v>
      </c>
      <c r="C39" s="127">
        <v>428.09</v>
      </c>
      <c r="D39" s="127">
        <v>224.37</v>
      </c>
      <c r="E39" s="127" t="s">
        <v>52</v>
      </c>
      <c r="F39" s="128">
        <v>199219</v>
      </c>
      <c r="G39" s="128">
        <v>1071666</v>
      </c>
    </row>
    <row r="40" spans="1:8" x14ac:dyDescent="0.3">
      <c r="A40" s="30"/>
      <c r="B40" s="30"/>
    </row>
    <row r="41" spans="1:8" x14ac:dyDescent="0.3">
      <c r="A41" s="32" t="s">
        <v>230</v>
      </c>
      <c r="B41" s="32"/>
      <c r="C41" s="32"/>
      <c r="D41" s="32"/>
      <c r="E41" s="32"/>
      <c r="F41" s="32"/>
      <c r="G41" s="32"/>
      <c r="H41" s="32"/>
    </row>
    <row r="42" spans="1:8" x14ac:dyDescent="0.3">
      <c r="A42" s="32" t="s">
        <v>229</v>
      </c>
      <c r="B42" s="32"/>
      <c r="C42" s="32"/>
      <c r="D42" s="32"/>
      <c r="E42" s="32"/>
      <c r="F42" s="32"/>
      <c r="G42" s="32"/>
      <c r="H42" s="32"/>
    </row>
    <row r="43" spans="1:8" x14ac:dyDescent="0.3">
      <c r="A43" s="32" t="s">
        <v>228</v>
      </c>
      <c r="B43" s="32"/>
      <c r="C43" s="32"/>
      <c r="D43" s="32"/>
      <c r="E43" s="32"/>
      <c r="F43" s="32"/>
      <c r="G43" s="32"/>
      <c r="H43" s="32"/>
    </row>
    <row r="44" spans="1:8" x14ac:dyDescent="0.3">
      <c r="A44" s="130" t="s">
        <v>227</v>
      </c>
      <c r="B44" s="130"/>
      <c r="C44" s="130"/>
      <c r="D44" s="130"/>
      <c r="E44" s="130"/>
      <c r="F44" s="130"/>
      <c r="G44" s="130"/>
      <c r="H44" s="130"/>
    </row>
  </sheetData>
  <mergeCells count="1">
    <mergeCell ref="C3:L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A2E9-2344-4080-A63A-1AFC096449D7}">
  <sheetPr>
    <pageSetUpPr fitToPage="1"/>
  </sheetPr>
  <dimension ref="A1:EQ60"/>
  <sheetViews>
    <sheetView zoomScale="90" zoomScaleNormal="90" workbookViewId="0">
      <pane xSplit="1" ySplit="3" topLeftCell="DY4" activePane="bottomRight" state="frozen"/>
      <selection activeCell="A3" sqref="A3"/>
      <selection pane="topRight" activeCell="A3" sqref="A3"/>
      <selection pane="bottomLeft" activeCell="A3" sqref="A3"/>
      <selection pane="bottomRight" activeCell="EC3" sqref="EC3"/>
    </sheetView>
  </sheetViews>
  <sheetFormatPr defaultColWidth="8.4140625" defaultRowHeight="12" x14ac:dyDescent="0.5"/>
  <cols>
    <col min="1" max="7" width="8.4140625" style="63" customWidth="1"/>
    <col min="8" max="8" width="0.75" style="63" customWidth="1"/>
    <col min="9" max="9" width="8.4140625" style="63" customWidth="1"/>
    <col min="10" max="10" width="9.6640625" style="63" customWidth="1"/>
    <col min="11" max="17" width="8.4140625" style="63" customWidth="1"/>
    <col min="18" max="18" width="0.75" style="63" customWidth="1"/>
    <col min="19" max="19" width="8.4140625" style="63" customWidth="1"/>
    <col min="20" max="20" width="10.75" style="63" customWidth="1"/>
    <col min="21" max="27" width="8.4140625" style="63" customWidth="1"/>
    <col min="28" max="28" width="0.75" style="63" customWidth="1"/>
    <col min="29" max="29" width="8.4140625" style="63" customWidth="1"/>
    <col min="30" max="30" width="9.58203125" style="63" customWidth="1"/>
    <col min="31" max="37" width="8.4140625" style="63" customWidth="1"/>
    <col min="38" max="38" width="0.75" style="63" customWidth="1"/>
    <col min="39" max="39" width="8.4140625" style="63" customWidth="1"/>
    <col min="40" max="40" width="9.25" style="63" customWidth="1"/>
    <col min="41" max="47" width="8.4140625" style="63" customWidth="1"/>
    <col min="48" max="48" width="0.75" style="63" customWidth="1"/>
    <col min="49" max="49" width="8.4140625" style="63" customWidth="1"/>
    <col min="50" max="50" width="9.4140625" style="63" customWidth="1"/>
    <col min="51" max="57" width="8.4140625" style="63" customWidth="1"/>
    <col min="58" max="58" width="0.75" style="63" customWidth="1"/>
    <col min="59" max="59" width="8.4140625" style="63" customWidth="1"/>
    <col min="60" max="60" width="9.4140625" style="63" customWidth="1"/>
    <col min="61" max="67" width="8.4140625" style="63" customWidth="1"/>
    <col min="68" max="68" width="0.75" style="63" customWidth="1"/>
    <col min="69" max="69" width="8.4140625" style="63" customWidth="1"/>
    <col min="70" max="70" width="9.4140625" style="63" customWidth="1"/>
    <col min="71" max="77" width="8.4140625" style="63" customWidth="1"/>
    <col min="78" max="78" width="0.75" style="63" customWidth="1"/>
    <col min="79" max="79" width="8.4140625" style="63" customWidth="1"/>
    <col min="80" max="80" width="11.9140625" style="63" customWidth="1"/>
    <col min="81" max="87" width="8.4140625" style="63" customWidth="1"/>
    <col min="88" max="88" width="0.75" style="63" customWidth="1"/>
    <col min="89" max="89" width="8.4140625" style="63" customWidth="1"/>
    <col min="90" max="90" width="11.25" style="63" customWidth="1"/>
    <col min="91" max="97" width="8.4140625" style="63" customWidth="1"/>
    <col min="98" max="98" width="0.75" style="1" customWidth="1"/>
    <col min="99" max="99" width="8.4140625" style="1" customWidth="1"/>
    <col min="100" max="100" width="11.6640625" style="1" customWidth="1"/>
    <col min="101" max="101" width="9.58203125" style="1" customWidth="1"/>
    <col min="102" max="102" width="10.08203125" style="1" customWidth="1"/>
    <col min="103" max="103" width="9.1640625" style="1" customWidth="1"/>
    <col min="104" max="104" width="9.83203125" style="1" customWidth="1"/>
    <col min="105" max="105" width="10.1640625" style="1" customWidth="1"/>
    <col min="106" max="107" width="8.4140625" style="1"/>
    <col min="108" max="108" width="0.83203125" style="1" customWidth="1"/>
    <col min="109" max="109" width="9.4140625" style="1" customWidth="1"/>
    <col min="110" max="110" width="8.4140625" style="1" customWidth="1"/>
    <col min="111" max="111" width="0.83203125" style="1" customWidth="1"/>
    <col min="112" max="112" width="8.4140625" style="1" customWidth="1"/>
    <col min="113" max="113" width="8.4140625" style="106" customWidth="1"/>
    <col min="114" max="114" width="8.4140625" style="1" customWidth="1"/>
    <col min="115" max="115" width="8.4140625" style="1"/>
    <col min="116" max="116" width="11.6640625" style="1" customWidth="1"/>
    <col min="117" max="117" width="9.58203125" style="1" customWidth="1"/>
    <col min="118" max="118" width="10.08203125" style="1" customWidth="1"/>
    <col min="119" max="119" width="9.1640625" style="1" customWidth="1"/>
    <col min="120" max="120" width="9.83203125" style="1" customWidth="1"/>
    <col min="121" max="121" width="10.1640625" style="1" customWidth="1"/>
    <col min="122" max="123" width="8.4140625" style="1"/>
    <col min="124" max="124" width="0.9140625" style="1" customWidth="1"/>
    <col min="125" max="125" width="9.4140625" style="1" bestFit="1" customWidth="1"/>
    <col min="126" max="126" width="8.4140625" style="1"/>
    <col min="127" max="127" width="0.83203125" style="1" customWidth="1"/>
    <col min="128" max="128" width="8.4140625" style="1"/>
    <col min="129" max="129" width="8.4140625" style="106"/>
    <col min="130" max="130" width="8.4140625" style="1"/>
    <col min="131" max="131" width="0.9140625" style="1" customWidth="1"/>
    <col min="132" max="132" width="8.4140625" style="1"/>
    <col min="133" max="133" width="11.6640625" style="1" customWidth="1"/>
    <col min="134" max="134" width="9.58203125" style="1" customWidth="1"/>
    <col min="135" max="135" width="10.08203125" style="1" customWidth="1"/>
    <col min="136" max="136" width="9.1640625" style="1" customWidth="1"/>
    <col min="137" max="137" width="9.83203125" style="1" customWidth="1"/>
    <col min="138" max="138" width="10.1640625" style="1" customWidth="1"/>
    <col min="139" max="140" width="8.4140625" style="1"/>
    <col min="141" max="141" width="0.9140625" style="1" customWidth="1"/>
    <col min="142" max="142" width="9.4140625" style="1" bestFit="1" customWidth="1"/>
    <col min="143" max="143" width="8.4140625" style="1"/>
    <col min="144" max="144" width="0.83203125" style="1" customWidth="1"/>
    <col min="145" max="145" width="8.4140625" style="1"/>
    <col min="146" max="146" width="8.4140625" style="106"/>
    <col min="147" max="16384" width="8.4140625" style="1"/>
  </cols>
  <sheetData>
    <row r="1" spans="1:147" s="28" customFormat="1" ht="14.5" customHeight="1" x14ac:dyDescent="0.5">
      <c r="A1" s="201"/>
      <c r="B1" s="201"/>
      <c r="C1" s="201"/>
      <c r="D1" s="201"/>
      <c r="E1" s="201"/>
      <c r="F1" s="201"/>
      <c r="G1" s="201"/>
      <c r="H1" s="48" t="s">
        <v>52</v>
      </c>
      <c r="I1" s="202"/>
      <c r="J1" s="202"/>
      <c r="K1" s="202"/>
      <c r="L1" s="202"/>
      <c r="M1" s="202"/>
      <c r="N1" s="202"/>
      <c r="O1" s="202"/>
      <c r="P1" s="202"/>
      <c r="Q1" s="203"/>
      <c r="R1" s="48" t="s">
        <v>52</v>
      </c>
      <c r="S1" s="201"/>
      <c r="T1" s="201"/>
      <c r="U1" s="201"/>
      <c r="V1" s="201"/>
      <c r="W1" s="201"/>
      <c r="X1" s="201"/>
      <c r="Y1" s="201"/>
      <c r="Z1" s="201"/>
      <c r="AA1" s="201"/>
      <c r="AB1" s="48" t="s">
        <v>52</v>
      </c>
      <c r="AC1" s="201"/>
      <c r="AD1" s="201"/>
      <c r="AE1" s="201"/>
      <c r="AF1" s="201"/>
      <c r="AG1" s="201"/>
      <c r="AH1" s="201"/>
      <c r="AI1" s="201"/>
      <c r="AJ1" s="201"/>
      <c r="AK1" s="201"/>
      <c r="AL1" s="48" t="s">
        <v>52</v>
      </c>
      <c r="AM1" s="201"/>
      <c r="AN1" s="201"/>
      <c r="AO1" s="201"/>
      <c r="AP1" s="201"/>
      <c r="AQ1" s="201"/>
      <c r="AR1" s="201"/>
      <c r="AS1" s="201"/>
      <c r="AT1" s="201"/>
      <c r="AU1" s="201"/>
      <c r="AV1" s="48" t="s">
        <v>52</v>
      </c>
      <c r="AW1" s="201"/>
      <c r="AX1" s="201"/>
      <c r="AY1" s="201"/>
      <c r="AZ1" s="201"/>
      <c r="BA1" s="201"/>
      <c r="BB1" s="201"/>
      <c r="BC1" s="201"/>
      <c r="BD1" s="201"/>
      <c r="BE1" s="201"/>
      <c r="BF1" s="48" t="s">
        <v>52</v>
      </c>
      <c r="BG1" s="191"/>
      <c r="BH1" s="191"/>
      <c r="BI1" s="191"/>
      <c r="BJ1" s="191"/>
      <c r="BK1" s="191"/>
      <c r="BL1" s="191"/>
      <c r="BM1" s="191"/>
      <c r="BN1" s="191"/>
      <c r="BO1" s="192"/>
      <c r="BP1" s="48" t="s">
        <v>52</v>
      </c>
      <c r="BQ1" s="193"/>
      <c r="BR1" s="193"/>
      <c r="BS1" s="193"/>
      <c r="BT1" s="193"/>
      <c r="BU1" s="193"/>
      <c r="BV1" s="193"/>
      <c r="BW1" s="193"/>
      <c r="BX1" s="193"/>
      <c r="BY1" s="194"/>
      <c r="BZ1" s="48" t="s">
        <v>52</v>
      </c>
      <c r="CA1" s="195"/>
      <c r="CB1" s="195"/>
      <c r="CC1" s="195"/>
      <c r="CD1" s="195"/>
      <c r="CE1" s="195"/>
      <c r="CF1" s="195"/>
      <c r="CG1" s="195"/>
      <c r="CH1" s="195"/>
      <c r="CI1" s="196"/>
      <c r="CJ1" s="48" t="s">
        <v>52</v>
      </c>
      <c r="CK1" s="197"/>
      <c r="CL1" s="197"/>
      <c r="CM1" s="197"/>
      <c r="CN1" s="197"/>
      <c r="CO1" s="197"/>
      <c r="CP1" s="197"/>
      <c r="CQ1" s="197"/>
      <c r="CR1" s="197"/>
      <c r="CS1" s="197"/>
      <c r="CT1" s="29" t="s">
        <v>52</v>
      </c>
      <c r="DD1" s="29" t="s">
        <v>52</v>
      </c>
      <c r="DG1" s="29" t="s">
        <v>52</v>
      </c>
      <c r="DI1" s="105"/>
      <c r="DT1" s="29" t="s">
        <v>52</v>
      </c>
      <c r="DW1" s="29" t="s">
        <v>52</v>
      </c>
      <c r="DY1" s="105"/>
      <c r="EA1" s="29" t="s">
        <v>52</v>
      </c>
      <c r="EK1" s="29" t="s">
        <v>52</v>
      </c>
      <c r="EN1" s="29" t="s">
        <v>52</v>
      </c>
      <c r="EP1" s="105"/>
    </row>
    <row r="2" spans="1:147" ht="12" customHeight="1" x14ac:dyDescent="0.5">
      <c r="A2" s="148" t="s">
        <v>52</v>
      </c>
      <c r="B2" s="148" t="s">
        <v>52</v>
      </c>
      <c r="C2" s="148" t="s">
        <v>52</v>
      </c>
      <c r="D2" s="148" t="s">
        <v>52</v>
      </c>
      <c r="E2" s="148" t="s">
        <v>52</v>
      </c>
      <c r="F2" s="204" t="s">
        <v>299</v>
      </c>
      <c r="G2" s="204"/>
      <c r="H2" s="49" t="s">
        <v>52</v>
      </c>
      <c r="I2" s="199" t="s">
        <v>45</v>
      </c>
      <c r="J2" s="199"/>
      <c r="K2" s="199"/>
      <c r="L2" s="199"/>
      <c r="M2" s="199"/>
      <c r="N2" s="199"/>
      <c r="O2" s="199"/>
      <c r="P2" s="199"/>
      <c r="Q2" s="205"/>
      <c r="R2" s="49" t="s">
        <v>52</v>
      </c>
      <c r="S2" s="190" t="s">
        <v>46</v>
      </c>
      <c r="T2" s="190"/>
      <c r="U2" s="190"/>
      <c r="V2" s="190"/>
      <c r="W2" s="190"/>
      <c r="X2" s="190"/>
      <c r="Y2" s="190"/>
      <c r="Z2" s="190"/>
      <c r="AA2" s="190"/>
      <c r="AB2" s="49" t="s">
        <v>52</v>
      </c>
      <c r="AC2" s="190" t="s">
        <v>47</v>
      </c>
      <c r="AD2" s="190"/>
      <c r="AE2" s="190"/>
      <c r="AF2" s="190"/>
      <c r="AG2" s="190"/>
      <c r="AH2" s="190"/>
      <c r="AI2" s="190"/>
      <c r="AJ2" s="190"/>
      <c r="AK2" s="190"/>
      <c r="AL2" s="49" t="s">
        <v>52</v>
      </c>
      <c r="AM2" s="190" t="s">
        <v>48</v>
      </c>
      <c r="AN2" s="190"/>
      <c r="AO2" s="190"/>
      <c r="AP2" s="190"/>
      <c r="AQ2" s="190"/>
      <c r="AR2" s="190"/>
      <c r="AS2" s="190"/>
      <c r="AT2" s="190"/>
      <c r="AU2" s="190"/>
      <c r="AV2" s="49" t="s">
        <v>52</v>
      </c>
      <c r="AW2" s="190" t="s">
        <v>49</v>
      </c>
      <c r="AX2" s="190"/>
      <c r="AY2" s="190"/>
      <c r="AZ2" s="190"/>
      <c r="BA2" s="190"/>
      <c r="BB2" s="190"/>
      <c r="BC2" s="190"/>
      <c r="BD2" s="190"/>
      <c r="BE2" s="190"/>
      <c r="BF2" s="49" t="s">
        <v>52</v>
      </c>
      <c r="BG2" s="190" t="s">
        <v>50</v>
      </c>
      <c r="BH2" s="190"/>
      <c r="BI2" s="190"/>
      <c r="BJ2" s="190"/>
      <c r="BK2" s="190"/>
      <c r="BL2" s="190"/>
      <c r="BM2" s="190"/>
      <c r="BN2" s="190"/>
      <c r="BO2" s="198"/>
      <c r="BP2" s="49" t="s">
        <v>52</v>
      </c>
      <c r="BQ2" s="199" t="s">
        <v>53</v>
      </c>
      <c r="BR2" s="199"/>
      <c r="BS2" s="199"/>
      <c r="BT2" s="199"/>
      <c r="BU2" s="199"/>
      <c r="BV2" s="199"/>
      <c r="BW2" s="199"/>
      <c r="BX2" s="199"/>
      <c r="BY2" s="200"/>
      <c r="BZ2" s="49" t="s">
        <v>52</v>
      </c>
      <c r="CA2" s="190" t="s">
        <v>54</v>
      </c>
      <c r="CB2" s="190"/>
      <c r="CC2" s="190"/>
      <c r="CD2" s="190"/>
      <c r="CE2" s="190"/>
      <c r="CF2" s="190"/>
      <c r="CG2" s="190"/>
      <c r="CH2" s="190"/>
      <c r="CI2" s="190"/>
      <c r="CJ2" s="49" t="s">
        <v>52</v>
      </c>
      <c r="CK2" s="190" t="s">
        <v>296</v>
      </c>
      <c r="CL2" s="190"/>
      <c r="CM2" s="190"/>
      <c r="CN2" s="190"/>
      <c r="CO2" s="190"/>
      <c r="CP2" s="190"/>
      <c r="CQ2" s="190"/>
      <c r="CR2" s="190"/>
      <c r="CS2" s="190"/>
      <c r="CT2" s="2" t="s">
        <v>52</v>
      </c>
      <c r="CU2" s="190" t="s">
        <v>305</v>
      </c>
      <c r="CV2" s="190"/>
      <c r="CW2" s="190"/>
      <c r="CX2" s="190"/>
      <c r="CY2" s="190"/>
      <c r="CZ2" s="190"/>
      <c r="DA2" s="190"/>
      <c r="DB2" s="190"/>
      <c r="DC2" s="190"/>
      <c r="DD2" s="2" t="s">
        <v>52</v>
      </c>
      <c r="DE2" s="188" t="s">
        <v>297</v>
      </c>
      <c r="DF2" s="189"/>
      <c r="DG2" s="2" t="s">
        <v>52</v>
      </c>
      <c r="DH2" s="173" t="s">
        <v>52</v>
      </c>
      <c r="DI2" s="167" t="s">
        <v>52</v>
      </c>
      <c r="DJ2" s="149" t="s">
        <v>52</v>
      </c>
      <c r="DK2" s="190" t="s">
        <v>312</v>
      </c>
      <c r="DL2" s="190"/>
      <c r="DM2" s="190"/>
      <c r="DN2" s="190"/>
      <c r="DO2" s="190"/>
      <c r="DP2" s="190"/>
      <c r="DQ2" s="190"/>
      <c r="DR2" s="190"/>
      <c r="DS2" s="190"/>
      <c r="DT2" s="2" t="s">
        <v>52</v>
      </c>
      <c r="DU2" s="188" t="s">
        <v>306</v>
      </c>
      <c r="DV2" s="189"/>
      <c r="DW2" s="2" t="s">
        <v>52</v>
      </c>
      <c r="DX2" s="173" t="s">
        <v>52</v>
      </c>
      <c r="DY2" s="167" t="s">
        <v>52</v>
      </c>
      <c r="DZ2" s="149" t="s">
        <v>52</v>
      </c>
      <c r="EA2" s="2" t="s">
        <v>52</v>
      </c>
      <c r="EB2" s="190" t="s">
        <v>324</v>
      </c>
      <c r="EC2" s="190"/>
      <c r="ED2" s="190"/>
      <c r="EE2" s="190"/>
      <c r="EF2" s="190"/>
      <c r="EG2" s="190"/>
      <c r="EH2" s="190"/>
      <c r="EI2" s="190"/>
      <c r="EJ2" s="190"/>
      <c r="EK2" s="2" t="s">
        <v>52</v>
      </c>
      <c r="EL2" s="188" t="s">
        <v>335</v>
      </c>
      <c r="EM2" s="189"/>
      <c r="EN2" s="2" t="s">
        <v>52</v>
      </c>
      <c r="EO2" s="173" t="s">
        <v>52</v>
      </c>
      <c r="EP2" s="167" t="s">
        <v>52</v>
      </c>
      <c r="EQ2" s="149" t="s">
        <v>52</v>
      </c>
    </row>
    <row r="3" spans="1:147" ht="156" x14ac:dyDescent="0.5">
      <c r="A3" s="148" t="s">
        <v>142</v>
      </c>
      <c r="B3" s="148" t="s">
        <v>304</v>
      </c>
      <c r="C3" s="148" t="s">
        <v>303</v>
      </c>
      <c r="D3" s="148" t="s">
        <v>298</v>
      </c>
      <c r="E3" s="148" t="s">
        <v>0</v>
      </c>
      <c r="F3" s="141" t="s">
        <v>217</v>
      </c>
      <c r="G3" s="141" t="s">
        <v>216</v>
      </c>
      <c r="H3" s="159" t="s">
        <v>52</v>
      </c>
      <c r="I3" s="81" t="s">
        <v>215</v>
      </c>
      <c r="J3" s="81" t="s">
        <v>214</v>
      </c>
      <c r="K3" s="143" t="s">
        <v>213</v>
      </c>
      <c r="L3" s="80" t="s">
        <v>212</v>
      </c>
      <c r="M3" s="144" t="s">
        <v>211</v>
      </c>
      <c r="N3" s="135" t="s">
        <v>210</v>
      </c>
      <c r="O3" s="81" t="s">
        <v>209</v>
      </c>
      <c r="P3" s="81" t="s">
        <v>208</v>
      </c>
      <c r="Q3" s="80" t="s">
        <v>207</v>
      </c>
      <c r="R3" s="159" t="s">
        <v>52</v>
      </c>
      <c r="S3" s="81" t="s">
        <v>206</v>
      </c>
      <c r="T3" s="81" t="s">
        <v>205</v>
      </c>
      <c r="U3" s="143" t="s">
        <v>204</v>
      </c>
      <c r="V3" s="80" t="s">
        <v>203</v>
      </c>
      <c r="W3" s="144" t="s">
        <v>202</v>
      </c>
      <c r="X3" s="135" t="s">
        <v>201</v>
      </c>
      <c r="Y3" s="81" t="s">
        <v>200</v>
      </c>
      <c r="Z3" s="81" t="s">
        <v>199</v>
      </c>
      <c r="AA3" s="80" t="s">
        <v>198</v>
      </c>
      <c r="AB3" s="159" t="s">
        <v>52</v>
      </c>
      <c r="AC3" s="81" t="s">
        <v>197</v>
      </c>
      <c r="AD3" s="81" t="s">
        <v>196</v>
      </c>
      <c r="AE3" s="143" t="s">
        <v>195</v>
      </c>
      <c r="AF3" s="80" t="s">
        <v>194</v>
      </c>
      <c r="AG3" s="144" t="s">
        <v>193</v>
      </c>
      <c r="AH3" s="135" t="s">
        <v>192</v>
      </c>
      <c r="AI3" s="81" t="s">
        <v>191</v>
      </c>
      <c r="AJ3" s="81" t="s">
        <v>190</v>
      </c>
      <c r="AK3" s="80" t="s">
        <v>189</v>
      </c>
      <c r="AL3" s="159" t="s">
        <v>52</v>
      </c>
      <c r="AM3" s="81" t="s">
        <v>188</v>
      </c>
      <c r="AN3" s="81" t="s">
        <v>187</v>
      </c>
      <c r="AO3" s="143" t="s">
        <v>186</v>
      </c>
      <c r="AP3" s="80" t="s">
        <v>185</v>
      </c>
      <c r="AQ3" s="144" t="s">
        <v>184</v>
      </c>
      <c r="AR3" s="135" t="s">
        <v>183</v>
      </c>
      <c r="AS3" s="81" t="s">
        <v>182</v>
      </c>
      <c r="AT3" s="81" t="s">
        <v>181</v>
      </c>
      <c r="AU3" s="80" t="s">
        <v>180</v>
      </c>
      <c r="AV3" s="159" t="s">
        <v>52</v>
      </c>
      <c r="AW3" s="81" t="s">
        <v>179</v>
      </c>
      <c r="AX3" s="81" t="s">
        <v>178</v>
      </c>
      <c r="AY3" s="143" t="s">
        <v>177</v>
      </c>
      <c r="AZ3" s="80" t="s">
        <v>176</v>
      </c>
      <c r="BA3" s="144" t="s">
        <v>175</v>
      </c>
      <c r="BB3" s="135" t="s">
        <v>174</v>
      </c>
      <c r="BC3" s="81" t="s">
        <v>173</v>
      </c>
      <c r="BD3" s="81" t="s">
        <v>172</v>
      </c>
      <c r="BE3" s="80" t="s">
        <v>171</v>
      </c>
      <c r="BF3" s="159" t="s">
        <v>52</v>
      </c>
      <c r="BG3" s="81" t="s">
        <v>170</v>
      </c>
      <c r="BH3" s="81" t="s">
        <v>169</v>
      </c>
      <c r="BI3" s="143" t="s">
        <v>168</v>
      </c>
      <c r="BJ3" s="80" t="s">
        <v>167</v>
      </c>
      <c r="BK3" s="144" t="s">
        <v>166</v>
      </c>
      <c r="BL3" s="135" t="s">
        <v>165</v>
      </c>
      <c r="BM3" s="81" t="s">
        <v>164</v>
      </c>
      <c r="BN3" s="81" t="s">
        <v>163</v>
      </c>
      <c r="BO3" s="80" t="s">
        <v>162</v>
      </c>
      <c r="BP3" s="159" t="s">
        <v>52</v>
      </c>
      <c r="BQ3" s="81" t="s">
        <v>161</v>
      </c>
      <c r="BR3" s="81" t="s">
        <v>160</v>
      </c>
      <c r="BS3" s="143" t="s">
        <v>159</v>
      </c>
      <c r="BT3" s="80" t="s">
        <v>158</v>
      </c>
      <c r="BU3" s="144" t="s">
        <v>157</v>
      </c>
      <c r="BV3" s="135" t="s">
        <v>156</v>
      </c>
      <c r="BW3" s="81" t="s">
        <v>155</v>
      </c>
      <c r="BX3" s="81" t="s">
        <v>154</v>
      </c>
      <c r="BY3" s="80" t="s">
        <v>153</v>
      </c>
      <c r="BZ3" s="159" t="s">
        <v>52</v>
      </c>
      <c r="CA3" s="81" t="s">
        <v>152</v>
      </c>
      <c r="CB3" s="81" t="s">
        <v>151</v>
      </c>
      <c r="CC3" s="143" t="s">
        <v>150</v>
      </c>
      <c r="CD3" s="80" t="s">
        <v>149</v>
      </c>
      <c r="CE3" s="144" t="s">
        <v>148</v>
      </c>
      <c r="CF3" s="135" t="s">
        <v>147</v>
      </c>
      <c r="CG3" s="81" t="s">
        <v>146</v>
      </c>
      <c r="CH3" s="81" t="s">
        <v>145</v>
      </c>
      <c r="CI3" s="80" t="s">
        <v>144</v>
      </c>
      <c r="CJ3" s="159" t="s">
        <v>52</v>
      </c>
      <c r="CK3" s="81" t="s">
        <v>141</v>
      </c>
      <c r="CL3" s="81" t="s">
        <v>140</v>
      </c>
      <c r="CM3" s="143" t="s">
        <v>139</v>
      </c>
      <c r="CN3" s="80" t="s">
        <v>138</v>
      </c>
      <c r="CO3" s="144" t="s">
        <v>137</v>
      </c>
      <c r="CP3" s="135" t="s">
        <v>136</v>
      </c>
      <c r="CQ3" s="81" t="s">
        <v>135</v>
      </c>
      <c r="CR3" s="81" t="s">
        <v>134</v>
      </c>
      <c r="CS3" s="80" t="s">
        <v>133</v>
      </c>
      <c r="CT3" s="159" t="s">
        <v>52</v>
      </c>
      <c r="CU3" s="81" t="s">
        <v>266</v>
      </c>
      <c r="CV3" s="81" t="s">
        <v>267</v>
      </c>
      <c r="CW3" s="143" t="s">
        <v>268</v>
      </c>
      <c r="CX3" s="80" t="s">
        <v>269</v>
      </c>
      <c r="CY3" s="144" t="s">
        <v>270</v>
      </c>
      <c r="CZ3" s="135" t="s">
        <v>271</v>
      </c>
      <c r="DA3" s="81" t="s">
        <v>272</v>
      </c>
      <c r="DB3" s="81" t="s">
        <v>273</v>
      </c>
      <c r="DC3" s="80" t="s">
        <v>274</v>
      </c>
      <c r="DD3" s="159" t="s">
        <v>52</v>
      </c>
      <c r="DE3" s="170" t="s">
        <v>307</v>
      </c>
      <c r="DF3" s="144" t="s">
        <v>308</v>
      </c>
      <c r="DG3" s="159" t="s">
        <v>52</v>
      </c>
      <c r="DH3" s="173" t="s">
        <v>290</v>
      </c>
      <c r="DI3" s="168" t="s">
        <v>288</v>
      </c>
      <c r="DJ3" s="109" t="s">
        <v>289</v>
      </c>
      <c r="DK3" s="81" t="s">
        <v>313</v>
      </c>
      <c r="DL3" s="81" t="s">
        <v>314</v>
      </c>
      <c r="DM3" s="143" t="s">
        <v>315</v>
      </c>
      <c r="DN3" s="80" t="s">
        <v>316</v>
      </c>
      <c r="DO3" s="144" t="s">
        <v>317</v>
      </c>
      <c r="DP3" s="135" t="s">
        <v>318</v>
      </c>
      <c r="DQ3" s="81" t="s">
        <v>319</v>
      </c>
      <c r="DR3" s="81" t="s">
        <v>320</v>
      </c>
      <c r="DS3" s="80" t="s">
        <v>321</v>
      </c>
      <c r="DT3" s="159" t="s">
        <v>52</v>
      </c>
      <c r="DU3" s="170" t="s">
        <v>268</v>
      </c>
      <c r="DV3" s="144" t="s">
        <v>270</v>
      </c>
      <c r="DW3" s="159" t="s">
        <v>52</v>
      </c>
      <c r="DX3" s="173" t="s">
        <v>309</v>
      </c>
      <c r="DY3" s="168" t="s">
        <v>310</v>
      </c>
      <c r="DZ3" s="109" t="s">
        <v>311</v>
      </c>
      <c r="EA3" s="159" t="s">
        <v>52</v>
      </c>
      <c r="EB3" s="81" t="s">
        <v>325</v>
      </c>
      <c r="EC3" s="81" t="s">
        <v>326</v>
      </c>
      <c r="ED3" s="143" t="s">
        <v>327</v>
      </c>
      <c r="EE3" s="80" t="s">
        <v>328</v>
      </c>
      <c r="EF3" s="144" t="s">
        <v>329</v>
      </c>
      <c r="EG3" s="135" t="s">
        <v>330</v>
      </c>
      <c r="EH3" s="81" t="s">
        <v>331</v>
      </c>
      <c r="EI3" s="81" t="s">
        <v>332</v>
      </c>
      <c r="EJ3" s="80" t="s">
        <v>333</v>
      </c>
      <c r="EK3" s="159" t="s">
        <v>52</v>
      </c>
      <c r="EL3" s="170" t="s">
        <v>327</v>
      </c>
      <c r="EM3" s="144" t="s">
        <v>329</v>
      </c>
      <c r="EN3" s="159" t="s">
        <v>52</v>
      </c>
      <c r="EO3" s="173" t="s">
        <v>336</v>
      </c>
      <c r="EP3" s="168" t="s">
        <v>337</v>
      </c>
      <c r="EQ3" s="109" t="s">
        <v>338</v>
      </c>
    </row>
    <row r="4" spans="1:147" ht="13" x14ac:dyDescent="0.5">
      <c r="A4" s="160" t="s">
        <v>28</v>
      </c>
      <c r="B4" s="160" t="s">
        <v>24</v>
      </c>
      <c r="C4" s="160" t="s">
        <v>131</v>
      </c>
      <c r="D4" s="160" t="s">
        <v>6</v>
      </c>
      <c r="E4" s="160" t="s">
        <v>29</v>
      </c>
      <c r="F4" s="176">
        <v>437773.93852362002</v>
      </c>
      <c r="G4" s="176">
        <v>557784.93606427999</v>
      </c>
      <c r="H4" s="49" t="s">
        <v>52</v>
      </c>
      <c r="I4" s="150">
        <v>37</v>
      </c>
      <c r="J4" s="150">
        <v>1912584</v>
      </c>
      <c r="K4" s="151">
        <v>507349.89629727002</v>
      </c>
      <c r="L4" s="151">
        <v>388693.45720793999</v>
      </c>
      <c r="M4" s="151">
        <v>118656.43908933</v>
      </c>
      <c r="N4" s="151">
        <v>559824.18365416001</v>
      </c>
      <c r="O4" s="151">
        <v>607582.90254445001</v>
      </c>
      <c r="P4" s="150">
        <v>0</v>
      </c>
      <c r="Q4" s="151">
        <v>0</v>
      </c>
      <c r="R4" s="49" t="s">
        <v>52</v>
      </c>
      <c r="S4" s="150">
        <v>37</v>
      </c>
      <c r="T4" s="150">
        <v>1941435</v>
      </c>
      <c r="U4" s="151">
        <v>345272.11590764002</v>
      </c>
      <c r="V4" s="151">
        <v>385477.47560943</v>
      </c>
      <c r="W4" s="151">
        <v>-40205.359701790003</v>
      </c>
      <c r="X4" s="151">
        <v>522714.52219131001</v>
      </c>
      <c r="Y4" s="151">
        <v>568734.39075026999</v>
      </c>
      <c r="Z4" s="150">
        <v>0</v>
      </c>
      <c r="AA4" s="151">
        <v>0</v>
      </c>
      <c r="AB4" s="49" t="s">
        <v>52</v>
      </c>
      <c r="AC4" s="150">
        <v>38</v>
      </c>
      <c r="AD4" s="150">
        <v>1973815</v>
      </c>
      <c r="AE4" s="151">
        <v>503574.67716249003</v>
      </c>
      <c r="AF4" s="151">
        <v>528770.76399620995</v>
      </c>
      <c r="AG4" s="151">
        <v>-25196.086833720099</v>
      </c>
      <c r="AH4" s="151">
        <v>499856.82495545998</v>
      </c>
      <c r="AI4" s="151">
        <v>584402.98813934997</v>
      </c>
      <c r="AJ4" s="150">
        <v>0</v>
      </c>
      <c r="AK4" s="151">
        <v>0</v>
      </c>
      <c r="AL4" s="49" t="s">
        <v>52</v>
      </c>
      <c r="AM4" s="150">
        <v>39</v>
      </c>
      <c r="AN4" s="150">
        <v>2082344</v>
      </c>
      <c r="AO4" s="151">
        <v>477544.05403211998</v>
      </c>
      <c r="AP4" s="151">
        <v>438189.12075097999</v>
      </c>
      <c r="AQ4" s="151">
        <v>39354.9332811399</v>
      </c>
      <c r="AR4" s="151">
        <v>542224.72076528997</v>
      </c>
      <c r="AS4" s="151">
        <v>600208.97180330998</v>
      </c>
      <c r="AT4" s="150">
        <v>0</v>
      </c>
      <c r="AU4" s="151">
        <v>0</v>
      </c>
      <c r="AV4" s="49" t="s">
        <v>52</v>
      </c>
      <c r="AW4" s="150">
        <v>39</v>
      </c>
      <c r="AX4" s="150">
        <v>2131349</v>
      </c>
      <c r="AY4" s="151">
        <v>347152.02060490003</v>
      </c>
      <c r="AZ4" s="151">
        <v>360502.07865161001</v>
      </c>
      <c r="BA4" s="151">
        <v>-13350.058046709701</v>
      </c>
      <c r="BB4" s="151">
        <v>531546.83270423999</v>
      </c>
      <c r="BC4" s="151">
        <v>572499.66345117998</v>
      </c>
      <c r="BD4" s="150">
        <v>0</v>
      </c>
      <c r="BE4" s="151">
        <v>0</v>
      </c>
      <c r="BF4" s="49" t="s">
        <v>52</v>
      </c>
      <c r="BG4" s="150">
        <v>39</v>
      </c>
      <c r="BH4" s="150">
        <v>2175269</v>
      </c>
      <c r="BI4" s="151">
        <v>412040.99868298997</v>
      </c>
      <c r="BJ4" s="151">
        <v>478083.32351039001</v>
      </c>
      <c r="BK4" s="151">
        <v>-66042.324827400007</v>
      </c>
      <c r="BL4" s="151">
        <v>467363.81165709998</v>
      </c>
      <c r="BM4" s="151">
        <v>545880.11724301998</v>
      </c>
      <c r="BN4" s="152">
        <v>0</v>
      </c>
      <c r="BO4" s="153">
        <v>0</v>
      </c>
      <c r="BP4" s="49" t="s">
        <v>52</v>
      </c>
      <c r="BQ4" s="150">
        <v>40</v>
      </c>
      <c r="BR4" s="150">
        <v>2278013</v>
      </c>
      <c r="BS4" s="151">
        <v>427684.69385957997</v>
      </c>
      <c r="BT4" s="151">
        <v>338309.57526665</v>
      </c>
      <c r="BU4" s="151">
        <v>89375.118592929997</v>
      </c>
      <c r="BV4" s="151">
        <v>559686.58269698999</v>
      </c>
      <c r="BW4" s="151">
        <v>560718.30999824998</v>
      </c>
      <c r="BX4" s="152">
        <v>0</v>
      </c>
      <c r="BY4" s="153">
        <v>0</v>
      </c>
      <c r="BZ4" s="49" t="s">
        <v>52</v>
      </c>
      <c r="CA4" s="150">
        <v>41</v>
      </c>
      <c r="CB4" s="150">
        <v>2377756</v>
      </c>
      <c r="CC4" s="151">
        <v>311162.79810905998</v>
      </c>
      <c r="CD4" s="151">
        <v>325213.51457916002</v>
      </c>
      <c r="CE4" s="151">
        <v>-14050.7164701</v>
      </c>
      <c r="CF4" s="151">
        <v>548393.27376254997</v>
      </c>
      <c r="CG4" s="151">
        <v>576514.27763370005</v>
      </c>
      <c r="CH4" s="152">
        <v>0</v>
      </c>
      <c r="CI4" s="151">
        <v>0</v>
      </c>
      <c r="CJ4" s="49" t="s">
        <v>52</v>
      </c>
      <c r="CK4" s="150">
        <v>42</v>
      </c>
      <c r="CL4" s="150">
        <v>2435865</v>
      </c>
      <c r="CM4" s="151">
        <v>464668.90947591001</v>
      </c>
      <c r="CN4" s="151">
        <v>511976.86440876999</v>
      </c>
      <c r="CO4" s="154">
        <v>-47307.954932860099</v>
      </c>
      <c r="CP4" s="151">
        <v>503143.32911599998</v>
      </c>
      <c r="CQ4" s="151">
        <v>575533.12761157996</v>
      </c>
      <c r="CR4" s="150">
        <v>0</v>
      </c>
      <c r="CS4" s="151">
        <v>0</v>
      </c>
      <c r="CT4" s="2" t="s">
        <v>52</v>
      </c>
      <c r="CU4" s="155">
        <v>42</v>
      </c>
      <c r="CV4" s="155">
        <v>2514436</v>
      </c>
      <c r="CW4" s="156">
        <v>408835.01635987998</v>
      </c>
      <c r="CX4" s="156">
        <v>378153.46244703</v>
      </c>
      <c r="CY4" s="157">
        <v>30681.553912849598</v>
      </c>
      <c r="CZ4" s="156">
        <v>536753.20670841006</v>
      </c>
      <c r="DA4" s="156">
        <v>565989.61702584999</v>
      </c>
      <c r="DB4" s="155">
        <v>0</v>
      </c>
      <c r="DC4" s="156">
        <v>0</v>
      </c>
      <c r="DD4" s="2" t="s">
        <v>52</v>
      </c>
      <c r="DE4" s="171">
        <f t="shared" ref="DE4:DE35" si="0">K4+U4+AE4+AO4+AY4+BI4+BS4+CC4+CM4+CW4</f>
        <v>4205285.1804918405</v>
      </c>
      <c r="DF4" s="165">
        <f t="shared" ref="DF4:DF35" si="1">M4+W4+AG4+AQ4+BA4+BK4+BU4+CE4+CO4+CY4</f>
        <v>71915.5440636696</v>
      </c>
      <c r="DG4" s="2" t="s">
        <v>52</v>
      </c>
      <c r="DH4" s="174">
        <f t="shared" ref="DH4:DH23" si="2">(CW4-CM4)/CM4</f>
        <v>-0.12015844395314476</v>
      </c>
      <c r="DI4" s="169">
        <f t="shared" ref="DI4:DI30" si="3">(CY4-CO4)/CO4</f>
        <v>-1.6485495717663796</v>
      </c>
      <c r="DJ4" s="158">
        <f t="shared" ref="DJ4:DJ30" si="4">(CZ4-CP4)/CP4</f>
        <v>6.6799807624322693E-2</v>
      </c>
      <c r="DK4" s="155">
        <v>42</v>
      </c>
      <c r="DL4" s="155">
        <v>2616607</v>
      </c>
      <c r="DM4" s="155">
        <v>465477.84490404098</v>
      </c>
      <c r="DN4" s="155">
        <v>406400.45084860001</v>
      </c>
      <c r="DO4" s="155">
        <v>59077.394055441</v>
      </c>
      <c r="DP4" s="155">
        <v>598920.01863801002</v>
      </c>
      <c r="DQ4" s="155">
        <v>622413.14171651995</v>
      </c>
      <c r="DR4" s="155">
        <v>0</v>
      </c>
      <c r="DS4" s="155">
        <v>0</v>
      </c>
      <c r="DT4" s="2" t="s">
        <v>52</v>
      </c>
      <c r="DU4" s="171">
        <f t="shared" ref="DU4:DU35" si="5">K4+U4+AE4+AO4+AY4+BI4+BS4+CC4+CM4+CW4+DM4</f>
        <v>4670763.0253958814</v>
      </c>
      <c r="DV4" s="165">
        <f t="shared" ref="DV4:DV35" si="6">M4+W4+AG4+AQ4+BA4+BK4+BU4+CE4+CO4+CY4+DO4</f>
        <v>130992.93811911059</v>
      </c>
      <c r="DW4" s="2" t="s">
        <v>52</v>
      </c>
      <c r="DX4" s="174">
        <f t="shared" ref="DX4:DX35" si="7">(DM4-CW4)/CW4</f>
        <v>0.13854691080154624</v>
      </c>
      <c r="DY4" s="169">
        <f t="shared" ref="DY4:DY35" si="8">(DO4-CY4)/CY4</f>
        <v>0.92550202063589326</v>
      </c>
      <c r="DZ4" s="158">
        <f t="shared" ref="DZ4:DZ35" si="9">(DP4-CZ4)/CZ4</f>
        <v>0.11582010345281819</v>
      </c>
      <c r="EA4" s="2" t="s">
        <v>52</v>
      </c>
      <c r="EB4" s="155">
        <v>42</v>
      </c>
      <c r="EC4" s="155">
        <v>2719972</v>
      </c>
      <c r="ED4" s="155">
        <v>455110.25378652901</v>
      </c>
      <c r="EE4" s="155">
        <v>590097.89844649995</v>
      </c>
      <c r="EF4" s="155">
        <v>-134987.644659971</v>
      </c>
      <c r="EG4" s="155">
        <v>466498.11049557</v>
      </c>
      <c r="EH4" s="155">
        <v>597067.86304204003</v>
      </c>
      <c r="EI4" s="155">
        <v>0</v>
      </c>
      <c r="EJ4" s="155">
        <v>0</v>
      </c>
      <c r="EK4" s="2" t="s">
        <v>52</v>
      </c>
      <c r="EL4" s="171">
        <f>K4+U4+AE4+AO4+AY4+BI4+BS4+CC4+CM4+CW4+DM4+ED4</f>
        <v>5125873.2791824108</v>
      </c>
      <c r="EM4" s="165">
        <f>M4+W4+AG4+AQ4+BA4+BK4+BU4+CE4+CO4+CY4+DO4+EF4</f>
        <v>-3994.7065408604103</v>
      </c>
      <c r="EN4" s="2" t="s">
        <v>52</v>
      </c>
      <c r="EO4" s="174">
        <f>(ED4-DM4)/DM4</f>
        <v>-2.2273006612482847E-2</v>
      </c>
      <c r="EP4" s="169">
        <f>(EF4-DO4)/DO4</f>
        <v>-3.284928894007956</v>
      </c>
      <c r="EQ4" s="158">
        <f>(EG4-DP4)/DP4</f>
        <v>-0.22110115544906578</v>
      </c>
    </row>
    <row r="5" spans="1:147" ht="13" x14ac:dyDescent="0.5">
      <c r="A5" s="16" t="s">
        <v>116</v>
      </c>
      <c r="B5" s="16" t="s">
        <v>118</v>
      </c>
      <c r="C5" s="16" t="s">
        <v>131</v>
      </c>
      <c r="D5" s="16" t="s">
        <v>2</v>
      </c>
      <c r="E5" s="16" t="s">
        <v>118</v>
      </c>
      <c r="F5" s="177">
        <v>107094.49949546</v>
      </c>
      <c r="G5" s="177">
        <v>113587.79437767999</v>
      </c>
      <c r="H5" s="49" t="s">
        <v>52</v>
      </c>
      <c r="I5" s="15">
        <v>28</v>
      </c>
      <c r="J5" s="15">
        <v>3121223</v>
      </c>
      <c r="K5" s="14">
        <v>3583.91262654</v>
      </c>
      <c r="L5" s="14">
        <v>1478.1664463100001</v>
      </c>
      <c r="M5" s="14">
        <v>2105.7461802299999</v>
      </c>
      <c r="N5" s="14">
        <v>113009.40886162</v>
      </c>
      <c r="O5" s="14">
        <v>118248.56153799</v>
      </c>
      <c r="P5" s="15">
        <v>0</v>
      </c>
      <c r="Q5" s="14">
        <v>0</v>
      </c>
      <c r="R5" s="49" t="s">
        <v>52</v>
      </c>
      <c r="S5" s="15">
        <v>29</v>
      </c>
      <c r="T5" s="15">
        <v>3226116</v>
      </c>
      <c r="U5" s="14">
        <v>4508.2554059900003</v>
      </c>
      <c r="V5" s="14">
        <v>1581.4556663200001</v>
      </c>
      <c r="W5" s="14">
        <v>2926.7997396699998</v>
      </c>
      <c r="X5" s="14">
        <v>118153.72857389</v>
      </c>
      <c r="Y5" s="14">
        <v>123714.43664792</v>
      </c>
      <c r="Z5" s="15">
        <v>0</v>
      </c>
      <c r="AA5" s="14">
        <v>0</v>
      </c>
      <c r="AB5" s="49" t="s">
        <v>52</v>
      </c>
      <c r="AC5" s="15">
        <v>29</v>
      </c>
      <c r="AD5" s="15">
        <v>3307121</v>
      </c>
      <c r="AE5" s="14">
        <v>4514.2514679200003</v>
      </c>
      <c r="AF5" s="14">
        <v>1304.2772468200001</v>
      </c>
      <c r="AG5" s="14">
        <v>3209.9742210999998</v>
      </c>
      <c r="AH5" s="14">
        <v>123584.50152472001</v>
      </c>
      <c r="AI5" s="14">
        <v>130104.79473783</v>
      </c>
      <c r="AJ5" s="15">
        <v>0</v>
      </c>
      <c r="AK5" s="14">
        <v>0</v>
      </c>
      <c r="AL5" s="49" t="s">
        <v>52</v>
      </c>
      <c r="AM5" s="15">
        <v>29</v>
      </c>
      <c r="AN5" s="15">
        <v>3459194</v>
      </c>
      <c r="AO5" s="14">
        <v>7480.7754642</v>
      </c>
      <c r="AP5" s="14">
        <v>1283.55716764</v>
      </c>
      <c r="AQ5" s="14">
        <v>6197.2182965600005</v>
      </c>
      <c r="AR5" s="14">
        <v>128426.74021118</v>
      </c>
      <c r="AS5" s="14">
        <v>135201.00381369001</v>
      </c>
      <c r="AT5" s="15">
        <v>0</v>
      </c>
      <c r="AU5" s="14">
        <v>0</v>
      </c>
      <c r="AV5" s="49" t="s">
        <v>52</v>
      </c>
      <c r="AW5" s="15">
        <v>30</v>
      </c>
      <c r="AX5" s="15">
        <v>3560534</v>
      </c>
      <c r="AY5" s="14">
        <v>4633.0018955899995</v>
      </c>
      <c r="AZ5" s="14">
        <v>1105.0928587999999</v>
      </c>
      <c r="BA5" s="14">
        <v>3527.9090367899998</v>
      </c>
      <c r="BB5" s="14">
        <v>132103.61548318001</v>
      </c>
      <c r="BC5" s="14">
        <v>139994.94141398999</v>
      </c>
      <c r="BD5" s="15">
        <v>0</v>
      </c>
      <c r="BE5" s="14">
        <v>0</v>
      </c>
      <c r="BF5" s="49" t="s">
        <v>52</v>
      </c>
      <c r="BG5" s="15">
        <v>31</v>
      </c>
      <c r="BH5" s="15">
        <v>3704172</v>
      </c>
      <c r="BI5" s="14">
        <v>6608.0378198500002</v>
      </c>
      <c r="BJ5" s="14">
        <v>1625.8258417699999</v>
      </c>
      <c r="BK5" s="14">
        <v>4982.2119780800003</v>
      </c>
      <c r="BL5" s="14">
        <v>140416.71757963</v>
      </c>
      <c r="BM5" s="14">
        <v>147700.94282838999</v>
      </c>
      <c r="BN5" s="18">
        <v>0</v>
      </c>
      <c r="BO5" s="19">
        <v>0</v>
      </c>
      <c r="BP5" s="49" t="s">
        <v>52</v>
      </c>
      <c r="BQ5" s="15">
        <v>31</v>
      </c>
      <c r="BR5" s="15">
        <v>3861455</v>
      </c>
      <c r="BS5" s="14">
        <v>6706.8455362599998</v>
      </c>
      <c r="BT5" s="14">
        <v>1362.6600139300001</v>
      </c>
      <c r="BU5" s="14">
        <v>5344.1855223299999</v>
      </c>
      <c r="BV5" s="14">
        <v>151071.71016208001</v>
      </c>
      <c r="BW5" s="14">
        <v>157277.39439450999</v>
      </c>
      <c r="BX5" s="18">
        <v>0</v>
      </c>
      <c r="BY5" s="19">
        <v>0</v>
      </c>
      <c r="BZ5" s="49" t="s">
        <v>52</v>
      </c>
      <c r="CA5" s="15">
        <v>32</v>
      </c>
      <c r="CB5" s="15">
        <v>4016236</v>
      </c>
      <c r="CC5" s="14">
        <v>6655.48775234</v>
      </c>
      <c r="CD5" s="14">
        <v>1340.62955947</v>
      </c>
      <c r="CE5" s="14">
        <v>5314.8581928699996</v>
      </c>
      <c r="CF5" s="14">
        <v>157266.66639289999</v>
      </c>
      <c r="CG5" s="14">
        <v>164438.97614653999</v>
      </c>
      <c r="CH5" s="18">
        <v>0</v>
      </c>
      <c r="CI5" s="14">
        <v>0</v>
      </c>
      <c r="CJ5" s="49" t="s">
        <v>52</v>
      </c>
      <c r="CK5" s="15">
        <v>33</v>
      </c>
      <c r="CL5" s="15">
        <v>4249832</v>
      </c>
      <c r="CM5" s="14">
        <v>8927.2308491600106</v>
      </c>
      <c r="CN5" s="14">
        <v>1501.25218819</v>
      </c>
      <c r="CO5" s="14">
        <v>7425.9786609700104</v>
      </c>
      <c r="CP5" s="14">
        <v>164730.82674007001</v>
      </c>
      <c r="CQ5" s="14">
        <v>173823.59097282999</v>
      </c>
      <c r="CR5" s="15">
        <v>0</v>
      </c>
      <c r="CS5" s="14">
        <v>0</v>
      </c>
      <c r="CT5" s="2" t="s">
        <v>52</v>
      </c>
      <c r="CU5" s="87">
        <v>33</v>
      </c>
      <c r="CV5" s="87">
        <v>4592478</v>
      </c>
      <c r="CW5" s="88">
        <v>12139.13351365</v>
      </c>
      <c r="CX5" s="88">
        <v>1653.75271226</v>
      </c>
      <c r="CY5" s="88">
        <v>10485.38080139</v>
      </c>
      <c r="CZ5" s="88">
        <v>174660.32231587</v>
      </c>
      <c r="DA5" s="88">
        <v>185088.94913086001</v>
      </c>
      <c r="DB5" s="87">
        <v>0</v>
      </c>
      <c r="DC5" s="88">
        <v>0</v>
      </c>
      <c r="DD5" s="2" t="s">
        <v>52</v>
      </c>
      <c r="DE5" s="171">
        <f t="shared" si="0"/>
        <v>65756.932331500022</v>
      </c>
      <c r="DF5" s="165">
        <f t="shared" si="1"/>
        <v>51520.262629990008</v>
      </c>
      <c r="DG5" s="2" t="s">
        <v>52</v>
      </c>
      <c r="DH5" s="172">
        <f t="shared" si="2"/>
        <v>0.35978711862169521</v>
      </c>
      <c r="DI5" s="166">
        <f t="shared" si="3"/>
        <v>0.41198638995555076</v>
      </c>
      <c r="DJ5" s="158">
        <f t="shared" si="4"/>
        <v>6.0277094289509087E-2</v>
      </c>
      <c r="DK5" s="155">
        <v>33</v>
      </c>
      <c r="DL5" s="155">
        <v>4908663</v>
      </c>
      <c r="DM5" s="155">
        <v>10151.08691955</v>
      </c>
      <c r="DN5" s="155">
        <v>1674.8311146599999</v>
      </c>
      <c r="DO5" s="155">
        <v>8476.25580489001</v>
      </c>
      <c r="DP5" s="155">
        <v>183245.91081092</v>
      </c>
      <c r="DQ5" s="155">
        <v>196730.60644971</v>
      </c>
      <c r="DR5" s="155">
        <v>0</v>
      </c>
      <c r="DS5" s="155">
        <v>0</v>
      </c>
      <c r="DT5" s="2" t="s">
        <v>52</v>
      </c>
      <c r="DU5" s="171">
        <f t="shared" si="5"/>
        <v>75908.01925105002</v>
      </c>
      <c r="DV5" s="165">
        <f t="shared" si="6"/>
        <v>59996.518434880018</v>
      </c>
      <c r="DW5" s="2" t="s">
        <v>52</v>
      </c>
      <c r="DX5" s="174">
        <f t="shared" si="7"/>
        <v>-0.16377170511095512</v>
      </c>
      <c r="DY5" s="169">
        <f t="shared" si="8"/>
        <v>-0.19161202006451203</v>
      </c>
      <c r="DZ5" s="158">
        <f t="shared" si="9"/>
        <v>4.9155918076935208E-2</v>
      </c>
      <c r="EA5" s="2" t="s">
        <v>52</v>
      </c>
      <c r="EB5" s="155">
        <v>34</v>
      </c>
      <c r="EC5" s="155">
        <v>5160754</v>
      </c>
      <c r="ED5" s="155">
        <v>8270.4618669099891</v>
      </c>
      <c r="EE5" s="155">
        <v>3057.7298773000002</v>
      </c>
      <c r="EF5" s="155">
        <v>5212.7319896099898</v>
      </c>
      <c r="EG5" s="155">
        <v>173762.06333159</v>
      </c>
      <c r="EH5" s="155">
        <v>195113.52618253001</v>
      </c>
      <c r="EI5" s="155">
        <v>0</v>
      </c>
      <c r="EJ5" s="155">
        <v>0</v>
      </c>
      <c r="EK5" s="2" t="s">
        <v>52</v>
      </c>
      <c r="EL5" s="171">
        <f t="shared" ref="EL5:EL52" si="10">K5+U5+AE5+AO5+AY5+BI5+BS5+CC5+CM5+CW5+DM5+ED5</f>
        <v>84178.481117960007</v>
      </c>
      <c r="EM5" s="165">
        <f t="shared" ref="EM5:EM52" si="11">M5+W5+AG5+AQ5+BA5+BK5+BU5+CE5+CO5+CY5+DO5+EF5</f>
        <v>65209.250424490005</v>
      </c>
      <c r="EN5" s="2" t="s">
        <v>52</v>
      </c>
      <c r="EO5" s="174">
        <f t="shared" ref="EO5:EO49" si="12">(ED5-DM5)/DM5</f>
        <v>-0.18526341736056964</v>
      </c>
      <c r="EP5" s="169">
        <f t="shared" ref="EP5:EP54" si="13">(EF5-DO5)/DO5</f>
        <v>-0.3850195051212672</v>
      </c>
      <c r="EQ5" s="158">
        <f t="shared" ref="EQ5:EQ54" si="14">(EG5-DP5)/DP5</f>
        <v>-5.1754756421908847E-2</v>
      </c>
    </row>
    <row r="6" spans="1:147" ht="13" x14ac:dyDescent="0.5">
      <c r="A6" s="16" t="s">
        <v>19</v>
      </c>
      <c r="B6" s="16" t="s">
        <v>87</v>
      </c>
      <c r="C6" s="16" t="s">
        <v>131</v>
      </c>
      <c r="D6" s="16" t="s">
        <v>2</v>
      </c>
      <c r="E6" s="16" t="s">
        <v>2</v>
      </c>
      <c r="F6" s="177">
        <v>435508.96836394002</v>
      </c>
      <c r="G6" s="177">
        <v>422113.97876527999</v>
      </c>
      <c r="H6" s="49" t="s">
        <v>52</v>
      </c>
      <c r="I6" s="15">
        <v>39</v>
      </c>
      <c r="J6" s="15">
        <v>18209314</v>
      </c>
      <c r="K6" s="14">
        <v>10026.302537359999</v>
      </c>
      <c r="L6" s="14">
        <v>4484.5884410299996</v>
      </c>
      <c r="M6" s="14">
        <v>5541.7140963299998</v>
      </c>
      <c r="N6" s="14">
        <v>454667.90722698002</v>
      </c>
      <c r="O6" s="14">
        <v>440289.91115334001</v>
      </c>
      <c r="P6" s="15">
        <v>0</v>
      </c>
      <c r="Q6" s="14">
        <v>0</v>
      </c>
      <c r="R6" s="49" t="s">
        <v>52</v>
      </c>
      <c r="S6" s="15">
        <v>39</v>
      </c>
      <c r="T6" s="15">
        <v>18510887</v>
      </c>
      <c r="U6" s="14">
        <v>9241.5931910500003</v>
      </c>
      <c r="V6" s="14">
        <v>5400.2710642599995</v>
      </c>
      <c r="W6" s="14">
        <v>3841.3221267899999</v>
      </c>
      <c r="X6" s="14">
        <v>471974.47724047001</v>
      </c>
      <c r="Y6" s="14">
        <v>464765.75560953002</v>
      </c>
      <c r="Z6" s="15">
        <v>0</v>
      </c>
      <c r="AA6" s="14">
        <v>0</v>
      </c>
      <c r="AB6" s="49" t="s">
        <v>52</v>
      </c>
      <c r="AC6" s="15">
        <v>40</v>
      </c>
      <c r="AD6" s="15">
        <v>18938944</v>
      </c>
      <c r="AE6" s="14">
        <v>9525.6885205500002</v>
      </c>
      <c r="AF6" s="14">
        <v>3792.5288971</v>
      </c>
      <c r="AG6" s="14">
        <v>5733.1596234500003</v>
      </c>
      <c r="AH6" s="14">
        <v>494278.82600007998</v>
      </c>
      <c r="AI6" s="14">
        <v>482665.22640117002</v>
      </c>
      <c r="AJ6" s="15">
        <v>0</v>
      </c>
      <c r="AK6" s="14">
        <v>0</v>
      </c>
      <c r="AL6" s="49" t="s">
        <v>52</v>
      </c>
      <c r="AM6" s="15">
        <v>40</v>
      </c>
      <c r="AN6" s="15">
        <v>19448661</v>
      </c>
      <c r="AO6" s="14">
        <v>11378.2289679</v>
      </c>
      <c r="AP6" s="14">
        <v>3723.9018924299999</v>
      </c>
      <c r="AQ6" s="14">
        <v>7654.3270754699997</v>
      </c>
      <c r="AR6" s="14">
        <v>493229.47165585001</v>
      </c>
      <c r="AS6" s="14">
        <v>494656.51863463002</v>
      </c>
      <c r="AT6" s="15">
        <v>0</v>
      </c>
      <c r="AU6" s="14">
        <v>0</v>
      </c>
      <c r="AV6" s="49" t="s">
        <v>52</v>
      </c>
      <c r="AW6" s="15">
        <v>41</v>
      </c>
      <c r="AX6" s="15">
        <v>19838017</v>
      </c>
      <c r="AY6" s="14">
        <v>11664.64107634</v>
      </c>
      <c r="AZ6" s="14">
        <v>3985.2392961400001</v>
      </c>
      <c r="BA6" s="14">
        <v>7679.4017801999998</v>
      </c>
      <c r="BB6" s="14">
        <v>495445.67712889001</v>
      </c>
      <c r="BC6" s="14">
        <v>497155.76409940002</v>
      </c>
      <c r="BD6" s="15">
        <v>0</v>
      </c>
      <c r="BE6" s="14">
        <v>0</v>
      </c>
      <c r="BF6" s="49" t="s">
        <v>52</v>
      </c>
      <c r="BG6" s="15">
        <v>41</v>
      </c>
      <c r="BH6" s="15">
        <v>20206005</v>
      </c>
      <c r="BI6" s="14">
        <v>11354.99941807</v>
      </c>
      <c r="BJ6" s="14">
        <v>4325.73725681</v>
      </c>
      <c r="BK6" s="14">
        <v>7029.2621612599996</v>
      </c>
      <c r="BL6" s="14">
        <v>507916.03085569001</v>
      </c>
      <c r="BM6" s="14">
        <v>512367.91943334998</v>
      </c>
      <c r="BN6" s="18">
        <v>0</v>
      </c>
      <c r="BO6" s="19">
        <v>0</v>
      </c>
      <c r="BP6" s="49" t="s">
        <v>52</v>
      </c>
      <c r="BQ6" s="15">
        <v>43</v>
      </c>
      <c r="BR6" s="15">
        <v>21182395</v>
      </c>
      <c r="BS6" s="14">
        <v>12968.500833849999</v>
      </c>
      <c r="BT6" s="14">
        <v>4039.7957858599998</v>
      </c>
      <c r="BU6" s="14">
        <v>8928.7050479900008</v>
      </c>
      <c r="BV6" s="14">
        <v>533756.16522278998</v>
      </c>
      <c r="BW6" s="14">
        <v>527143.34334101004</v>
      </c>
      <c r="BX6" s="18">
        <v>0</v>
      </c>
      <c r="BY6" s="19">
        <v>0</v>
      </c>
      <c r="BZ6" s="49" t="s">
        <v>52</v>
      </c>
      <c r="CA6" s="15">
        <v>43</v>
      </c>
      <c r="CB6" s="15">
        <v>21635346</v>
      </c>
      <c r="CC6" s="14">
        <v>11822.383030679999</v>
      </c>
      <c r="CD6" s="14">
        <v>3687.3705479199998</v>
      </c>
      <c r="CE6" s="14">
        <v>8135.0124827600102</v>
      </c>
      <c r="CF6" s="14">
        <v>545189.58110011998</v>
      </c>
      <c r="CG6" s="14">
        <v>539124.73962521995</v>
      </c>
      <c r="CH6" s="18">
        <v>0</v>
      </c>
      <c r="CI6" s="14">
        <v>0</v>
      </c>
      <c r="CJ6" s="49" t="s">
        <v>52</v>
      </c>
      <c r="CK6" s="15">
        <v>44</v>
      </c>
      <c r="CL6" s="15">
        <v>22050009</v>
      </c>
      <c r="CM6" s="14">
        <v>14910.64979657</v>
      </c>
      <c r="CN6" s="14">
        <v>4891.3811242800002</v>
      </c>
      <c r="CO6" s="14">
        <v>10019.26867229</v>
      </c>
      <c r="CP6" s="112">
        <v>551962.16862502997</v>
      </c>
      <c r="CQ6" s="14">
        <v>546559.61220010999</v>
      </c>
      <c r="CR6" s="15">
        <v>0</v>
      </c>
      <c r="CS6" s="14">
        <v>0</v>
      </c>
      <c r="CT6" s="2" t="s">
        <v>52</v>
      </c>
      <c r="CU6" s="87">
        <v>44</v>
      </c>
      <c r="CV6" s="87">
        <v>22515391</v>
      </c>
      <c r="CW6" s="88">
        <v>12827.394836990001</v>
      </c>
      <c r="CX6" s="88">
        <v>5155.03481328</v>
      </c>
      <c r="CY6" s="88">
        <v>7672.36002371</v>
      </c>
      <c r="CZ6" s="111">
        <v>546946.61441014998</v>
      </c>
      <c r="DA6" s="88">
        <v>549566.70879199996</v>
      </c>
      <c r="DB6" s="87">
        <v>0</v>
      </c>
      <c r="DC6" s="88">
        <v>0</v>
      </c>
      <c r="DD6" s="2" t="s">
        <v>52</v>
      </c>
      <c r="DE6" s="171">
        <f t="shared" si="0"/>
        <v>115720.38220935999</v>
      </c>
      <c r="DF6" s="165">
        <f t="shared" si="1"/>
        <v>72234.533090250014</v>
      </c>
      <c r="DG6" s="2" t="s">
        <v>52</v>
      </c>
      <c r="DH6" s="172">
        <f t="shared" si="2"/>
        <v>-0.13971590695257458</v>
      </c>
      <c r="DI6" s="166">
        <f t="shared" si="3"/>
        <v>-0.23423951641009258</v>
      </c>
      <c r="DJ6" s="158">
        <f t="shared" si="4"/>
        <v>-9.0867717028035189E-3</v>
      </c>
      <c r="DK6" s="155">
        <v>44</v>
      </c>
      <c r="DL6" s="155">
        <v>22945488</v>
      </c>
      <c r="DM6" s="155">
        <v>11044.8398199</v>
      </c>
      <c r="DN6" s="155">
        <v>4120.1855095500096</v>
      </c>
      <c r="DO6" s="155">
        <v>6924.6543103499898</v>
      </c>
      <c r="DP6" s="155">
        <v>553187.14038143004</v>
      </c>
      <c r="DQ6" s="155">
        <v>557484.96083044005</v>
      </c>
      <c r="DR6" s="155">
        <v>0</v>
      </c>
      <c r="DS6" s="155">
        <v>0</v>
      </c>
      <c r="DT6" s="2" t="s">
        <v>52</v>
      </c>
      <c r="DU6" s="171">
        <f t="shared" si="5"/>
        <v>126765.22202925998</v>
      </c>
      <c r="DV6" s="165">
        <f t="shared" si="6"/>
        <v>79159.1874006</v>
      </c>
      <c r="DW6" s="2" t="s">
        <v>52</v>
      </c>
      <c r="DX6" s="174">
        <f t="shared" si="7"/>
        <v>-0.13896469546175474</v>
      </c>
      <c r="DY6" s="169">
        <f t="shared" si="8"/>
        <v>-9.745446134557878E-2</v>
      </c>
      <c r="DZ6" s="158">
        <f t="shared" si="9"/>
        <v>1.1409753359585386E-2</v>
      </c>
      <c r="EA6" s="2" t="s">
        <v>52</v>
      </c>
      <c r="EB6" s="155">
        <v>45</v>
      </c>
      <c r="EC6" s="155">
        <v>23379152</v>
      </c>
      <c r="ED6" s="155">
        <v>16147.687083119999</v>
      </c>
      <c r="EE6" s="155">
        <v>6093.5668305899999</v>
      </c>
      <c r="EF6" s="155">
        <v>10054.12025253</v>
      </c>
      <c r="EG6" s="155">
        <v>505265.44871323003</v>
      </c>
      <c r="EH6" s="155">
        <v>528059.76135396003</v>
      </c>
      <c r="EI6" s="155">
        <v>0</v>
      </c>
      <c r="EJ6" s="155">
        <v>0</v>
      </c>
      <c r="EK6" s="2" t="s">
        <v>52</v>
      </c>
      <c r="EL6" s="171">
        <f t="shared" si="10"/>
        <v>142912.90911237997</v>
      </c>
      <c r="EM6" s="165">
        <f t="shared" si="11"/>
        <v>89213.307653130003</v>
      </c>
      <c r="EN6" s="2" t="s">
        <v>52</v>
      </c>
      <c r="EO6" s="174">
        <f t="shared" si="12"/>
        <v>0.46201188486463718</v>
      </c>
      <c r="EP6" s="169">
        <f t="shared" si="13"/>
        <v>0.45193099928505148</v>
      </c>
      <c r="EQ6" s="158">
        <f t="shared" si="14"/>
        <v>-8.6628354439254249E-2</v>
      </c>
    </row>
    <row r="7" spans="1:147" ht="13" x14ac:dyDescent="0.5">
      <c r="A7" s="16" t="s">
        <v>35</v>
      </c>
      <c r="B7" s="16" t="s">
        <v>24</v>
      </c>
      <c r="C7" s="16" t="s">
        <v>131</v>
      </c>
      <c r="D7" s="16" t="s">
        <v>6</v>
      </c>
      <c r="E7" s="16" t="s">
        <v>7</v>
      </c>
      <c r="F7" s="177">
        <v>232662.84128647999</v>
      </c>
      <c r="G7" s="177">
        <v>243546.03992514999</v>
      </c>
      <c r="H7" s="49" t="s">
        <v>52</v>
      </c>
      <c r="I7" s="15">
        <v>24</v>
      </c>
      <c r="J7" s="15">
        <v>441187</v>
      </c>
      <c r="K7" s="14">
        <v>81737.29179915</v>
      </c>
      <c r="L7" s="14">
        <v>50230.250461019998</v>
      </c>
      <c r="M7" s="14">
        <v>31507.041338129999</v>
      </c>
      <c r="N7" s="14">
        <v>266389.92710224999</v>
      </c>
      <c r="O7" s="14">
        <v>262306.58818220999</v>
      </c>
      <c r="P7" s="15">
        <v>1</v>
      </c>
      <c r="Q7" s="14">
        <v>0</v>
      </c>
      <c r="R7" s="49" t="s">
        <v>52</v>
      </c>
      <c r="S7" s="15">
        <v>24</v>
      </c>
      <c r="T7" s="15">
        <v>445926</v>
      </c>
      <c r="U7" s="14">
        <v>63772.293000199999</v>
      </c>
      <c r="V7" s="14">
        <v>52549.2117698</v>
      </c>
      <c r="W7" s="14">
        <v>11223.081230399999</v>
      </c>
      <c r="X7" s="14">
        <v>279475.77634580003</v>
      </c>
      <c r="Y7" s="14">
        <v>273313.49433528999</v>
      </c>
      <c r="Z7" s="15">
        <v>1</v>
      </c>
      <c r="AA7" s="14">
        <v>0</v>
      </c>
      <c r="AB7" s="49" t="s">
        <v>52</v>
      </c>
      <c r="AC7" s="15">
        <v>24</v>
      </c>
      <c r="AD7" s="15">
        <v>450098</v>
      </c>
      <c r="AE7" s="14">
        <v>93866.452670409999</v>
      </c>
      <c r="AF7" s="14">
        <v>84382.160778160003</v>
      </c>
      <c r="AG7" s="14">
        <v>9484.2918922499794</v>
      </c>
      <c r="AH7" s="14">
        <v>290723.82345487998</v>
      </c>
      <c r="AI7" s="14">
        <v>278402.59246696997</v>
      </c>
      <c r="AJ7" s="15">
        <v>1</v>
      </c>
      <c r="AK7" s="14">
        <v>0</v>
      </c>
      <c r="AL7" s="49" t="s">
        <v>52</v>
      </c>
      <c r="AM7" s="15">
        <v>25</v>
      </c>
      <c r="AN7" s="15">
        <v>509995</v>
      </c>
      <c r="AO7" s="14">
        <v>115459.50943251001</v>
      </c>
      <c r="AP7" s="14">
        <v>70885.905161810006</v>
      </c>
      <c r="AQ7" s="14">
        <v>44573.604270700002</v>
      </c>
      <c r="AR7" s="14">
        <v>337161.18443344999</v>
      </c>
      <c r="AS7" s="14">
        <v>332443.33440768003</v>
      </c>
      <c r="AT7" s="15">
        <v>1</v>
      </c>
      <c r="AU7" s="14">
        <v>0</v>
      </c>
      <c r="AV7" s="49" t="s">
        <v>52</v>
      </c>
      <c r="AW7" s="15">
        <v>25</v>
      </c>
      <c r="AX7" s="15">
        <v>516255</v>
      </c>
      <c r="AY7" s="14">
        <v>63472.651433970001</v>
      </c>
      <c r="AZ7" s="14">
        <v>61262.123552639998</v>
      </c>
      <c r="BA7" s="14">
        <v>2210.5278813300001</v>
      </c>
      <c r="BB7" s="14">
        <v>340867.68771892</v>
      </c>
      <c r="BC7" s="14">
        <v>339739.89454314997</v>
      </c>
      <c r="BD7" s="15">
        <v>1</v>
      </c>
      <c r="BE7" s="14">
        <v>0</v>
      </c>
      <c r="BF7" s="49" t="s">
        <v>52</v>
      </c>
      <c r="BG7" s="15">
        <v>25</v>
      </c>
      <c r="BH7" s="15">
        <v>515392</v>
      </c>
      <c r="BI7" s="14">
        <v>99827.929615960005</v>
      </c>
      <c r="BJ7" s="14">
        <v>117727.82534611</v>
      </c>
      <c r="BK7" s="14">
        <v>-17899.895730150001</v>
      </c>
      <c r="BL7" s="14">
        <v>324657.10299331002</v>
      </c>
      <c r="BM7" s="14">
        <v>329551.50459549</v>
      </c>
      <c r="BN7" s="18">
        <v>1</v>
      </c>
      <c r="BO7" s="19">
        <v>0</v>
      </c>
      <c r="BP7" s="49" t="s">
        <v>52</v>
      </c>
      <c r="BQ7" s="15">
        <v>25</v>
      </c>
      <c r="BR7" s="15">
        <v>518211</v>
      </c>
      <c r="BS7" s="14">
        <v>84507.062054420006</v>
      </c>
      <c r="BT7" s="14">
        <v>66590.624883369994</v>
      </c>
      <c r="BU7" s="14">
        <v>17916.437171050002</v>
      </c>
      <c r="BV7" s="14">
        <v>344278.88567456999</v>
      </c>
      <c r="BW7" s="14">
        <v>335800.69028261001</v>
      </c>
      <c r="BX7" s="18">
        <v>1</v>
      </c>
      <c r="BY7" s="19">
        <v>0</v>
      </c>
      <c r="BZ7" s="49" t="s">
        <v>52</v>
      </c>
      <c r="CA7" s="15">
        <v>26</v>
      </c>
      <c r="CB7" s="15">
        <v>524263</v>
      </c>
      <c r="CC7" s="14">
        <v>58229.831203759997</v>
      </c>
      <c r="CD7" s="14">
        <v>47125.458574609998</v>
      </c>
      <c r="CE7" s="14">
        <v>11104.372629150001</v>
      </c>
      <c r="CF7" s="14">
        <v>357101.16292298998</v>
      </c>
      <c r="CG7" s="14">
        <v>349189.41093870997</v>
      </c>
      <c r="CH7" s="18">
        <v>1</v>
      </c>
      <c r="CI7" s="14">
        <v>0</v>
      </c>
      <c r="CJ7" s="49" t="s">
        <v>52</v>
      </c>
      <c r="CK7" s="15">
        <v>26</v>
      </c>
      <c r="CL7" s="15">
        <v>524338</v>
      </c>
      <c r="CM7" s="14">
        <v>82193.007648319894</v>
      </c>
      <c r="CN7" s="14">
        <v>122657.36441821</v>
      </c>
      <c r="CO7" s="103">
        <v>-40464.356769890102</v>
      </c>
      <c r="CP7" s="14">
        <v>318352.49264709</v>
      </c>
      <c r="CQ7" s="14">
        <v>343897.00213803002</v>
      </c>
      <c r="CR7" s="15">
        <v>1</v>
      </c>
      <c r="CS7" s="14">
        <v>0</v>
      </c>
      <c r="CT7" s="2" t="s">
        <v>52</v>
      </c>
      <c r="CU7" s="87">
        <v>27</v>
      </c>
      <c r="CV7" s="87">
        <v>523717</v>
      </c>
      <c r="CW7" s="88">
        <v>69043.593214120003</v>
      </c>
      <c r="CX7" s="88">
        <v>56280.121287440001</v>
      </c>
      <c r="CY7" s="104">
        <v>12763.4719266801</v>
      </c>
      <c r="CZ7" s="88">
        <v>332151.98422394</v>
      </c>
      <c r="DA7" s="88">
        <v>328273.70990131999</v>
      </c>
      <c r="DB7" s="87">
        <v>1</v>
      </c>
      <c r="DC7" s="88">
        <v>0</v>
      </c>
      <c r="DD7" s="2" t="s">
        <v>52</v>
      </c>
      <c r="DE7" s="171">
        <f t="shared" si="0"/>
        <v>812109.62207281997</v>
      </c>
      <c r="DF7" s="165">
        <f t="shared" si="1"/>
        <v>82418.575839649973</v>
      </c>
      <c r="DG7" s="2" t="s">
        <v>52</v>
      </c>
      <c r="DH7" s="172">
        <f t="shared" si="2"/>
        <v>-0.15998215432707405</v>
      </c>
      <c r="DI7" s="166">
        <f t="shared" si="3"/>
        <v>-1.3154250541844152</v>
      </c>
      <c r="DJ7" s="158">
        <f t="shared" si="4"/>
        <v>4.3346579328177114E-2</v>
      </c>
      <c r="DK7" s="155">
        <v>27</v>
      </c>
      <c r="DL7" s="155">
        <v>530343</v>
      </c>
      <c r="DM7" s="155">
        <v>72589.164173380006</v>
      </c>
      <c r="DN7" s="155">
        <v>66322.655658320102</v>
      </c>
      <c r="DO7" s="155">
        <v>6266.5085150599498</v>
      </c>
      <c r="DP7" s="155">
        <v>340401.47380524001</v>
      </c>
      <c r="DQ7" s="155">
        <v>339011.20500369999</v>
      </c>
      <c r="DR7" s="155">
        <v>1</v>
      </c>
      <c r="DS7" s="155">
        <v>0</v>
      </c>
      <c r="DT7" s="2" t="s">
        <v>52</v>
      </c>
      <c r="DU7" s="171">
        <f t="shared" si="5"/>
        <v>884698.78624619998</v>
      </c>
      <c r="DV7" s="165">
        <f t="shared" si="6"/>
        <v>88685.084354709921</v>
      </c>
      <c r="DW7" s="2" t="s">
        <v>52</v>
      </c>
      <c r="DX7" s="174">
        <f t="shared" si="7"/>
        <v>5.1352642500287829E-2</v>
      </c>
      <c r="DY7" s="169">
        <f t="shared" si="8"/>
        <v>-0.50902790784059582</v>
      </c>
      <c r="DZ7" s="158">
        <f t="shared" si="9"/>
        <v>2.4836490441490545E-2</v>
      </c>
      <c r="EA7" s="2" t="s">
        <v>52</v>
      </c>
      <c r="EB7" s="155">
        <v>27</v>
      </c>
      <c r="EC7" s="155">
        <v>529089</v>
      </c>
      <c r="ED7" s="155">
        <v>88255.238504830006</v>
      </c>
      <c r="EE7" s="155">
        <v>117462.22276292001</v>
      </c>
      <c r="EF7" s="155">
        <v>-29206.984258089899</v>
      </c>
      <c r="EG7" s="155">
        <v>312294.18929502001</v>
      </c>
      <c r="EH7" s="155">
        <v>314312.21141595999</v>
      </c>
      <c r="EI7" s="155">
        <v>1</v>
      </c>
      <c r="EJ7" s="155">
        <v>0</v>
      </c>
      <c r="EK7" s="2" t="s">
        <v>52</v>
      </c>
      <c r="EL7" s="171">
        <f t="shared" si="10"/>
        <v>972954.02475103003</v>
      </c>
      <c r="EM7" s="165">
        <f t="shared" si="11"/>
        <v>59478.100096620023</v>
      </c>
      <c r="EN7" s="2" t="s">
        <v>52</v>
      </c>
      <c r="EO7" s="174">
        <f t="shared" si="12"/>
        <v>0.21581835952858489</v>
      </c>
      <c r="EP7" s="169">
        <f t="shared" si="13"/>
        <v>-5.6608066019376473</v>
      </c>
      <c r="EQ7" s="158">
        <f t="shared" si="14"/>
        <v>-8.2570983597742939E-2</v>
      </c>
    </row>
    <row r="8" spans="1:147" ht="13" x14ac:dyDescent="0.5">
      <c r="A8" s="16" t="s">
        <v>107</v>
      </c>
      <c r="B8" s="16" t="s">
        <v>85</v>
      </c>
      <c r="C8" s="16" t="s">
        <v>131</v>
      </c>
      <c r="D8" s="16" t="s">
        <v>301</v>
      </c>
      <c r="E8" s="16" t="s">
        <v>301</v>
      </c>
      <c r="F8" s="177">
        <v>58887.991469809996</v>
      </c>
      <c r="G8" s="177">
        <v>57101.287401119997</v>
      </c>
      <c r="H8" s="49" t="s">
        <v>52</v>
      </c>
      <c r="I8" s="15">
        <v>20</v>
      </c>
      <c r="J8" s="15">
        <v>7144848</v>
      </c>
      <c r="K8" s="14">
        <v>1663.2590498</v>
      </c>
      <c r="L8" s="14">
        <v>1669.0787759</v>
      </c>
      <c r="M8" s="14">
        <v>-5.8197261000000298</v>
      </c>
      <c r="N8" s="14">
        <v>61422.194645260002</v>
      </c>
      <c r="O8" s="14">
        <v>60631.367013739997</v>
      </c>
      <c r="P8" s="15">
        <v>0</v>
      </c>
      <c r="Q8" s="14">
        <v>0</v>
      </c>
      <c r="R8" s="49" t="s">
        <v>52</v>
      </c>
      <c r="S8" s="15">
        <v>20</v>
      </c>
      <c r="T8" s="15">
        <v>7368808</v>
      </c>
      <c r="U8" s="14">
        <v>1266.1922899000001</v>
      </c>
      <c r="V8" s="14">
        <v>974.28074519999996</v>
      </c>
      <c r="W8" s="14">
        <v>291.91154469999998</v>
      </c>
      <c r="X8" s="14">
        <v>62452.935892640002</v>
      </c>
      <c r="Y8" s="14">
        <v>62124.925187289999</v>
      </c>
      <c r="Z8" s="15">
        <v>0</v>
      </c>
      <c r="AA8" s="14">
        <v>0</v>
      </c>
      <c r="AB8" s="49" t="s">
        <v>52</v>
      </c>
      <c r="AC8" s="15">
        <v>20</v>
      </c>
      <c r="AD8" s="15">
        <v>7654158</v>
      </c>
      <c r="AE8" s="14">
        <v>2368.9897559000001</v>
      </c>
      <c r="AF8" s="14">
        <v>288.14412019999997</v>
      </c>
      <c r="AG8" s="14">
        <v>2080.8456357</v>
      </c>
      <c r="AH8" s="14">
        <v>64777.225850410003</v>
      </c>
      <c r="AI8" s="14">
        <v>64833.42999959</v>
      </c>
      <c r="AJ8" s="15">
        <v>0</v>
      </c>
      <c r="AK8" s="14">
        <v>0</v>
      </c>
      <c r="AL8" s="49" t="s">
        <v>52</v>
      </c>
      <c r="AM8" s="15">
        <v>21</v>
      </c>
      <c r="AN8" s="15">
        <v>7869544</v>
      </c>
      <c r="AO8" s="14">
        <v>1444.3175497</v>
      </c>
      <c r="AP8" s="14">
        <v>188.22306420000001</v>
      </c>
      <c r="AQ8" s="14">
        <v>1256.0944855</v>
      </c>
      <c r="AR8" s="14">
        <v>67634.5185222</v>
      </c>
      <c r="AS8" s="14">
        <v>66664.073880249998</v>
      </c>
      <c r="AT8" s="15">
        <v>0</v>
      </c>
      <c r="AU8" s="14">
        <v>0</v>
      </c>
      <c r="AV8" s="49" t="s">
        <v>52</v>
      </c>
      <c r="AW8" s="15">
        <v>21</v>
      </c>
      <c r="AX8" s="15">
        <v>8033855</v>
      </c>
      <c r="AY8" s="14">
        <v>2334.2308076999998</v>
      </c>
      <c r="AZ8" s="14">
        <v>144.71787749999999</v>
      </c>
      <c r="BA8" s="14">
        <v>2189.5129302</v>
      </c>
      <c r="BB8" s="14">
        <v>72495.596704940006</v>
      </c>
      <c r="BC8" s="14">
        <v>69918.716084109998</v>
      </c>
      <c r="BD8" s="15">
        <v>0</v>
      </c>
      <c r="BE8" s="14">
        <v>0</v>
      </c>
      <c r="BF8" s="49" t="s">
        <v>52</v>
      </c>
      <c r="BG8" s="15">
        <v>22</v>
      </c>
      <c r="BH8" s="15">
        <v>8663662</v>
      </c>
      <c r="BI8" s="14">
        <v>8460.8461536600007</v>
      </c>
      <c r="BJ8" s="14">
        <v>97.715931960000006</v>
      </c>
      <c r="BK8" s="14">
        <v>8363.1302216999993</v>
      </c>
      <c r="BL8" s="14">
        <v>90135.983888369999</v>
      </c>
      <c r="BM8" s="14">
        <v>81700.390736379995</v>
      </c>
      <c r="BN8" s="18">
        <v>0</v>
      </c>
      <c r="BO8" s="19">
        <v>0</v>
      </c>
      <c r="BP8" s="49" t="s">
        <v>52</v>
      </c>
      <c r="BQ8" s="15">
        <v>22</v>
      </c>
      <c r="BR8" s="15">
        <v>9575399</v>
      </c>
      <c r="BS8" s="14">
        <v>9898.6344012000009</v>
      </c>
      <c r="BT8" s="14">
        <v>2155.4445230000001</v>
      </c>
      <c r="BU8" s="14">
        <v>7743.1898781999998</v>
      </c>
      <c r="BV8" s="14">
        <v>102119.86345665999</v>
      </c>
      <c r="BW8" s="14">
        <v>102088.98556689</v>
      </c>
      <c r="BX8" s="18">
        <v>0</v>
      </c>
      <c r="BY8" s="19">
        <v>0</v>
      </c>
      <c r="BZ8" s="49" t="s">
        <v>52</v>
      </c>
      <c r="CA8" s="15">
        <v>23</v>
      </c>
      <c r="CB8" s="15">
        <v>9784310</v>
      </c>
      <c r="CC8" s="14">
        <v>4137.6076154299999</v>
      </c>
      <c r="CD8" s="14">
        <v>395.81274115000002</v>
      </c>
      <c r="CE8" s="14">
        <v>3741.7948742799999</v>
      </c>
      <c r="CF8" s="14">
        <v>110517.75938485999</v>
      </c>
      <c r="CG8" s="14">
        <v>106020.76040516001</v>
      </c>
      <c r="CH8" s="18">
        <v>0</v>
      </c>
      <c r="CI8" s="14">
        <v>0</v>
      </c>
      <c r="CJ8" s="49" t="s">
        <v>52</v>
      </c>
      <c r="CK8" s="15">
        <v>25</v>
      </c>
      <c r="CL8" s="15">
        <v>10225561</v>
      </c>
      <c r="CM8" s="14">
        <v>11850.587811089999</v>
      </c>
      <c r="CN8" s="14">
        <v>203.84816419000001</v>
      </c>
      <c r="CO8" s="14">
        <v>11646.7396469</v>
      </c>
      <c r="CP8" s="14">
        <v>127896.38428562001</v>
      </c>
      <c r="CQ8" s="14">
        <v>120867.21752365</v>
      </c>
      <c r="CR8" s="15">
        <v>0</v>
      </c>
      <c r="CS8" s="14">
        <v>0</v>
      </c>
      <c r="CT8" s="2" t="s">
        <v>52</v>
      </c>
      <c r="CU8" s="87">
        <v>25</v>
      </c>
      <c r="CV8" s="87">
        <v>11437218</v>
      </c>
      <c r="CW8" s="88">
        <v>24351.577363740002</v>
      </c>
      <c r="CX8" s="88">
        <v>311.6168897</v>
      </c>
      <c r="CY8" s="88">
        <v>24039.960474039999</v>
      </c>
      <c r="CZ8" s="88">
        <v>184276.95609374999</v>
      </c>
      <c r="DA8" s="88">
        <v>150380.66235500999</v>
      </c>
      <c r="DB8" s="87">
        <v>0</v>
      </c>
      <c r="DC8" s="88">
        <v>0</v>
      </c>
      <c r="DD8" s="2" t="s">
        <v>52</v>
      </c>
      <c r="DE8" s="171">
        <f t="shared" si="0"/>
        <v>67776.242798120002</v>
      </c>
      <c r="DF8" s="165">
        <f t="shared" si="1"/>
        <v>61347.359965119991</v>
      </c>
      <c r="DG8" s="2" t="s">
        <v>52</v>
      </c>
      <c r="DH8" s="172">
        <f t="shared" si="2"/>
        <v>1.0548835004582089</v>
      </c>
      <c r="DI8" s="166">
        <f t="shared" si="3"/>
        <v>1.0640935749292455</v>
      </c>
      <c r="DJ8" s="158">
        <f t="shared" si="4"/>
        <v>0.44083006820755855</v>
      </c>
      <c r="DK8" s="155">
        <v>25</v>
      </c>
      <c r="DL8" s="155">
        <v>12089782</v>
      </c>
      <c r="DM8" s="155">
        <v>7755.1920079199899</v>
      </c>
      <c r="DN8" s="155">
        <v>2500.2379016499999</v>
      </c>
      <c r="DO8" s="155">
        <v>5254.95410626999</v>
      </c>
      <c r="DP8" s="155">
        <v>183325.42977655001</v>
      </c>
      <c r="DQ8" s="155">
        <v>177591.04902517001</v>
      </c>
      <c r="DR8" s="155">
        <v>0</v>
      </c>
      <c r="DS8" s="155">
        <v>0</v>
      </c>
      <c r="DT8" s="2" t="s">
        <v>52</v>
      </c>
      <c r="DU8" s="171">
        <f t="shared" si="5"/>
        <v>75531.434806039993</v>
      </c>
      <c r="DV8" s="165">
        <f t="shared" si="6"/>
        <v>66602.314071389977</v>
      </c>
      <c r="DW8" s="2" t="s">
        <v>52</v>
      </c>
      <c r="DX8" s="174">
        <f t="shared" si="7"/>
        <v>-0.6815322518093786</v>
      </c>
      <c r="DY8" s="169">
        <f t="shared" si="8"/>
        <v>-0.78140753966943288</v>
      </c>
      <c r="DZ8" s="158">
        <f t="shared" si="9"/>
        <v>-5.1635664999583495E-3</v>
      </c>
      <c r="EA8" s="2" t="s">
        <v>52</v>
      </c>
      <c r="EB8" s="155">
        <v>26</v>
      </c>
      <c r="EC8" s="155">
        <v>12397731</v>
      </c>
      <c r="ED8" s="155">
        <v>5425.6035062000001</v>
      </c>
      <c r="EE8" s="155">
        <v>3159.9234595799999</v>
      </c>
      <c r="EF8" s="155">
        <v>2265.6800466200002</v>
      </c>
      <c r="EG8" s="155">
        <v>171468.35230967999</v>
      </c>
      <c r="EH8" s="155">
        <v>178521.93050729</v>
      </c>
      <c r="EI8" s="155">
        <v>0</v>
      </c>
      <c r="EJ8" s="155">
        <v>0</v>
      </c>
      <c r="EK8" s="2" t="s">
        <v>52</v>
      </c>
      <c r="EL8" s="171">
        <f t="shared" si="10"/>
        <v>80957.038312239994</v>
      </c>
      <c r="EM8" s="165">
        <f t="shared" si="11"/>
        <v>68867.994118009985</v>
      </c>
      <c r="EN8" s="2" t="s">
        <v>52</v>
      </c>
      <c r="EO8" s="174">
        <f t="shared" si="12"/>
        <v>-0.3003908219604231</v>
      </c>
      <c r="EP8" s="169">
        <f t="shared" si="13"/>
        <v>-0.56884874714382638</v>
      </c>
      <c r="EQ8" s="158">
        <f t="shared" si="14"/>
        <v>-6.4677756279214849E-2</v>
      </c>
    </row>
    <row r="9" spans="1:147" ht="13" x14ac:dyDescent="0.5">
      <c r="A9" s="16" t="s">
        <v>106</v>
      </c>
      <c r="B9" s="16" t="s">
        <v>85</v>
      </c>
      <c r="C9" s="16" t="s">
        <v>131</v>
      </c>
      <c r="D9" s="16" t="s">
        <v>302</v>
      </c>
      <c r="E9" s="16" t="s">
        <v>302</v>
      </c>
      <c r="F9" s="177">
        <v>779630.18569931004</v>
      </c>
      <c r="G9" s="177">
        <v>753854.49690951</v>
      </c>
      <c r="H9" s="49" t="s">
        <v>52</v>
      </c>
      <c r="I9" s="15">
        <v>233</v>
      </c>
      <c r="J9" s="15">
        <v>20228722</v>
      </c>
      <c r="K9" s="14">
        <v>32840.787521339997</v>
      </c>
      <c r="L9" s="14">
        <v>13784.128729919999</v>
      </c>
      <c r="M9" s="14">
        <v>19056.658791419999</v>
      </c>
      <c r="N9" s="14">
        <v>813120.65283899999</v>
      </c>
      <c r="O9" s="14">
        <v>785026.31034009997</v>
      </c>
      <c r="P9" s="15">
        <v>0</v>
      </c>
      <c r="Q9" s="14">
        <v>0</v>
      </c>
      <c r="R9" s="49" t="s">
        <v>52</v>
      </c>
      <c r="S9" s="15">
        <v>240</v>
      </c>
      <c r="T9" s="15">
        <v>20493330</v>
      </c>
      <c r="U9" s="14">
        <v>18281.265338720001</v>
      </c>
      <c r="V9" s="14">
        <v>14194.450706129999</v>
      </c>
      <c r="W9" s="14">
        <v>4086.8146325900002</v>
      </c>
      <c r="X9" s="14">
        <v>833965.85019080003</v>
      </c>
      <c r="Y9" s="14">
        <v>826197.95298676996</v>
      </c>
      <c r="Z9" s="15">
        <v>0</v>
      </c>
      <c r="AA9" s="14">
        <v>0</v>
      </c>
      <c r="AB9" s="49" t="s">
        <v>52</v>
      </c>
      <c r="AC9" s="15">
        <v>246</v>
      </c>
      <c r="AD9" s="15">
        <v>20613868</v>
      </c>
      <c r="AE9" s="14">
        <v>16480.757743049999</v>
      </c>
      <c r="AF9" s="14">
        <v>15636.33136378</v>
      </c>
      <c r="AG9" s="14">
        <v>844.42637926999998</v>
      </c>
      <c r="AH9" s="14">
        <v>859260.58904124005</v>
      </c>
      <c r="AI9" s="14">
        <v>843878.10686522</v>
      </c>
      <c r="AJ9" s="15">
        <v>0</v>
      </c>
      <c r="AK9" s="14">
        <v>0</v>
      </c>
      <c r="AL9" s="49" t="s">
        <v>52</v>
      </c>
      <c r="AM9" s="15">
        <v>252</v>
      </c>
      <c r="AN9" s="15">
        <v>20810327</v>
      </c>
      <c r="AO9" s="14">
        <v>18136.056843599999</v>
      </c>
      <c r="AP9" s="14">
        <v>13659.144418809999</v>
      </c>
      <c r="AQ9" s="14">
        <v>4476.9124247899999</v>
      </c>
      <c r="AR9" s="14">
        <v>844401.98576881003</v>
      </c>
      <c r="AS9" s="14">
        <v>852466.94151856005</v>
      </c>
      <c r="AT9" s="15">
        <v>0</v>
      </c>
      <c r="AU9" s="14">
        <v>0</v>
      </c>
      <c r="AV9" s="49" t="s">
        <v>52</v>
      </c>
      <c r="AW9" s="15">
        <v>258</v>
      </c>
      <c r="AX9" s="15">
        <v>21252597</v>
      </c>
      <c r="AY9" s="14">
        <v>15315.89250985</v>
      </c>
      <c r="AZ9" s="14">
        <v>8071.7793646500004</v>
      </c>
      <c r="BA9" s="14">
        <v>7244.11314519999</v>
      </c>
      <c r="BB9" s="14">
        <v>842201.47235244</v>
      </c>
      <c r="BC9" s="14">
        <v>846007.59189491998</v>
      </c>
      <c r="BD9" s="15">
        <v>0</v>
      </c>
      <c r="BE9" s="14">
        <v>0</v>
      </c>
      <c r="BF9" s="49" t="s">
        <v>52</v>
      </c>
      <c r="BG9" s="15">
        <v>260</v>
      </c>
      <c r="BH9" s="15">
        <v>21740194</v>
      </c>
      <c r="BI9" s="14">
        <v>20731.1746059</v>
      </c>
      <c r="BJ9" s="14">
        <v>12580.38110474</v>
      </c>
      <c r="BK9" s="14">
        <v>8150.7935011600002</v>
      </c>
      <c r="BL9" s="14">
        <v>865687.55522619002</v>
      </c>
      <c r="BM9" s="14">
        <v>866031.76950049005</v>
      </c>
      <c r="BN9" s="18">
        <v>0</v>
      </c>
      <c r="BO9" s="19">
        <v>0</v>
      </c>
      <c r="BP9" s="49" t="s">
        <v>52</v>
      </c>
      <c r="BQ9" s="15">
        <v>268</v>
      </c>
      <c r="BR9" s="15">
        <v>22859737</v>
      </c>
      <c r="BS9" s="14">
        <v>22739.323233380001</v>
      </c>
      <c r="BT9" s="14">
        <v>16557.624600470001</v>
      </c>
      <c r="BU9" s="14">
        <v>6181.69863291002</v>
      </c>
      <c r="BV9" s="14">
        <v>908398.92463526002</v>
      </c>
      <c r="BW9" s="14">
        <v>900452.50527600001</v>
      </c>
      <c r="BX9" s="18">
        <v>0</v>
      </c>
      <c r="BY9" s="19">
        <v>0</v>
      </c>
      <c r="BZ9" s="49" t="s">
        <v>52</v>
      </c>
      <c r="CA9" s="15">
        <v>278</v>
      </c>
      <c r="CB9" s="15">
        <v>23129290</v>
      </c>
      <c r="CC9" s="14">
        <v>18339.92516174</v>
      </c>
      <c r="CD9" s="14">
        <v>8619.1833174500098</v>
      </c>
      <c r="CE9" s="14">
        <v>9720.7418442899798</v>
      </c>
      <c r="CF9" s="14">
        <v>936137.63736477005</v>
      </c>
      <c r="CG9" s="14">
        <v>919060.94359673001</v>
      </c>
      <c r="CH9" s="18">
        <v>0</v>
      </c>
      <c r="CI9" s="14">
        <v>0</v>
      </c>
      <c r="CJ9" s="49" t="s">
        <v>52</v>
      </c>
      <c r="CK9" s="15">
        <v>286</v>
      </c>
      <c r="CL9" s="15">
        <v>23969652</v>
      </c>
      <c r="CM9" s="14">
        <v>25716.546318979999</v>
      </c>
      <c r="CN9" s="14">
        <v>12517.108925820001</v>
      </c>
      <c r="CO9" s="14">
        <v>13199.43739316</v>
      </c>
      <c r="CP9" s="14">
        <v>966503.97067096003</v>
      </c>
      <c r="CQ9" s="14">
        <v>947036.17915981996</v>
      </c>
      <c r="CR9" s="15">
        <v>0</v>
      </c>
      <c r="CS9" s="14">
        <v>0</v>
      </c>
      <c r="CT9" s="2" t="s">
        <v>52</v>
      </c>
      <c r="CU9" s="87">
        <v>289</v>
      </c>
      <c r="CV9" s="87">
        <v>26057440</v>
      </c>
      <c r="CW9" s="88">
        <v>34387.69612044</v>
      </c>
      <c r="CX9" s="88">
        <v>19381.8304025</v>
      </c>
      <c r="CY9" s="88">
        <v>15005.86571794</v>
      </c>
      <c r="CZ9" s="88">
        <v>997350.40860862995</v>
      </c>
      <c r="DA9" s="88">
        <v>979921.32761106</v>
      </c>
      <c r="DB9" s="87">
        <v>0</v>
      </c>
      <c r="DC9" s="88">
        <v>0</v>
      </c>
      <c r="DD9" s="2" t="s">
        <v>52</v>
      </c>
      <c r="DE9" s="171">
        <f t="shared" si="0"/>
        <v>222969.42539700001</v>
      </c>
      <c r="DF9" s="165">
        <f t="shared" si="1"/>
        <v>87967.462462729993</v>
      </c>
      <c r="DG9" s="2" t="s">
        <v>52</v>
      </c>
      <c r="DH9" s="172">
        <f t="shared" si="2"/>
        <v>0.3371817387103917</v>
      </c>
      <c r="DI9" s="166">
        <f t="shared" si="3"/>
        <v>0.13685646372443855</v>
      </c>
      <c r="DJ9" s="158">
        <f t="shared" si="4"/>
        <v>3.1915479784584755E-2</v>
      </c>
      <c r="DK9" s="155">
        <v>296</v>
      </c>
      <c r="DL9" s="155">
        <v>27120892</v>
      </c>
      <c r="DM9" s="155">
        <v>25137.3275288</v>
      </c>
      <c r="DN9" s="155">
        <v>20650.179010560001</v>
      </c>
      <c r="DO9" s="155">
        <v>4487.1485182400202</v>
      </c>
      <c r="DP9" s="155">
        <v>976208.42512089002</v>
      </c>
      <c r="DQ9" s="155">
        <v>980273.32930154004</v>
      </c>
      <c r="DR9" s="155">
        <v>0</v>
      </c>
      <c r="DS9" s="155">
        <v>0</v>
      </c>
      <c r="DT9" s="2" t="s">
        <v>52</v>
      </c>
      <c r="DU9" s="171">
        <f t="shared" si="5"/>
        <v>248106.75292580001</v>
      </c>
      <c r="DV9" s="165">
        <f t="shared" si="6"/>
        <v>92454.610980970014</v>
      </c>
      <c r="DW9" s="2" t="s">
        <v>52</v>
      </c>
      <c r="DX9" s="174">
        <f t="shared" si="7"/>
        <v>-0.26900227800203202</v>
      </c>
      <c r="DY9" s="169">
        <f t="shared" si="8"/>
        <v>-0.70097369904653428</v>
      </c>
      <c r="DZ9" s="158">
        <f t="shared" si="9"/>
        <v>-2.1198149923289646E-2</v>
      </c>
      <c r="EA9" s="2" t="s">
        <v>52</v>
      </c>
      <c r="EB9" s="155">
        <v>302</v>
      </c>
      <c r="EC9" s="155">
        <v>27944219</v>
      </c>
      <c r="ED9" s="155">
        <v>44649.569727219998</v>
      </c>
      <c r="EE9" s="155">
        <v>24847.15501228</v>
      </c>
      <c r="EF9" s="155">
        <v>19802.414714940001</v>
      </c>
      <c r="EG9" s="155">
        <v>894644.26636461995</v>
      </c>
      <c r="EH9" s="155">
        <v>930915.20194376004</v>
      </c>
      <c r="EI9" s="155">
        <v>0</v>
      </c>
      <c r="EJ9" s="155">
        <v>0</v>
      </c>
      <c r="EK9" s="2" t="s">
        <v>52</v>
      </c>
      <c r="EL9" s="171">
        <f t="shared" si="10"/>
        <v>292756.32265302003</v>
      </c>
      <c r="EM9" s="165">
        <f t="shared" si="11"/>
        <v>112257.02569591001</v>
      </c>
      <c r="EN9" s="2" t="s">
        <v>52</v>
      </c>
      <c r="EO9" s="174">
        <f t="shared" si="12"/>
        <v>0.77622580109459505</v>
      </c>
      <c r="EP9" s="169">
        <f t="shared" si="13"/>
        <v>3.4131400229888174</v>
      </c>
      <c r="EQ9" s="158">
        <f t="shared" si="14"/>
        <v>-8.3551992235848069E-2</v>
      </c>
    </row>
    <row r="10" spans="1:147" ht="13" x14ac:dyDescent="0.5">
      <c r="A10" s="16" t="s">
        <v>34</v>
      </c>
      <c r="B10" s="16" t="s">
        <v>87</v>
      </c>
      <c r="C10" s="16" t="s">
        <v>131</v>
      </c>
      <c r="D10" s="16" t="s">
        <v>2</v>
      </c>
      <c r="E10" s="16" t="s">
        <v>2</v>
      </c>
      <c r="F10" s="177">
        <v>368992.07599232998</v>
      </c>
      <c r="G10" s="177">
        <v>356671.84378477</v>
      </c>
      <c r="H10" s="49" t="s">
        <v>52</v>
      </c>
      <c r="I10" s="15">
        <v>30</v>
      </c>
      <c r="J10" s="15">
        <v>21310959</v>
      </c>
      <c r="K10" s="14">
        <v>6748.9694071900003</v>
      </c>
      <c r="L10" s="14">
        <v>3434.9938818800001</v>
      </c>
      <c r="M10" s="14">
        <v>3313.9755253100002</v>
      </c>
      <c r="N10" s="14">
        <v>383083.71355494001</v>
      </c>
      <c r="O10" s="14">
        <v>370097.35101233999</v>
      </c>
      <c r="P10" s="15">
        <v>0</v>
      </c>
      <c r="Q10" s="14">
        <v>0</v>
      </c>
      <c r="R10" s="49" t="s">
        <v>52</v>
      </c>
      <c r="S10" s="15">
        <v>30</v>
      </c>
      <c r="T10" s="15">
        <v>21538476</v>
      </c>
      <c r="U10" s="14">
        <v>6812.2398546200002</v>
      </c>
      <c r="V10" s="14">
        <v>4003.5601479500001</v>
      </c>
      <c r="W10" s="14">
        <v>2808.6797066700001</v>
      </c>
      <c r="X10" s="14">
        <v>408092.68058066</v>
      </c>
      <c r="Y10" s="14">
        <v>395846.07139673998</v>
      </c>
      <c r="Z10" s="15">
        <v>0</v>
      </c>
      <c r="AA10" s="14">
        <v>0</v>
      </c>
      <c r="AB10" s="49" t="s">
        <v>52</v>
      </c>
      <c r="AC10" s="15">
        <v>30</v>
      </c>
      <c r="AD10" s="15">
        <v>22005565</v>
      </c>
      <c r="AE10" s="14">
        <v>7539.5286528899996</v>
      </c>
      <c r="AF10" s="14">
        <v>3785.1093197800001</v>
      </c>
      <c r="AG10" s="14">
        <v>3754.41933311</v>
      </c>
      <c r="AH10" s="14">
        <v>431699.79269590997</v>
      </c>
      <c r="AI10" s="14">
        <v>419404.14019261999</v>
      </c>
      <c r="AJ10" s="15">
        <v>0</v>
      </c>
      <c r="AK10" s="14">
        <v>0</v>
      </c>
      <c r="AL10" s="49" t="s">
        <v>52</v>
      </c>
      <c r="AM10" s="15">
        <v>30</v>
      </c>
      <c r="AN10" s="15">
        <v>22564162</v>
      </c>
      <c r="AO10" s="14">
        <v>8711.4567251699991</v>
      </c>
      <c r="AP10" s="14">
        <v>3528.96650189</v>
      </c>
      <c r="AQ10" s="14">
        <v>5182.4902232799996</v>
      </c>
      <c r="AR10" s="14">
        <v>428582.49916458002</v>
      </c>
      <c r="AS10" s="14">
        <v>431587.59212203999</v>
      </c>
      <c r="AT10" s="15">
        <v>0</v>
      </c>
      <c r="AU10" s="14">
        <v>0</v>
      </c>
      <c r="AV10" s="49" t="s">
        <v>52</v>
      </c>
      <c r="AW10" s="15">
        <v>31</v>
      </c>
      <c r="AX10" s="15">
        <v>23000768</v>
      </c>
      <c r="AY10" s="14">
        <v>8288.3146876600003</v>
      </c>
      <c r="AZ10" s="14">
        <v>2957.69018654</v>
      </c>
      <c r="BA10" s="14">
        <v>5330.6245011199999</v>
      </c>
      <c r="BB10" s="14">
        <v>426623.48378170998</v>
      </c>
      <c r="BC10" s="14">
        <v>428719.13545035</v>
      </c>
      <c r="BD10" s="15">
        <v>0</v>
      </c>
      <c r="BE10" s="14">
        <v>0</v>
      </c>
      <c r="BF10" s="49" t="s">
        <v>52</v>
      </c>
      <c r="BG10" s="15">
        <v>31</v>
      </c>
      <c r="BH10" s="15">
        <v>23343247</v>
      </c>
      <c r="BI10" s="14">
        <v>8793.4981886900005</v>
      </c>
      <c r="BJ10" s="14">
        <v>3708.1023489200002</v>
      </c>
      <c r="BK10" s="14">
        <v>5085.3958397699998</v>
      </c>
      <c r="BL10" s="14">
        <v>433540.24533280003</v>
      </c>
      <c r="BM10" s="14">
        <v>439969.23713338998</v>
      </c>
      <c r="BN10" s="18">
        <v>0</v>
      </c>
      <c r="BO10" s="19">
        <v>0</v>
      </c>
      <c r="BP10" s="49" t="s">
        <v>52</v>
      </c>
      <c r="BQ10" s="15">
        <v>31</v>
      </c>
      <c r="BR10" s="15">
        <v>23535313</v>
      </c>
      <c r="BS10" s="14">
        <v>8169.02743156</v>
      </c>
      <c r="BT10" s="14">
        <v>4361.9155889800004</v>
      </c>
      <c r="BU10" s="14">
        <v>3807.11184257999</v>
      </c>
      <c r="BV10" s="14">
        <v>454606.48502828</v>
      </c>
      <c r="BW10" s="14">
        <v>449162.62106015999</v>
      </c>
      <c r="BX10" s="18">
        <v>0</v>
      </c>
      <c r="BY10" s="19">
        <v>0</v>
      </c>
      <c r="BZ10" s="49" t="s">
        <v>52</v>
      </c>
      <c r="CA10" s="15">
        <v>31</v>
      </c>
      <c r="CB10" s="15">
        <v>23815587</v>
      </c>
      <c r="CC10" s="14">
        <v>8226.1357146800001</v>
      </c>
      <c r="CD10" s="14">
        <v>3739.2220962800002</v>
      </c>
      <c r="CE10" s="14">
        <v>4486.9136183999999</v>
      </c>
      <c r="CF10" s="14">
        <v>461830.87223760999</v>
      </c>
      <c r="CG10" s="14">
        <v>458447.93127768999</v>
      </c>
      <c r="CH10" s="18">
        <v>0</v>
      </c>
      <c r="CI10" s="14">
        <v>0</v>
      </c>
      <c r="CJ10" s="49" t="s">
        <v>52</v>
      </c>
      <c r="CK10" s="15">
        <v>31</v>
      </c>
      <c r="CL10" s="15">
        <v>23987318</v>
      </c>
      <c r="CM10" s="14">
        <v>9004.0088609499999</v>
      </c>
      <c r="CN10" s="14">
        <v>4828.2008386500002</v>
      </c>
      <c r="CO10" s="14">
        <v>4175.8080222999997</v>
      </c>
      <c r="CP10" s="112">
        <v>461271.22804333002</v>
      </c>
      <c r="CQ10" s="14">
        <v>458515.51878928998</v>
      </c>
      <c r="CR10" s="15">
        <v>0</v>
      </c>
      <c r="CS10" s="14">
        <v>0</v>
      </c>
      <c r="CT10" s="2" t="s">
        <v>52</v>
      </c>
      <c r="CU10" s="87">
        <v>31</v>
      </c>
      <c r="CV10" s="87">
        <v>24168250</v>
      </c>
      <c r="CW10" s="88">
        <v>8259.5798491900096</v>
      </c>
      <c r="CX10" s="88">
        <v>5074.1054307900004</v>
      </c>
      <c r="CY10" s="88">
        <v>3185.4744184000001</v>
      </c>
      <c r="CZ10" s="111">
        <v>449438.76302239002</v>
      </c>
      <c r="DA10" s="88">
        <v>454270.77133080998</v>
      </c>
      <c r="DB10" s="87">
        <v>0</v>
      </c>
      <c r="DC10" s="88">
        <v>0</v>
      </c>
      <c r="DD10" s="2" t="s">
        <v>52</v>
      </c>
      <c r="DE10" s="171">
        <f t="shared" si="0"/>
        <v>80552.759372600005</v>
      </c>
      <c r="DF10" s="165">
        <f t="shared" si="1"/>
        <v>41130.893030939995</v>
      </c>
      <c r="DG10" s="2" t="s">
        <v>52</v>
      </c>
      <c r="DH10" s="172">
        <f t="shared" si="2"/>
        <v>-8.2677507680889453E-2</v>
      </c>
      <c r="DI10" s="166">
        <f t="shared" si="3"/>
        <v>-0.23715975413892046</v>
      </c>
      <c r="DJ10" s="158">
        <f t="shared" si="4"/>
        <v>-2.5651860123884648E-2</v>
      </c>
      <c r="DK10" s="155">
        <v>32</v>
      </c>
      <c r="DL10" s="155">
        <v>24460976</v>
      </c>
      <c r="DM10" s="155">
        <v>7854.6080498599904</v>
      </c>
      <c r="DN10" s="155">
        <v>3851.6135847800001</v>
      </c>
      <c r="DO10" s="155">
        <v>4002.9944650799998</v>
      </c>
      <c r="DP10" s="155">
        <v>462097.66640247998</v>
      </c>
      <c r="DQ10" s="155">
        <v>462469.544697</v>
      </c>
      <c r="DR10" s="155">
        <v>0</v>
      </c>
      <c r="DS10" s="155">
        <v>0</v>
      </c>
      <c r="DT10" s="2" t="s">
        <v>52</v>
      </c>
      <c r="DU10" s="171">
        <f t="shared" si="5"/>
        <v>88407.367422459996</v>
      </c>
      <c r="DV10" s="165">
        <f t="shared" si="6"/>
        <v>45133.887496019997</v>
      </c>
      <c r="DW10" s="2" t="s">
        <v>52</v>
      </c>
      <c r="DX10" s="174">
        <f t="shared" si="7"/>
        <v>-4.9030556847238838E-2</v>
      </c>
      <c r="DY10" s="169">
        <f t="shared" si="8"/>
        <v>0.25663996607783895</v>
      </c>
      <c r="DZ10" s="158">
        <f t="shared" si="9"/>
        <v>2.8166024877251911E-2</v>
      </c>
      <c r="EA10" s="2" t="s">
        <v>52</v>
      </c>
      <c r="EB10" s="155">
        <v>33</v>
      </c>
      <c r="EC10" s="155">
        <v>24763770</v>
      </c>
      <c r="ED10" s="155">
        <v>10769.932274639999</v>
      </c>
      <c r="EE10" s="155">
        <v>4706.4035912899999</v>
      </c>
      <c r="EF10" s="155">
        <v>6063.5286833500004</v>
      </c>
      <c r="EG10" s="155">
        <v>418329.20035275002</v>
      </c>
      <c r="EH10" s="155">
        <v>437782.58699158998</v>
      </c>
      <c r="EI10" s="155">
        <v>0</v>
      </c>
      <c r="EJ10" s="155">
        <v>0</v>
      </c>
      <c r="EK10" s="2" t="s">
        <v>52</v>
      </c>
      <c r="EL10" s="171">
        <f t="shared" si="10"/>
        <v>99177.299697099996</v>
      </c>
      <c r="EM10" s="165">
        <f t="shared" si="11"/>
        <v>51197.416179369997</v>
      </c>
      <c r="EN10" s="2" t="s">
        <v>52</v>
      </c>
      <c r="EO10" s="174">
        <f t="shared" si="12"/>
        <v>0.37116100590556839</v>
      </c>
      <c r="EP10" s="169">
        <f t="shared" si="13"/>
        <v>0.51474820568577051</v>
      </c>
      <c r="EQ10" s="158">
        <f t="shared" si="14"/>
        <v>-9.4716916426944908E-2</v>
      </c>
    </row>
    <row r="11" spans="1:147" ht="13" x14ac:dyDescent="0.5">
      <c r="A11" s="16" t="s">
        <v>41</v>
      </c>
      <c r="B11" s="16" t="s">
        <v>87</v>
      </c>
      <c r="C11" s="16" t="s">
        <v>131</v>
      </c>
      <c r="D11" s="16" t="s">
        <v>2</v>
      </c>
      <c r="E11" s="16" t="s">
        <v>2</v>
      </c>
      <c r="F11" s="177">
        <v>295478.84401927999</v>
      </c>
      <c r="G11" s="177">
        <v>288473.48950492003</v>
      </c>
      <c r="H11" s="49" t="s">
        <v>52</v>
      </c>
      <c r="I11" s="15">
        <v>30</v>
      </c>
      <c r="J11" s="15">
        <v>25141474</v>
      </c>
      <c r="K11" s="14">
        <v>7017.9000491899997</v>
      </c>
      <c r="L11" s="14">
        <v>3017.9473179500001</v>
      </c>
      <c r="M11" s="14">
        <v>3999.95273124</v>
      </c>
      <c r="N11" s="14">
        <v>307168.10748578003</v>
      </c>
      <c r="O11" s="14">
        <v>302451.85784692998</v>
      </c>
      <c r="P11" s="15">
        <v>0</v>
      </c>
      <c r="Q11" s="14">
        <v>0</v>
      </c>
      <c r="R11" s="49" t="s">
        <v>52</v>
      </c>
      <c r="S11" s="15">
        <v>30</v>
      </c>
      <c r="T11" s="15">
        <v>25248991</v>
      </c>
      <c r="U11" s="14">
        <v>6754.21259852</v>
      </c>
      <c r="V11" s="14">
        <v>3540.0069503999998</v>
      </c>
      <c r="W11" s="14">
        <v>3214.2056481200002</v>
      </c>
      <c r="X11" s="14">
        <v>336005.20806956</v>
      </c>
      <c r="Y11" s="14">
        <v>321670.43205941003</v>
      </c>
      <c r="Z11" s="15">
        <v>0</v>
      </c>
      <c r="AA11" s="14">
        <v>0</v>
      </c>
      <c r="AB11" s="49" t="s">
        <v>52</v>
      </c>
      <c r="AC11" s="15">
        <v>30</v>
      </c>
      <c r="AD11" s="15">
        <v>25614974</v>
      </c>
      <c r="AE11" s="14">
        <v>7426.633143</v>
      </c>
      <c r="AF11" s="14">
        <v>3402.1355472099999</v>
      </c>
      <c r="AG11" s="14">
        <v>4024.4975957900001</v>
      </c>
      <c r="AH11" s="14">
        <v>354550.63244335999</v>
      </c>
      <c r="AI11" s="14">
        <v>344307.60395219002</v>
      </c>
      <c r="AJ11" s="15">
        <v>0</v>
      </c>
      <c r="AK11" s="14">
        <v>0</v>
      </c>
      <c r="AL11" s="49" t="s">
        <v>52</v>
      </c>
      <c r="AM11" s="15">
        <v>31</v>
      </c>
      <c r="AN11" s="15">
        <v>26255276</v>
      </c>
      <c r="AO11" s="14">
        <v>9776.2415903900001</v>
      </c>
      <c r="AP11" s="14">
        <v>3291.8128051399999</v>
      </c>
      <c r="AQ11" s="14">
        <v>6484.4287852500001</v>
      </c>
      <c r="AR11" s="14">
        <v>355901.83822482999</v>
      </c>
      <c r="AS11" s="14">
        <v>358771.29939673998</v>
      </c>
      <c r="AT11" s="15">
        <v>0</v>
      </c>
      <c r="AU11" s="14">
        <v>0</v>
      </c>
      <c r="AV11" s="49" t="s">
        <v>52</v>
      </c>
      <c r="AW11" s="15">
        <v>31</v>
      </c>
      <c r="AX11" s="15">
        <v>26635485</v>
      </c>
      <c r="AY11" s="14">
        <v>7619.2616988199998</v>
      </c>
      <c r="AZ11" s="14">
        <v>2626.3521160599998</v>
      </c>
      <c r="BA11" s="14">
        <v>4992.9095827600004</v>
      </c>
      <c r="BB11" s="14">
        <v>350555.21389901999</v>
      </c>
      <c r="BC11" s="14">
        <v>352644.66137703002</v>
      </c>
      <c r="BD11" s="15">
        <v>0</v>
      </c>
      <c r="BE11" s="14">
        <v>0</v>
      </c>
      <c r="BF11" s="49" t="s">
        <v>52</v>
      </c>
      <c r="BG11" s="15">
        <v>31</v>
      </c>
      <c r="BH11" s="15">
        <v>26894961</v>
      </c>
      <c r="BI11" s="14">
        <v>8065.5209008299998</v>
      </c>
      <c r="BJ11" s="14">
        <v>3702.60708264</v>
      </c>
      <c r="BK11" s="14">
        <v>4362.9138181899998</v>
      </c>
      <c r="BL11" s="14">
        <v>356740.74637454998</v>
      </c>
      <c r="BM11" s="14">
        <v>362741.69336218003</v>
      </c>
      <c r="BN11" s="18">
        <v>0</v>
      </c>
      <c r="BO11" s="19">
        <v>0</v>
      </c>
      <c r="BP11" s="49" t="s">
        <v>52</v>
      </c>
      <c r="BQ11" s="15">
        <v>31</v>
      </c>
      <c r="BR11" s="15">
        <v>27017320</v>
      </c>
      <c r="BS11" s="14">
        <v>7660.9878442299996</v>
      </c>
      <c r="BT11" s="14">
        <v>4184.9446508999999</v>
      </c>
      <c r="BU11" s="14">
        <v>3476.0431933300001</v>
      </c>
      <c r="BV11" s="14">
        <v>372362.30735458003</v>
      </c>
      <c r="BW11" s="14">
        <v>366798.06176138</v>
      </c>
      <c r="BX11" s="18">
        <v>0</v>
      </c>
      <c r="BY11" s="19">
        <v>0</v>
      </c>
      <c r="BZ11" s="49" t="s">
        <v>52</v>
      </c>
      <c r="CA11" s="15">
        <v>32</v>
      </c>
      <c r="CB11" s="15">
        <v>27263667</v>
      </c>
      <c r="CC11" s="14">
        <v>8106.9203662800001</v>
      </c>
      <c r="CD11" s="14">
        <v>3700.0194108000001</v>
      </c>
      <c r="CE11" s="14">
        <v>4406.9009554800004</v>
      </c>
      <c r="CF11" s="14">
        <v>369881.91529044003</v>
      </c>
      <c r="CG11" s="14">
        <v>370912.88999204</v>
      </c>
      <c r="CH11" s="18">
        <v>0</v>
      </c>
      <c r="CI11" s="14">
        <v>0</v>
      </c>
      <c r="CJ11" s="49" t="s">
        <v>52</v>
      </c>
      <c r="CK11" s="15">
        <v>33</v>
      </c>
      <c r="CL11" s="15">
        <v>27335457</v>
      </c>
      <c r="CM11" s="14">
        <v>8396.0789903299992</v>
      </c>
      <c r="CN11" s="14">
        <v>4572.2551886700003</v>
      </c>
      <c r="CO11" s="14">
        <v>3823.8238016599998</v>
      </c>
      <c r="CP11" s="112">
        <v>369003.08614198002</v>
      </c>
      <c r="CQ11" s="14">
        <v>366387.31932920997</v>
      </c>
      <c r="CR11" s="15">
        <v>0</v>
      </c>
      <c r="CS11" s="14">
        <v>0</v>
      </c>
      <c r="CT11" s="2" t="s">
        <v>52</v>
      </c>
      <c r="CU11" s="87">
        <v>34</v>
      </c>
      <c r="CV11" s="87">
        <v>27471864</v>
      </c>
      <c r="CW11" s="88">
        <v>8133.4169414600001</v>
      </c>
      <c r="CX11" s="88">
        <v>5191.3054630899996</v>
      </c>
      <c r="CY11" s="88">
        <v>2942.11147837</v>
      </c>
      <c r="CZ11" s="111">
        <v>354789.97170459002</v>
      </c>
      <c r="DA11" s="88">
        <v>359055.59063466999</v>
      </c>
      <c r="DB11" s="87">
        <v>0</v>
      </c>
      <c r="DC11" s="88">
        <v>0</v>
      </c>
      <c r="DD11" s="2" t="s">
        <v>52</v>
      </c>
      <c r="DE11" s="171">
        <f t="shared" si="0"/>
        <v>78957.174123050005</v>
      </c>
      <c r="DF11" s="165">
        <f t="shared" si="1"/>
        <v>41727.787590190004</v>
      </c>
      <c r="DG11" s="2" t="s">
        <v>52</v>
      </c>
      <c r="DH11" s="172">
        <f t="shared" si="2"/>
        <v>-3.1283894443169771E-2</v>
      </c>
      <c r="DI11" s="166">
        <f t="shared" si="3"/>
        <v>-0.23058393090895835</v>
      </c>
      <c r="DJ11" s="158">
        <f t="shared" si="4"/>
        <v>-3.8517603161511968E-2</v>
      </c>
      <c r="DK11" s="155">
        <v>34</v>
      </c>
      <c r="DL11" s="155">
        <v>27721310</v>
      </c>
      <c r="DM11" s="155">
        <v>7591.5219597799996</v>
      </c>
      <c r="DN11" s="155">
        <v>3710.4642229299998</v>
      </c>
      <c r="DO11" s="155">
        <v>3881.0577368499999</v>
      </c>
      <c r="DP11" s="155">
        <v>363536.98175698001</v>
      </c>
      <c r="DQ11" s="155">
        <v>364961.06539429998</v>
      </c>
      <c r="DR11" s="155">
        <v>0</v>
      </c>
      <c r="DS11" s="155">
        <v>0</v>
      </c>
      <c r="DT11" s="2" t="s">
        <v>52</v>
      </c>
      <c r="DU11" s="171">
        <f t="shared" si="5"/>
        <v>86548.696082830007</v>
      </c>
      <c r="DV11" s="165">
        <f t="shared" si="6"/>
        <v>45608.845327040006</v>
      </c>
      <c r="DW11" s="2" t="s">
        <v>52</v>
      </c>
      <c r="DX11" s="174">
        <f t="shared" si="7"/>
        <v>-6.6625747281895381E-2</v>
      </c>
      <c r="DY11" s="169">
        <f t="shared" si="8"/>
        <v>0.31914027234623976</v>
      </c>
      <c r="DZ11" s="158">
        <f t="shared" si="9"/>
        <v>2.4654050987870203E-2</v>
      </c>
      <c r="EA11" s="2" t="s">
        <v>52</v>
      </c>
      <c r="EB11" s="155">
        <v>36</v>
      </c>
      <c r="EC11" s="155">
        <v>27995339</v>
      </c>
      <c r="ED11" s="155">
        <v>10674.84511038</v>
      </c>
      <c r="EE11" s="155">
        <v>4411.2847701600003</v>
      </c>
      <c r="EF11" s="155">
        <v>6263.5603402199904</v>
      </c>
      <c r="EG11" s="155">
        <v>334662.33837508998</v>
      </c>
      <c r="EH11" s="155">
        <v>347116.55414935999</v>
      </c>
      <c r="EI11" s="155">
        <v>0</v>
      </c>
      <c r="EJ11" s="155">
        <v>0</v>
      </c>
      <c r="EK11" s="2" t="s">
        <v>52</v>
      </c>
      <c r="EL11" s="171">
        <f t="shared" si="10"/>
        <v>97223.541193210011</v>
      </c>
      <c r="EM11" s="165">
        <f t="shared" si="11"/>
        <v>51872.405667259998</v>
      </c>
      <c r="EN11" s="2" t="s">
        <v>52</v>
      </c>
      <c r="EO11" s="174">
        <f t="shared" si="12"/>
        <v>0.40615349161017961</v>
      </c>
      <c r="EP11" s="169">
        <f t="shared" si="13"/>
        <v>0.61387971138602837</v>
      </c>
      <c r="EQ11" s="158">
        <f t="shared" si="14"/>
        <v>-7.9426976706299363E-2</v>
      </c>
    </row>
    <row r="12" spans="1:147" ht="13" x14ac:dyDescent="0.5">
      <c r="A12" s="16" t="s">
        <v>108</v>
      </c>
      <c r="B12" s="16" t="s">
        <v>85</v>
      </c>
      <c r="C12" s="16" t="s">
        <v>131</v>
      </c>
      <c r="D12" s="16" t="s">
        <v>108</v>
      </c>
      <c r="E12" s="16" t="s">
        <v>108</v>
      </c>
      <c r="F12" s="177">
        <v>283397.12510876002</v>
      </c>
      <c r="G12" s="177">
        <v>276621.48471292999</v>
      </c>
      <c r="H12" s="49" t="s">
        <v>52</v>
      </c>
      <c r="I12" s="15">
        <v>309</v>
      </c>
      <c r="J12" s="15">
        <v>13142219</v>
      </c>
      <c r="K12" s="14">
        <v>8880.9252184600009</v>
      </c>
      <c r="L12" s="14">
        <v>7325.4866885299998</v>
      </c>
      <c r="M12" s="14">
        <v>1555.43852993</v>
      </c>
      <c r="N12" s="14">
        <v>292205.90642051998</v>
      </c>
      <c r="O12" s="14">
        <v>286063.23617967003</v>
      </c>
      <c r="P12" s="15">
        <v>0</v>
      </c>
      <c r="Q12" s="14">
        <v>0</v>
      </c>
      <c r="R12" s="49" t="s">
        <v>52</v>
      </c>
      <c r="S12" s="15">
        <v>316</v>
      </c>
      <c r="T12" s="15">
        <v>13234811</v>
      </c>
      <c r="U12" s="14">
        <v>8578.58019169</v>
      </c>
      <c r="V12" s="14">
        <v>7474.1600143300002</v>
      </c>
      <c r="W12" s="14">
        <v>1104.42017736</v>
      </c>
      <c r="X12" s="14">
        <v>300811.48274812999</v>
      </c>
      <c r="Y12" s="14">
        <v>296889.6268577</v>
      </c>
      <c r="Z12" s="15">
        <v>0</v>
      </c>
      <c r="AA12" s="14">
        <v>0</v>
      </c>
      <c r="AB12" s="49" t="s">
        <v>52</v>
      </c>
      <c r="AC12" s="15">
        <v>324</v>
      </c>
      <c r="AD12" s="15">
        <v>13498534</v>
      </c>
      <c r="AE12" s="14">
        <v>8041.9698718</v>
      </c>
      <c r="AF12" s="14">
        <v>6998.88330847</v>
      </c>
      <c r="AG12" s="14">
        <v>1043.08656333</v>
      </c>
      <c r="AH12" s="14">
        <v>308996.38662273</v>
      </c>
      <c r="AI12" s="14">
        <v>304566.89408758999</v>
      </c>
      <c r="AJ12" s="15">
        <v>0</v>
      </c>
      <c r="AK12" s="14">
        <v>0</v>
      </c>
      <c r="AL12" s="49" t="s">
        <v>52</v>
      </c>
      <c r="AM12" s="15">
        <v>330</v>
      </c>
      <c r="AN12" s="15">
        <v>13698815</v>
      </c>
      <c r="AO12" s="14">
        <v>9229.2479502000006</v>
      </c>
      <c r="AP12" s="14">
        <v>6899.3747379400002</v>
      </c>
      <c r="AQ12" s="14">
        <v>2329.8732122599999</v>
      </c>
      <c r="AR12" s="14">
        <v>305829.45866727998</v>
      </c>
      <c r="AS12" s="14">
        <v>308319.11238420999</v>
      </c>
      <c r="AT12" s="15">
        <v>0</v>
      </c>
      <c r="AU12" s="14">
        <v>0</v>
      </c>
      <c r="AV12" s="49" t="s">
        <v>52</v>
      </c>
      <c r="AW12" s="15">
        <v>341</v>
      </c>
      <c r="AX12" s="15">
        <v>13953213</v>
      </c>
      <c r="AY12" s="14">
        <v>7684.6188349800004</v>
      </c>
      <c r="AZ12" s="14">
        <v>6182.0488924299998</v>
      </c>
      <c r="BA12" s="14">
        <v>1502.56994255</v>
      </c>
      <c r="BB12" s="14">
        <v>304234.99076245999</v>
      </c>
      <c r="BC12" s="14">
        <v>305471.68981966999</v>
      </c>
      <c r="BD12" s="15">
        <v>0</v>
      </c>
      <c r="BE12" s="14">
        <v>0</v>
      </c>
      <c r="BF12" s="49" t="s">
        <v>52</v>
      </c>
      <c r="BG12" s="15">
        <v>344</v>
      </c>
      <c r="BH12" s="15">
        <v>14089501</v>
      </c>
      <c r="BI12" s="14">
        <v>9066.0965336000008</v>
      </c>
      <c r="BJ12" s="14">
        <v>7485.4446908</v>
      </c>
      <c r="BK12" s="14">
        <v>1580.6518427999999</v>
      </c>
      <c r="BL12" s="14">
        <v>308893.41279822</v>
      </c>
      <c r="BM12" s="14">
        <v>310802.27239177999</v>
      </c>
      <c r="BN12" s="18">
        <v>0</v>
      </c>
      <c r="BO12" s="19">
        <v>0</v>
      </c>
      <c r="BP12" s="49" t="s">
        <v>52</v>
      </c>
      <c r="BQ12" s="15">
        <v>345</v>
      </c>
      <c r="BR12" s="15">
        <v>14179440</v>
      </c>
      <c r="BS12" s="14">
        <v>9475.0901947700004</v>
      </c>
      <c r="BT12" s="14">
        <v>7545.6673566999998</v>
      </c>
      <c r="BU12" s="14">
        <v>1929.4228380700099</v>
      </c>
      <c r="BV12" s="14">
        <v>320075.91746133001</v>
      </c>
      <c r="BW12" s="14">
        <v>316924.74489378999</v>
      </c>
      <c r="BX12" s="18">
        <v>0</v>
      </c>
      <c r="BY12" s="19">
        <v>0</v>
      </c>
      <c r="BZ12" s="49" t="s">
        <v>52</v>
      </c>
      <c r="CA12" s="15">
        <v>348</v>
      </c>
      <c r="CB12" s="15">
        <v>14338654</v>
      </c>
      <c r="CC12" s="14">
        <v>8701.8451667699901</v>
      </c>
      <c r="CD12" s="14">
        <v>6975.0396427900096</v>
      </c>
      <c r="CE12" s="14">
        <v>1726.8055239799901</v>
      </c>
      <c r="CF12" s="14">
        <v>324848.00347473001</v>
      </c>
      <c r="CG12" s="14">
        <v>322516.83930913999</v>
      </c>
      <c r="CH12" s="18">
        <v>0</v>
      </c>
      <c r="CI12" s="14">
        <v>0</v>
      </c>
      <c r="CJ12" s="49" t="s">
        <v>52</v>
      </c>
      <c r="CK12" s="15">
        <v>352</v>
      </c>
      <c r="CL12" s="15">
        <v>14401091</v>
      </c>
      <c r="CM12" s="14">
        <v>10596.36559904</v>
      </c>
      <c r="CN12" s="14">
        <v>8865.8687088200004</v>
      </c>
      <c r="CO12" s="14">
        <v>1730.4968902200001</v>
      </c>
      <c r="CP12" s="112">
        <v>325821.39601515001</v>
      </c>
      <c r="CQ12" s="14">
        <v>323759.43324818998</v>
      </c>
      <c r="CR12" s="15">
        <v>0</v>
      </c>
      <c r="CS12" s="14">
        <v>0</v>
      </c>
      <c r="CT12" s="2" t="s">
        <v>52</v>
      </c>
      <c r="CU12" s="87">
        <v>354</v>
      </c>
      <c r="CV12" s="87">
        <v>14524940</v>
      </c>
      <c r="CW12" s="88">
        <v>8526.2222152900104</v>
      </c>
      <c r="CX12" s="88">
        <v>8498.9253950500006</v>
      </c>
      <c r="CY12" s="88">
        <v>27.2968202400079</v>
      </c>
      <c r="CZ12" s="111">
        <v>320493.86345549999</v>
      </c>
      <c r="DA12" s="88">
        <v>322963.64312820003</v>
      </c>
      <c r="DB12" s="87">
        <v>0</v>
      </c>
      <c r="DC12" s="88">
        <v>0</v>
      </c>
      <c r="DD12" s="2" t="s">
        <v>52</v>
      </c>
      <c r="DE12" s="171">
        <f t="shared" si="0"/>
        <v>88780.961776599986</v>
      </c>
      <c r="DF12" s="165">
        <f t="shared" si="1"/>
        <v>14530.062340740009</v>
      </c>
      <c r="DG12" s="2" t="s">
        <v>52</v>
      </c>
      <c r="DH12" s="172">
        <f t="shared" si="2"/>
        <v>-0.1953635295423875</v>
      </c>
      <c r="DI12" s="166">
        <f t="shared" si="3"/>
        <v>-0.98422602178930374</v>
      </c>
      <c r="DJ12" s="158">
        <f t="shared" si="4"/>
        <v>-1.6351082601715635E-2</v>
      </c>
      <c r="DK12" s="155">
        <v>356</v>
      </c>
      <c r="DL12" s="155">
        <v>14780965</v>
      </c>
      <c r="DM12" s="155">
        <v>10331.99240117</v>
      </c>
      <c r="DN12" s="155">
        <v>7098.5568012699996</v>
      </c>
      <c r="DO12" s="155">
        <v>3233.4355999000099</v>
      </c>
      <c r="DP12" s="155">
        <v>324567.30240033998</v>
      </c>
      <c r="DQ12" s="155">
        <v>325079.04855400999</v>
      </c>
      <c r="DR12" s="155">
        <v>0</v>
      </c>
      <c r="DS12" s="155">
        <v>0</v>
      </c>
      <c r="DT12" s="2" t="s">
        <v>52</v>
      </c>
      <c r="DU12" s="171">
        <f t="shared" si="5"/>
        <v>99112.954177769992</v>
      </c>
      <c r="DV12" s="165">
        <f t="shared" si="6"/>
        <v>17763.49794064002</v>
      </c>
      <c r="DW12" s="2" t="s">
        <v>52</v>
      </c>
      <c r="DX12" s="174">
        <f t="shared" si="7"/>
        <v>0.21179018565123905</v>
      </c>
      <c r="DY12" s="169">
        <f t="shared" si="8"/>
        <v>117.4546614393162</v>
      </c>
      <c r="DZ12" s="158">
        <f t="shared" si="9"/>
        <v>1.2709881246776442E-2</v>
      </c>
      <c r="EA12" s="2" t="s">
        <v>52</v>
      </c>
      <c r="EB12" s="155">
        <v>360</v>
      </c>
      <c r="EC12" s="155">
        <v>15030991</v>
      </c>
      <c r="ED12" s="155">
        <v>18615.34607177</v>
      </c>
      <c r="EE12" s="155">
        <v>10446.58775511</v>
      </c>
      <c r="EF12" s="155">
        <v>8168.7583166599898</v>
      </c>
      <c r="EG12" s="155">
        <v>307315.46174199</v>
      </c>
      <c r="EH12" s="155">
        <v>315059.68039440003</v>
      </c>
      <c r="EI12" s="155">
        <v>0</v>
      </c>
      <c r="EJ12" s="155">
        <v>0</v>
      </c>
      <c r="EK12" s="2" t="s">
        <v>52</v>
      </c>
      <c r="EL12" s="171">
        <f t="shared" si="10"/>
        <v>117728.30024953999</v>
      </c>
      <c r="EM12" s="165">
        <f t="shared" si="11"/>
        <v>25932.25625730001</v>
      </c>
      <c r="EN12" s="2" t="s">
        <v>52</v>
      </c>
      <c r="EO12" s="174">
        <f t="shared" si="12"/>
        <v>0.80171890851003602</v>
      </c>
      <c r="EP12" s="169">
        <f t="shared" si="13"/>
        <v>1.5263401927388314</v>
      </c>
      <c r="EQ12" s="158">
        <f t="shared" si="14"/>
        <v>-5.3153353806017593E-2</v>
      </c>
    </row>
    <row r="13" spans="1:147" ht="13" x14ac:dyDescent="0.5">
      <c r="A13" s="16" t="s">
        <v>26</v>
      </c>
      <c r="B13" s="16" t="s">
        <v>87</v>
      </c>
      <c r="C13" s="16" t="s">
        <v>131</v>
      </c>
      <c r="D13" s="16" t="s">
        <v>2</v>
      </c>
      <c r="E13" s="16" t="s">
        <v>2</v>
      </c>
      <c r="F13" s="177">
        <v>263206.56330922002</v>
      </c>
      <c r="G13" s="177">
        <v>254637.14921192001</v>
      </c>
      <c r="H13" s="49" t="s">
        <v>52</v>
      </c>
      <c r="I13" s="15">
        <v>31</v>
      </c>
      <c r="J13" s="15">
        <v>11957644</v>
      </c>
      <c r="K13" s="14">
        <v>5485.4327591600004</v>
      </c>
      <c r="L13" s="14">
        <v>2933.3765659999999</v>
      </c>
      <c r="M13" s="14">
        <v>2552.05619316</v>
      </c>
      <c r="N13" s="14">
        <v>273258.42166549002</v>
      </c>
      <c r="O13" s="14">
        <v>265202.48406459001</v>
      </c>
      <c r="P13" s="15">
        <v>0</v>
      </c>
      <c r="Q13" s="14">
        <v>0</v>
      </c>
      <c r="R13" s="49" t="s">
        <v>52</v>
      </c>
      <c r="S13" s="15">
        <v>31</v>
      </c>
      <c r="T13" s="15">
        <v>12069826</v>
      </c>
      <c r="U13" s="14">
        <v>5352.7174770399997</v>
      </c>
      <c r="V13" s="14">
        <v>2662.0301056500002</v>
      </c>
      <c r="W13" s="14">
        <v>2690.68737139</v>
      </c>
      <c r="X13" s="14">
        <v>287392.49950507999</v>
      </c>
      <c r="Y13" s="14">
        <v>280686.22047331999</v>
      </c>
      <c r="Z13" s="15">
        <v>0</v>
      </c>
      <c r="AA13" s="14">
        <v>0</v>
      </c>
      <c r="AB13" s="49" t="s">
        <v>52</v>
      </c>
      <c r="AC13" s="15">
        <v>32</v>
      </c>
      <c r="AD13" s="15">
        <v>12262237</v>
      </c>
      <c r="AE13" s="14">
        <v>5847.93548336</v>
      </c>
      <c r="AF13" s="14">
        <v>2351.0241513000001</v>
      </c>
      <c r="AG13" s="14">
        <v>3496.9113320599999</v>
      </c>
      <c r="AH13" s="14">
        <v>302139.03351576999</v>
      </c>
      <c r="AI13" s="14">
        <v>294474.57736616</v>
      </c>
      <c r="AJ13" s="15">
        <v>0</v>
      </c>
      <c r="AK13" s="14">
        <v>0</v>
      </c>
      <c r="AL13" s="49" t="s">
        <v>52</v>
      </c>
      <c r="AM13" s="15">
        <v>33</v>
      </c>
      <c r="AN13" s="15">
        <v>12511660</v>
      </c>
      <c r="AO13" s="14">
        <v>7399.65698574</v>
      </c>
      <c r="AP13" s="14">
        <v>2364.9434188499999</v>
      </c>
      <c r="AQ13" s="14">
        <v>5034.71356689</v>
      </c>
      <c r="AR13" s="14">
        <v>300972.11446238001</v>
      </c>
      <c r="AS13" s="14">
        <v>302807.7796291</v>
      </c>
      <c r="AT13" s="15">
        <v>0</v>
      </c>
      <c r="AU13" s="14">
        <v>0</v>
      </c>
      <c r="AV13" s="49" t="s">
        <v>52</v>
      </c>
      <c r="AW13" s="15">
        <v>33</v>
      </c>
      <c r="AX13" s="15">
        <v>12691674</v>
      </c>
      <c r="AY13" s="14">
        <v>5501.95244344</v>
      </c>
      <c r="AZ13" s="14">
        <v>2176.2950186899998</v>
      </c>
      <c r="BA13" s="14">
        <v>3325.6574247499998</v>
      </c>
      <c r="BB13" s="14">
        <v>299335.04848410998</v>
      </c>
      <c r="BC13" s="14">
        <v>301161.32598046999</v>
      </c>
      <c r="BD13" s="15">
        <v>0</v>
      </c>
      <c r="BE13" s="14">
        <v>0</v>
      </c>
      <c r="BF13" s="49" t="s">
        <v>52</v>
      </c>
      <c r="BG13" s="15">
        <v>33</v>
      </c>
      <c r="BH13" s="15">
        <v>12853471</v>
      </c>
      <c r="BI13" s="14">
        <v>6769.3997198300003</v>
      </c>
      <c r="BJ13" s="14">
        <v>2964.2346178100001</v>
      </c>
      <c r="BK13" s="14">
        <v>3805.1651020200002</v>
      </c>
      <c r="BL13" s="14">
        <v>306903.34852112998</v>
      </c>
      <c r="BM13" s="14">
        <v>309862.40085752</v>
      </c>
      <c r="BN13" s="18">
        <v>0</v>
      </c>
      <c r="BO13" s="19">
        <v>0</v>
      </c>
      <c r="BP13" s="49" t="s">
        <v>52</v>
      </c>
      <c r="BQ13" s="15">
        <v>33</v>
      </c>
      <c r="BR13" s="15">
        <v>12989734</v>
      </c>
      <c r="BS13" s="14">
        <v>6037.2191524099999</v>
      </c>
      <c r="BT13" s="14">
        <v>2860.1506349699998</v>
      </c>
      <c r="BU13" s="14">
        <v>3177.0685174400001</v>
      </c>
      <c r="BV13" s="14">
        <v>322158.20918876003</v>
      </c>
      <c r="BW13" s="14">
        <v>317917.72289514</v>
      </c>
      <c r="BX13" s="18">
        <v>0</v>
      </c>
      <c r="BY13" s="19">
        <v>0</v>
      </c>
      <c r="BZ13" s="49" t="s">
        <v>52</v>
      </c>
      <c r="CA13" s="15">
        <v>33</v>
      </c>
      <c r="CB13" s="15">
        <v>13165462</v>
      </c>
      <c r="CC13" s="14">
        <v>6979.0164458099998</v>
      </c>
      <c r="CD13" s="14">
        <v>2475.7016182000002</v>
      </c>
      <c r="CE13" s="14">
        <v>4503.3148276100001</v>
      </c>
      <c r="CF13" s="14">
        <v>329325.16180146002</v>
      </c>
      <c r="CG13" s="14">
        <v>325878.91120436997</v>
      </c>
      <c r="CH13" s="18">
        <v>0</v>
      </c>
      <c r="CI13" s="14">
        <v>0</v>
      </c>
      <c r="CJ13" s="49" t="s">
        <v>52</v>
      </c>
      <c r="CK13" s="15">
        <v>33</v>
      </c>
      <c r="CL13" s="15">
        <v>13297987</v>
      </c>
      <c r="CM13" s="14">
        <v>7079.1563496799999</v>
      </c>
      <c r="CN13" s="14">
        <v>2985.65040163</v>
      </c>
      <c r="CO13" s="14">
        <v>4093.5059480499999</v>
      </c>
      <c r="CP13" s="112">
        <v>331287.38093935</v>
      </c>
      <c r="CQ13" s="14">
        <v>328384.33916913002</v>
      </c>
      <c r="CR13" s="15">
        <v>0</v>
      </c>
      <c r="CS13" s="14">
        <v>0</v>
      </c>
      <c r="CT13" s="2" t="s">
        <v>52</v>
      </c>
      <c r="CU13" s="87">
        <v>33</v>
      </c>
      <c r="CV13" s="87">
        <v>13434952</v>
      </c>
      <c r="CW13" s="88">
        <v>6423.9104507100001</v>
      </c>
      <c r="CX13" s="88">
        <v>3242.0195594800002</v>
      </c>
      <c r="CY13" s="88">
        <v>3181.8908912299999</v>
      </c>
      <c r="CZ13" s="111">
        <v>324621.32522157999</v>
      </c>
      <c r="DA13" s="88">
        <v>327288.01528754999</v>
      </c>
      <c r="DB13" s="87">
        <v>0</v>
      </c>
      <c r="DC13" s="88">
        <v>0</v>
      </c>
      <c r="DD13" s="2" t="s">
        <v>52</v>
      </c>
      <c r="DE13" s="171">
        <f t="shared" si="0"/>
        <v>62876.397267179993</v>
      </c>
      <c r="DF13" s="165">
        <f t="shared" si="1"/>
        <v>35860.971174599996</v>
      </c>
      <c r="DG13" s="2" t="s">
        <v>52</v>
      </c>
      <c r="DH13" s="172">
        <f t="shared" si="2"/>
        <v>-9.2559885190220306E-2</v>
      </c>
      <c r="DI13" s="166">
        <f t="shared" si="3"/>
        <v>-0.22269787033148467</v>
      </c>
      <c r="DJ13" s="158">
        <f t="shared" si="4"/>
        <v>-2.0121671096764139E-2</v>
      </c>
      <c r="DK13" s="155">
        <v>33</v>
      </c>
      <c r="DL13" s="155">
        <v>13582421</v>
      </c>
      <c r="DM13" s="155">
        <v>5841.7482486400004</v>
      </c>
      <c r="DN13" s="155">
        <v>2704.0179442899998</v>
      </c>
      <c r="DO13" s="155">
        <v>3137.7303043500001</v>
      </c>
      <c r="DP13" s="155">
        <v>331893.10145040002</v>
      </c>
      <c r="DQ13" s="155">
        <v>332993.58591292001</v>
      </c>
      <c r="DR13" s="155">
        <v>0</v>
      </c>
      <c r="DS13" s="155">
        <v>0</v>
      </c>
      <c r="DT13" s="2" t="s">
        <v>52</v>
      </c>
      <c r="DU13" s="171">
        <f t="shared" si="5"/>
        <v>68718.145515819997</v>
      </c>
      <c r="DV13" s="165">
        <f t="shared" si="6"/>
        <v>38998.701478949995</v>
      </c>
      <c r="DW13" s="2" t="s">
        <v>52</v>
      </c>
      <c r="DX13" s="174">
        <f t="shared" si="7"/>
        <v>-9.0624271078631941E-2</v>
      </c>
      <c r="DY13" s="169">
        <f t="shared" si="8"/>
        <v>-1.3878724440777077E-2</v>
      </c>
      <c r="DZ13" s="158">
        <f t="shared" si="9"/>
        <v>2.2400796447542268E-2</v>
      </c>
      <c r="EA13" s="2" t="s">
        <v>52</v>
      </c>
      <c r="EB13" s="155">
        <v>33</v>
      </c>
      <c r="EC13" s="155">
        <v>13722688</v>
      </c>
      <c r="ED13" s="155">
        <v>9007.3706756499996</v>
      </c>
      <c r="EE13" s="155">
        <v>3700.1234632599999</v>
      </c>
      <c r="EF13" s="155">
        <v>5307.2472123900097</v>
      </c>
      <c r="EG13" s="155">
        <v>299467.97959266999</v>
      </c>
      <c r="EH13" s="155">
        <v>314204.09063226997</v>
      </c>
      <c r="EI13" s="155">
        <v>0</v>
      </c>
      <c r="EJ13" s="155">
        <v>0</v>
      </c>
      <c r="EK13" s="2" t="s">
        <v>52</v>
      </c>
      <c r="EL13" s="171">
        <f t="shared" si="10"/>
        <v>77725.51619147</v>
      </c>
      <c r="EM13" s="165">
        <f t="shared" si="11"/>
        <v>44305.948691340003</v>
      </c>
      <c r="EN13" s="2" t="s">
        <v>52</v>
      </c>
      <c r="EO13" s="174">
        <f t="shared" si="12"/>
        <v>0.54189641392830956</v>
      </c>
      <c r="EP13" s="169">
        <f t="shared" si="13"/>
        <v>0.69142873912149005</v>
      </c>
      <c r="EQ13" s="158">
        <f t="shared" si="14"/>
        <v>-9.7697486678781795E-2</v>
      </c>
    </row>
    <row r="14" spans="1:147" ht="13" x14ac:dyDescent="0.5">
      <c r="A14" s="16" t="s">
        <v>39</v>
      </c>
      <c r="B14" s="16" t="s">
        <v>87</v>
      </c>
      <c r="C14" s="16" t="s">
        <v>131</v>
      </c>
      <c r="D14" s="16" t="s">
        <v>2</v>
      </c>
      <c r="E14" s="16" t="s">
        <v>2</v>
      </c>
      <c r="F14" s="177">
        <v>455088.24022217997</v>
      </c>
      <c r="G14" s="177">
        <v>443499.83888355002</v>
      </c>
      <c r="H14" s="49" t="s">
        <v>52</v>
      </c>
      <c r="I14" s="15">
        <v>213</v>
      </c>
      <c r="J14" s="15">
        <v>30895904</v>
      </c>
      <c r="K14" s="14">
        <v>10060.0673804</v>
      </c>
      <c r="L14" s="14">
        <v>8059.1215501099996</v>
      </c>
      <c r="M14" s="14">
        <v>2000.94583029</v>
      </c>
      <c r="N14" s="14">
        <v>470339.04291386</v>
      </c>
      <c r="O14" s="14">
        <v>457166.11956761999</v>
      </c>
      <c r="P14" s="15">
        <v>0</v>
      </c>
      <c r="Q14" s="14">
        <v>0</v>
      </c>
      <c r="R14" s="49" t="s">
        <v>52</v>
      </c>
      <c r="S14" s="15">
        <v>215</v>
      </c>
      <c r="T14" s="15">
        <v>30982541</v>
      </c>
      <c r="U14" s="14">
        <v>10621.09657847</v>
      </c>
      <c r="V14" s="14">
        <v>8568.6121825999999</v>
      </c>
      <c r="W14" s="14">
        <v>2052.4843958699998</v>
      </c>
      <c r="X14" s="14">
        <v>492403.80702026002</v>
      </c>
      <c r="Y14" s="14">
        <v>481284.63695180998</v>
      </c>
      <c r="Z14" s="15">
        <v>0</v>
      </c>
      <c r="AA14" s="14">
        <v>0</v>
      </c>
      <c r="AB14" s="49" t="s">
        <v>52</v>
      </c>
      <c r="AC14" s="15">
        <v>217</v>
      </c>
      <c r="AD14" s="15">
        <v>31140356</v>
      </c>
      <c r="AE14" s="14">
        <v>9633.7915697400003</v>
      </c>
      <c r="AF14" s="14">
        <v>9158.1857159499996</v>
      </c>
      <c r="AG14" s="14">
        <v>475.605853789999</v>
      </c>
      <c r="AH14" s="14">
        <v>509344.82643616002</v>
      </c>
      <c r="AI14" s="14">
        <v>499575.10148151999</v>
      </c>
      <c r="AJ14" s="15">
        <v>0</v>
      </c>
      <c r="AK14" s="14">
        <v>0</v>
      </c>
      <c r="AL14" s="49" t="s">
        <v>52</v>
      </c>
      <c r="AM14" s="15">
        <v>224</v>
      </c>
      <c r="AN14" s="15">
        <v>31771659</v>
      </c>
      <c r="AO14" s="14">
        <v>18092.629433769998</v>
      </c>
      <c r="AP14" s="14">
        <v>8666.6032059099998</v>
      </c>
      <c r="AQ14" s="14">
        <v>9426.0262278600003</v>
      </c>
      <c r="AR14" s="14">
        <v>509519.20849021</v>
      </c>
      <c r="AS14" s="14">
        <v>509953.74211766</v>
      </c>
      <c r="AT14" s="15">
        <v>0</v>
      </c>
      <c r="AU14" s="14">
        <v>0</v>
      </c>
      <c r="AV14" s="49" t="s">
        <v>52</v>
      </c>
      <c r="AW14" s="15">
        <v>226</v>
      </c>
      <c r="AX14" s="15">
        <v>31939915</v>
      </c>
      <c r="AY14" s="14">
        <v>10929.155241779999</v>
      </c>
      <c r="AZ14" s="14">
        <v>7035.9918498400002</v>
      </c>
      <c r="BA14" s="14">
        <v>3893.1633919400001</v>
      </c>
      <c r="BB14" s="14">
        <v>506571.70174574002</v>
      </c>
      <c r="BC14" s="14">
        <v>508546.18455134</v>
      </c>
      <c r="BD14" s="15">
        <v>0</v>
      </c>
      <c r="BE14" s="14">
        <v>0</v>
      </c>
      <c r="BF14" s="49" t="s">
        <v>52</v>
      </c>
      <c r="BG14" s="15">
        <v>227</v>
      </c>
      <c r="BH14" s="15">
        <v>31889078</v>
      </c>
      <c r="BI14" s="14">
        <v>11167.475479909999</v>
      </c>
      <c r="BJ14" s="14">
        <v>9946.5845271500002</v>
      </c>
      <c r="BK14" s="14">
        <v>1220.8909527599999</v>
      </c>
      <c r="BL14" s="14">
        <v>513469.43603570003</v>
      </c>
      <c r="BM14" s="14">
        <v>520090.14626114001</v>
      </c>
      <c r="BN14" s="18">
        <v>0</v>
      </c>
      <c r="BO14" s="19">
        <v>0</v>
      </c>
      <c r="BP14" s="49" t="s">
        <v>52</v>
      </c>
      <c r="BQ14" s="15">
        <v>231</v>
      </c>
      <c r="BR14" s="15">
        <v>31811396</v>
      </c>
      <c r="BS14" s="14">
        <v>11776.9534215</v>
      </c>
      <c r="BT14" s="14">
        <v>10410.791826000001</v>
      </c>
      <c r="BU14" s="14">
        <v>1366.1615955</v>
      </c>
      <c r="BV14" s="14">
        <v>533830.68176430999</v>
      </c>
      <c r="BW14" s="14">
        <v>527588.94075028005</v>
      </c>
      <c r="BX14" s="18">
        <v>0</v>
      </c>
      <c r="BY14" s="19">
        <v>0</v>
      </c>
      <c r="BZ14" s="49" t="s">
        <v>52</v>
      </c>
      <c r="CA14" s="15">
        <v>235</v>
      </c>
      <c r="CB14" s="15">
        <v>31879923</v>
      </c>
      <c r="CC14" s="14">
        <v>10959.58849151</v>
      </c>
      <c r="CD14" s="14">
        <v>9094.6007761500005</v>
      </c>
      <c r="CE14" s="14">
        <v>1864.98771535999</v>
      </c>
      <c r="CF14" s="14">
        <v>538180.28754315001</v>
      </c>
      <c r="CG14" s="14">
        <v>534941.46133474004</v>
      </c>
      <c r="CH14" s="18">
        <v>0</v>
      </c>
      <c r="CI14" s="14">
        <v>0</v>
      </c>
      <c r="CJ14" s="49" t="s">
        <v>52</v>
      </c>
      <c r="CK14" s="15">
        <v>238</v>
      </c>
      <c r="CL14" s="15">
        <v>31747483</v>
      </c>
      <c r="CM14" s="14">
        <v>11033.94346253</v>
      </c>
      <c r="CN14" s="14">
        <v>10087.95590252</v>
      </c>
      <c r="CO14" s="14">
        <v>945.98756001000595</v>
      </c>
      <c r="CP14" s="112">
        <v>537666.59754183004</v>
      </c>
      <c r="CQ14" s="14">
        <v>535256.97107296996</v>
      </c>
      <c r="CR14" s="15">
        <v>0</v>
      </c>
      <c r="CS14" s="14">
        <v>0</v>
      </c>
      <c r="CT14" s="2" t="s">
        <v>52</v>
      </c>
      <c r="CU14" s="87">
        <v>240</v>
      </c>
      <c r="CV14" s="87">
        <v>31681759</v>
      </c>
      <c r="CW14" s="88">
        <v>11116.92214208</v>
      </c>
      <c r="CX14" s="88">
        <v>10074.35754777</v>
      </c>
      <c r="CY14" s="88">
        <v>1042.5645943100001</v>
      </c>
      <c r="CZ14" s="111">
        <v>523743.15011643001</v>
      </c>
      <c r="DA14" s="88">
        <v>529376.93834588001</v>
      </c>
      <c r="DB14" s="87">
        <v>0</v>
      </c>
      <c r="DC14" s="88">
        <v>0</v>
      </c>
      <c r="DD14" s="2" t="s">
        <v>52</v>
      </c>
      <c r="DE14" s="171">
        <f t="shared" si="0"/>
        <v>115391.62320169002</v>
      </c>
      <c r="DF14" s="165">
        <f t="shared" si="1"/>
        <v>24288.81811769</v>
      </c>
      <c r="DG14" s="2" t="s">
        <v>52</v>
      </c>
      <c r="DH14" s="172">
        <f t="shared" si="2"/>
        <v>7.520310379673995E-3</v>
      </c>
      <c r="DI14" s="166">
        <f t="shared" si="3"/>
        <v>0.10209123077577532</v>
      </c>
      <c r="DJ14" s="158">
        <f t="shared" si="4"/>
        <v>-2.5896061777050953E-2</v>
      </c>
      <c r="DK14" s="155">
        <v>246</v>
      </c>
      <c r="DL14" s="155">
        <v>31953492</v>
      </c>
      <c r="DM14" s="155">
        <v>13094.12896744</v>
      </c>
      <c r="DN14" s="155">
        <v>10106.843266100001</v>
      </c>
      <c r="DO14" s="155">
        <v>2987.2857013400098</v>
      </c>
      <c r="DP14" s="155">
        <v>529804.20185674995</v>
      </c>
      <c r="DQ14" s="155">
        <v>531410.45416686998</v>
      </c>
      <c r="DR14" s="155">
        <v>0</v>
      </c>
      <c r="DS14" s="155">
        <v>0</v>
      </c>
      <c r="DT14" s="2" t="s">
        <v>52</v>
      </c>
      <c r="DU14" s="171">
        <f t="shared" si="5"/>
        <v>128485.75216913002</v>
      </c>
      <c r="DV14" s="165">
        <f t="shared" si="6"/>
        <v>27276.10381903001</v>
      </c>
      <c r="DW14" s="2" t="s">
        <v>52</v>
      </c>
      <c r="DX14" s="174">
        <f t="shared" si="7"/>
        <v>0.17785559708795975</v>
      </c>
      <c r="DY14" s="169">
        <f t="shared" si="8"/>
        <v>1.8653243335172756</v>
      </c>
      <c r="DZ14" s="158">
        <f t="shared" si="9"/>
        <v>1.1572565176217655E-2</v>
      </c>
      <c r="EA14" s="2" t="s">
        <v>52</v>
      </c>
      <c r="EB14" s="155">
        <v>250</v>
      </c>
      <c r="EC14" s="155">
        <v>32127595</v>
      </c>
      <c r="ED14" s="155">
        <v>13554.20519628</v>
      </c>
      <c r="EE14" s="155">
        <v>10855.3820617</v>
      </c>
      <c r="EF14" s="155">
        <v>2698.82313457999</v>
      </c>
      <c r="EG14" s="155">
        <v>477309.05415654002</v>
      </c>
      <c r="EH14" s="155">
        <v>500854.00930853997</v>
      </c>
      <c r="EI14" s="155">
        <v>0</v>
      </c>
      <c r="EJ14" s="155">
        <v>0</v>
      </c>
      <c r="EK14" s="2" t="s">
        <v>52</v>
      </c>
      <c r="EL14" s="171">
        <f t="shared" si="10"/>
        <v>142039.95736541002</v>
      </c>
      <c r="EM14" s="165">
        <f t="shared" si="11"/>
        <v>29974.92695361</v>
      </c>
      <c r="EN14" s="2" t="s">
        <v>52</v>
      </c>
      <c r="EO14" s="174">
        <f t="shared" si="12"/>
        <v>3.5136069759510585E-2</v>
      </c>
      <c r="EP14" s="169">
        <f t="shared" si="13"/>
        <v>-9.6563434368069953E-2</v>
      </c>
      <c r="EQ14" s="158">
        <f t="shared" si="14"/>
        <v>-9.9084053158196211E-2</v>
      </c>
    </row>
    <row r="15" spans="1:147" ht="13" x14ac:dyDescent="0.5">
      <c r="A15" s="16" t="s">
        <v>31</v>
      </c>
      <c r="B15" s="16" t="s">
        <v>24</v>
      </c>
      <c r="C15" s="16" t="s">
        <v>131</v>
      </c>
      <c r="D15" s="16" t="s">
        <v>6</v>
      </c>
      <c r="E15" s="16" t="s">
        <v>7</v>
      </c>
      <c r="F15" s="177">
        <v>112928.32885561</v>
      </c>
      <c r="G15" s="177">
        <v>113669.5935756</v>
      </c>
      <c r="H15" s="49" t="s">
        <v>52</v>
      </c>
      <c r="I15" s="15">
        <v>22</v>
      </c>
      <c r="J15" s="15">
        <v>838798</v>
      </c>
      <c r="K15" s="14">
        <v>22423.12953658</v>
      </c>
      <c r="L15" s="14">
        <v>13052.504806389999</v>
      </c>
      <c r="M15" s="14">
        <v>9370.6247301900003</v>
      </c>
      <c r="N15" s="14">
        <v>123442.33683289999</v>
      </c>
      <c r="O15" s="14">
        <v>119553.60757038</v>
      </c>
      <c r="P15" s="15">
        <v>0</v>
      </c>
      <c r="Q15" s="14">
        <v>0</v>
      </c>
      <c r="R15" s="49" t="s">
        <v>52</v>
      </c>
      <c r="S15" s="15">
        <v>22</v>
      </c>
      <c r="T15" s="15">
        <v>846370</v>
      </c>
      <c r="U15" s="14">
        <v>13952.958018810001</v>
      </c>
      <c r="V15" s="14">
        <v>10819.358954830001</v>
      </c>
      <c r="W15" s="14">
        <v>3133.5990639800002</v>
      </c>
      <c r="X15" s="14">
        <v>127552.75661949</v>
      </c>
      <c r="Y15" s="14">
        <v>126308.63752791</v>
      </c>
      <c r="Z15" s="15">
        <v>0</v>
      </c>
      <c r="AA15" s="14">
        <v>0</v>
      </c>
      <c r="AB15" s="49" t="s">
        <v>52</v>
      </c>
      <c r="AC15" s="15">
        <v>22</v>
      </c>
      <c r="AD15" s="15">
        <v>849791</v>
      </c>
      <c r="AE15" s="14">
        <v>21118.171269930001</v>
      </c>
      <c r="AF15" s="14">
        <v>17981.76960928</v>
      </c>
      <c r="AG15" s="14">
        <v>3136.4016606499999</v>
      </c>
      <c r="AH15" s="14">
        <v>131414.89293927999</v>
      </c>
      <c r="AI15" s="14">
        <v>129766.89411384999</v>
      </c>
      <c r="AJ15" s="15">
        <v>0</v>
      </c>
      <c r="AK15" s="14">
        <v>0</v>
      </c>
      <c r="AL15" s="49" t="s">
        <v>52</v>
      </c>
      <c r="AM15" s="15">
        <v>23</v>
      </c>
      <c r="AN15" s="15">
        <v>854453</v>
      </c>
      <c r="AO15" s="14">
        <v>27694.834796840001</v>
      </c>
      <c r="AP15" s="14">
        <v>17928.618544280002</v>
      </c>
      <c r="AQ15" s="14">
        <v>9766.2162525599997</v>
      </c>
      <c r="AR15" s="14">
        <v>141985.61691193</v>
      </c>
      <c r="AS15" s="14">
        <v>139357.61952253</v>
      </c>
      <c r="AT15" s="15">
        <v>0</v>
      </c>
      <c r="AU15" s="14">
        <v>0</v>
      </c>
      <c r="AV15" s="49" t="s">
        <v>52</v>
      </c>
      <c r="AW15" s="15">
        <v>23</v>
      </c>
      <c r="AX15" s="15">
        <v>857058</v>
      </c>
      <c r="AY15" s="14">
        <v>17277.480684009999</v>
      </c>
      <c r="AZ15" s="14">
        <v>16800.68162725</v>
      </c>
      <c r="BA15" s="14">
        <v>476.79905675999902</v>
      </c>
      <c r="BB15" s="14">
        <v>142933.64913728999</v>
      </c>
      <c r="BC15" s="14">
        <v>145670.66536993001</v>
      </c>
      <c r="BD15" s="15">
        <v>0</v>
      </c>
      <c r="BE15" s="14">
        <v>0</v>
      </c>
      <c r="BF15" s="49" t="s">
        <v>52</v>
      </c>
      <c r="BG15" s="15">
        <v>23</v>
      </c>
      <c r="BH15" s="15">
        <v>851734</v>
      </c>
      <c r="BI15" s="14">
        <v>26196.109486180001</v>
      </c>
      <c r="BJ15" s="14">
        <v>27449.33213504</v>
      </c>
      <c r="BK15" s="14">
        <v>-1253.2226488599999</v>
      </c>
      <c r="BL15" s="14">
        <v>142510.48501196</v>
      </c>
      <c r="BM15" s="14">
        <v>141908.54294299</v>
      </c>
      <c r="BN15" s="18">
        <v>0</v>
      </c>
      <c r="BO15" s="19">
        <v>0</v>
      </c>
      <c r="BP15" s="49" t="s">
        <v>52</v>
      </c>
      <c r="BQ15" s="15">
        <v>23</v>
      </c>
      <c r="BR15" s="15">
        <v>850992</v>
      </c>
      <c r="BS15" s="14">
        <v>21152.52799893</v>
      </c>
      <c r="BT15" s="14">
        <v>13635.9604628</v>
      </c>
      <c r="BU15" s="14">
        <v>7516.56753612998</v>
      </c>
      <c r="BV15" s="14">
        <v>150904.84167893999</v>
      </c>
      <c r="BW15" s="14">
        <v>149824.3768388</v>
      </c>
      <c r="BX15" s="18">
        <v>0</v>
      </c>
      <c r="BY15" s="19">
        <v>0</v>
      </c>
      <c r="BZ15" s="49" t="s">
        <v>52</v>
      </c>
      <c r="CA15" s="15">
        <v>23</v>
      </c>
      <c r="CB15" s="15">
        <v>852413</v>
      </c>
      <c r="CC15" s="14">
        <v>20416.1719615</v>
      </c>
      <c r="CD15" s="14">
        <v>15435.52335326</v>
      </c>
      <c r="CE15" s="14">
        <v>4980.6486082400397</v>
      </c>
      <c r="CF15" s="14">
        <v>156704.97706994999</v>
      </c>
      <c r="CG15" s="14">
        <v>154517.11091451001</v>
      </c>
      <c r="CH15" s="18">
        <v>0</v>
      </c>
      <c r="CI15" s="14">
        <v>0</v>
      </c>
      <c r="CJ15" s="49" t="s">
        <v>52</v>
      </c>
      <c r="CK15" s="15">
        <v>23</v>
      </c>
      <c r="CL15" s="15">
        <v>851239</v>
      </c>
      <c r="CM15" s="14">
        <v>16806.604280330001</v>
      </c>
      <c r="CN15" s="14">
        <v>27052.596060219999</v>
      </c>
      <c r="CO15" s="103">
        <v>-10245.991779890001</v>
      </c>
      <c r="CP15" s="14">
        <v>147063.58376529001</v>
      </c>
      <c r="CQ15" s="14">
        <v>154652.67178288999</v>
      </c>
      <c r="CR15" s="15">
        <v>0</v>
      </c>
      <c r="CS15" s="14">
        <v>0</v>
      </c>
      <c r="CT15" s="2" t="s">
        <v>52</v>
      </c>
      <c r="CU15" s="87">
        <v>24</v>
      </c>
      <c r="CV15" s="87">
        <v>847633</v>
      </c>
      <c r="CW15" s="88">
        <v>22871.92206257</v>
      </c>
      <c r="CX15" s="88">
        <v>18092.740925810001</v>
      </c>
      <c r="CY15" s="104">
        <v>4779.1811367599903</v>
      </c>
      <c r="CZ15" s="88">
        <v>152176.22565879999</v>
      </c>
      <c r="DA15" s="88">
        <v>149428.32294504999</v>
      </c>
      <c r="DB15" s="87">
        <v>0</v>
      </c>
      <c r="DC15" s="88">
        <v>0</v>
      </c>
      <c r="DD15" s="2" t="s">
        <v>52</v>
      </c>
      <c r="DE15" s="171">
        <f t="shared" si="0"/>
        <v>209909.91009567998</v>
      </c>
      <c r="DF15" s="165">
        <f t="shared" si="1"/>
        <v>31660.823616520011</v>
      </c>
      <c r="DG15" s="2" t="s">
        <v>52</v>
      </c>
      <c r="DH15" s="172">
        <f t="shared" si="2"/>
        <v>0.36088895062155324</v>
      </c>
      <c r="DI15" s="166">
        <f t="shared" si="3"/>
        <v>-1.4664439753055607</v>
      </c>
      <c r="DJ15" s="158">
        <f t="shared" si="4"/>
        <v>3.4764839551779413E-2</v>
      </c>
      <c r="DK15" s="155">
        <v>25</v>
      </c>
      <c r="DL15" s="155">
        <v>851082</v>
      </c>
      <c r="DM15" s="155">
        <v>18390.8565738</v>
      </c>
      <c r="DN15" s="155">
        <v>16062.110731270001</v>
      </c>
      <c r="DO15" s="155">
        <v>2328.7458425300101</v>
      </c>
      <c r="DP15" s="155">
        <v>155468.48252756</v>
      </c>
      <c r="DQ15" s="155">
        <v>152626.35752033</v>
      </c>
      <c r="DR15" s="155">
        <v>0</v>
      </c>
      <c r="DS15" s="155">
        <v>0</v>
      </c>
      <c r="DT15" s="2" t="s">
        <v>52</v>
      </c>
      <c r="DU15" s="171">
        <f t="shared" si="5"/>
        <v>228300.76666947998</v>
      </c>
      <c r="DV15" s="165">
        <f t="shared" si="6"/>
        <v>33989.569459050021</v>
      </c>
      <c r="DW15" s="2" t="s">
        <v>52</v>
      </c>
      <c r="DX15" s="174">
        <f t="shared" si="7"/>
        <v>-0.19591993521625728</v>
      </c>
      <c r="DY15" s="169">
        <f t="shared" si="8"/>
        <v>-0.51273120313059195</v>
      </c>
      <c r="DZ15" s="158">
        <f t="shared" si="9"/>
        <v>2.1634502068290921E-2</v>
      </c>
      <c r="EA15" s="2" t="s">
        <v>52</v>
      </c>
      <c r="EB15" s="155">
        <v>25</v>
      </c>
      <c r="EC15" s="155">
        <v>849973</v>
      </c>
      <c r="ED15" s="155">
        <v>12597.690579349999</v>
      </c>
      <c r="EE15" s="155">
        <v>37825.155490030003</v>
      </c>
      <c r="EF15" s="155">
        <v>-25227.464910679999</v>
      </c>
      <c r="EG15" s="155">
        <v>130570.0493707</v>
      </c>
      <c r="EH15" s="155">
        <v>140756.33555792001</v>
      </c>
      <c r="EI15" s="155">
        <v>0</v>
      </c>
      <c r="EJ15" s="155">
        <v>0</v>
      </c>
      <c r="EK15" s="2" t="s">
        <v>52</v>
      </c>
      <c r="EL15" s="171">
        <f t="shared" si="10"/>
        <v>240898.45724882997</v>
      </c>
      <c r="EM15" s="165">
        <f t="shared" si="11"/>
        <v>8762.1045483700218</v>
      </c>
      <c r="EN15" s="2" t="s">
        <v>52</v>
      </c>
      <c r="EO15" s="174">
        <f t="shared" si="12"/>
        <v>-0.31500251068800494</v>
      </c>
      <c r="EP15" s="169">
        <f t="shared" si="13"/>
        <v>-11.833069221187412</v>
      </c>
      <c r="EQ15" s="158">
        <f t="shared" si="14"/>
        <v>-0.16015100136097515</v>
      </c>
    </row>
    <row r="16" spans="1:147" ht="13" x14ac:dyDescent="0.5">
      <c r="A16" s="16" t="s">
        <v>27</v>
      </c>
      <c r="B16" s="16" t="s">
        <v>87</v>
      </c>
      <c r="C16" s="16" t="s">
        <v>131</v>
      </c>
      <c r="D16" s="16" t="s">
        <v>2</v>
      </c>
      <c r="E16" s="16" t="s">
        <v>2</v>
      </c>
      <c r="F16" s="177">
        <v>359775.39060436003</v>
      </c>
      <c r="G16" s="177">
        <v>348889.45110200002</v>
      </c>
      <c r="H16" s="49" t="s">
        <v>52</v>
      </c>
      <c r="I16" s="15">
        <v>33</v>
      </c>
      <c r="J16" s="15">
        <v>16090916</v>
      </c>
      <c r="K16" s="14">
        <v>5891.4497738</v>
      </c>
      <c r="L16" s="14">
        <v>3219.9861349500002</v>
      </c>
      <c r="M16" s="14">
        <v>2671.4636388499998</v>
      </c>
      <c r="N16" s="14">
        <v>374519.71010755998</v>
      </c>
      <c r="O16" s="14">
        <v>361853.45959419</v>
      </c>
      <c r="P16" s="15">
        <v>0</v>
      </c>
      <c r="Q16" s="14">
        <v>0</v>
      </c>
      <c r="R16" s="49" t="s">
        <v>52</v>
      </c>
      <c r="S16" s="15">
        <v>33</v>
      </c>
      <c r="T16" s="15">
        <v>16175181</v>
      </c>
      <c r="U16" s="14">
        <v>5240.6990430100004</v>
      </c>
      <c r="V16" s="14">
        <v>3990.22480503</v>
      </c>
      <c r="W16" s="14">
        <v>1250.47423798</v>
      </c>
      <c r="X16" s="14">
        <v>383666.58564228</v>
      </c>
      <c r="Y16" s="14">
        <v>380250.63119730999</v>
      </c>
      <c r="Z16" s="15">
        <v>0</v>
      </c>
      <c r="AA16" s="14">
        <v>0</v>
      </c>
      <c r="AB16" s="49" t="s">
        <v>52</v>
      </c>
      <c r="AC16" s="15">
        <v>33</v>
      </c>
      <c r="AD16" s="15">
        <v>16304538</v>
      </c>
      <c r="AE16" s="14">
        <v>5171.3407195199998</v>
      </c>
      <c r="AF16" s="14">
        <v>3477.0088753300001</v>
      </c>
      <c r="AG16" s="14">
        <v>1694.3318441900001</v>
      </c>
      <c r="AH16" s="14">
        <v>397470.46665677999</v>
      </c>
      <c r="AI16" s="14">
        <v>389566.40510030999</v>
      </c>
      <c r="AJ16" s="15">
        <v>0</v>
      </c>
      <c r="AK16" s="14">
        <v>0</v>
      </c>
      <c r="AL16" s="49" t="s">
        <v>52</v>
      </c>
      <c r="AM16" s="15">
        <v>33</v>
      </c>
      <c r="AN16" s="15">
        <v>16444374</v>
      </c>
      <c r="AO16" s="14">
        <v>5503.6665759500002</v>
      </c>
      <c r="AP16" s="14">
        <v>3378.5763134899998</v>
      </c>
      <c r="AQ16" s="14">
        <v>2125.0902624599998</v>
      </c>
      <c r="AR16" s="14">
        <v>391762.72899624001</v>
      </c>
      <c r="AS16" s="14">
        <v>394905.26883144001</v>
      </c>
      <c r="AT16" s="15">
        <v>0</v>
      </c>
      <c r="AU16" s="14">
        <v>0</v>
      </c>
      <c r="AV16" s="49" t="s">
        <v>52</v>
      </c>
      <c r="AW16" s="15">
        <v>33</v>
      </c>
      <c r="AX16" s="15">
        <v>16539476</v>
      </c>
      <c r="AY16" s="14">
        <v>5475.3980843700001</v>
      </c>
      <c r="AZ16" s="14">
        <v>2640.5166059200001</v>
      </c>
      <c r="BA16" s="14">
        <v>2834.88147845</v>
      </c>
      <c r="BB16" s="14">
        <v>389982.59098833002</v>
      </c>
      <c r="BC16" s="14">
        <v>392379.06413369998</v>
      </c>
      <c r="BD16" s="15">
        <v>0</v>
      </c>
      <c r="BE16" s="14">
        <v>0</v>
      </c>
      <c r="BF16" s="49" t="s">
        <v>52</v>
      </c>
      <c r="BG16" s="15">
        <v>33</v>
      </c>
      <c r="BH16" s="15">
        <v>16625122</v>
      </c>
      <c r="BI16" s="14">
        <v>5576.8187395100003</v>
      </c>
      <c r="BJ16" s="14">
        <v>3257.7771446199999</v>
      </c>
      <c r="BK16" s="14">
        <v>2319.0415948899999</v>
      </c>
      <c r="BL16" s="14">
        <v>395093.32180022</v>
      </c>
      <c r="BM16" s="14">
        <v>399779.69459428999</v>
      </c>
      <c r="BN16" s="18">
        <v>0</v>
      </c>
      <c r="BO16" s="19">
        <v>0</v>
      </c>
      <c r="BP16" s="49" t="s">
        <v>52</v>
      </c>
      <c r="BQ16" s="15">
        <v>33</v>
      </c>
      <c r="BR16" s="15">
        <v>16696893</v>
      </c>
      <c r="BS16" s="14">
        <v>5293.2680017100001</v>
      </c>
      <c r="BT16" s="14">
        <v>4321.2960152599999</v>
      </c>
      <c r="BU16" s="14">
        <v>971.97198645000003</v>
      </c>
      <c r="BV16" s="14">
        <v>410156.51085413003</v>
      </c>
      <c r="BW16" s="14">
        <v>407307.68494173</v>
      </c>
      <c r="BX16" s="18">
        <v>0</v>
      </c>
      <c r="BY16" s="19">
        <v>0</v>
      </c>
      <c r="BZ16" s="49" t="s">
        <v>52</v>
      </c>
      <c r="CA16" s="15">
        <v>33</v>
      </c>
      <c r="CB16" s="15">
        <v>16796845</v>
      </c>
      <c r="CC16" s="14">
        <v>4942.35690729001</v>
      </c>
      <c r="CD16" s="14">
        <v>3302.5522569300001</v>
      </c>
      <c r="CE16" s="14">
        <v>1639.8046503600101</v>
      </c>
      <c r="CF16" s="14">
        <v>418524.97741656</v>
      </c>
      <c r="CG16" s="14">
        <v>413988.87952448003</v>
      </c>
      <c r="CH16" s="18">
        <v>0</v>
      </c>
      <c r="CI16" s="14">
        <v>0</v>
      </c>
      <c r="CJ16" s="49" t="s">
        <v>52</v>
      </c>
      <c r="CK16" s="15">
        <v>33</v>
      </c>
      <c r="CL16" s="15">
        <v>16870064</v>
      </c>
      <c r="CM16" s="14">
        <v>5499.60241941</v>
      </c>
      <c r="CN16" s="14">
        <v>3932.1796229400002</v>
      </c>
      <c r="CO16" s="14">
        <v>1567.4227964700001</v>
      </c>
      <c r="CP16" s="112">
        <v>418726.65441258001</v>
      </c>
      <c r="CQ16" s="14">
        <v>417491.57692109997</v>
      </c>
      <c r="CR16" s="15">
        <v>0</v>
      </c>
      <c r="CS16" s="14">
        <v>0</v>
      </c>
      <c r="CT16" s="2" t="s">
        <v>52</v>
      </c>
      <c r="CU16" s="87">
        <v>33</v>
      </c>
      <c r="CV16" s="87">
        <v>16949451</v>
      </c>
      <c r="CW16" s="88">
        <v>5523.6290121700004</v>
      </c>
      <c r="CX16" s="88">
        <v>3518.65182964</v>
      </c>
      <c r="CY16" s="88">
        <v>2004.9771825299999</v>
      </c>
      <c r="CZ16" s="111">
        <v>408303.50130638003</v>
      </c>
      <c r="DA16" s="88">
        <v>413609.66550236999</v>
      </c>
      <c r="DB16" s="87">
        <v>0</v>
      </c>
      <c r="DC16" s="88">
        <v>0</v>
      </c>
      <c r="DD16" s="2" t="s">
        <v>52</v>
      </c>
      <c r="DE16" s="171">
        <f t="shared" si="0"/>
        <v>54118.229276740021</v>
      </c>
      <c r="DF16" s="165">
        <f t="shared" si="1"/>
        <v>19079.459672630011</v>
      </c>
      <c r="DG16" s="2" t="s">
        <v>52</v>
      </c>
      <c r="DH16" s="172">
        <f t="shared" si="2"/>
        <v>4.3687872190909935E-3</v>
      </c>
      <c r="DI16" s="166">
        <f t="shared" si="3"/>
        <v>0.27915530324390969</v>
      </c>
      <c r="DJ16" s="158">
        <f t="shared" si="4"/>
        <v>-2.489249966860203E-2</v>
      </c>
      <c r="DK16" s="155">
        <v>34</v>
      </c>
      <c r="DL16" s="155">
        <v>17074655</v>
      </c>
      <c r="DM16" s="155">
        <v>5537.8692482099996</v>
      </c>
      <c r="DN16" s="155">
        <v>3426.1937487099999</v>
      </c>
      <c r="DO16" s="155">
        <v>2111.6754995000001</v>
      </c>
      <c r="DP16" s="155">
        <v>411231.73730301001</v>
      </c>
      <c r="DQ16" s="155">
        <v>415950.81511115999</v>
      </c>
      <c r="DR16" s="155">
        <v>0</v>
      </c>
      <c r="DS16" s="155">
        <v>0</v>
      </c>
      <c r="DT16" s="2" t="s">
        <v>52</v>
      </c>
      <c r="DU16" s="171">
        <f t="shared" si="5"/>
        <v>59656.098524950023</v>
      </c>
      <c r="DV16" s="165">
        <f t="shared" si="6"/>
        <v>21191.135172130013</v>
      </c>
      <c r="DW16" s="2" t="s">
        <v>52</v>
      </c>
      <c r="DX16" s="174">
        <f t="shared" si="7"/>
        <v>2.5780580137848234E-3</v>
      </c>
      <c r="DY16" s="169">
        <f t="shared" si="8"/>
        <v>5.3216723810972186E-2</v>
      </c>
      <c r="DZ16" s="158">
        <f t="shared" si="9"/>
        <v>7.1717141471013606E-3</v>
      </c>
      <c r="EA16" s="2" t="s">
        <v>52</v>
      </c>
      <c r="EB16" s="155">
        <v>34</v>
      </c>
      <c r="EC16" s="155">
        <v>17144363</v>
      </c>
      <c r="ED16" s="155">
        <v>7209.10268516</v>
      </c>
      <c r="EE16" s="155">
        <v>4211.2629913399996</v>
      </c>
      <c r="EF16" s="155">
        <v>2997.8396938199899</v>
      </c>
      <c r="EG16" s="155">
        <v>366045.48603187001</v>
      </c>
      <c r="EH16" s="155">
        <v>387415.67990354</v>
      </c>
      <c r="EI16" s="155">
        <v>0</v>
      </c>
      <c r="EJ16" s="155">
        <v>0</v>
      </c>
      <c r="EK16" s="2" t="s">
        <v>52</v>
      </c>
      <c r="EL16" s="171">
        <f t="shared" si="10"/>
        <v>66865.201210110026</v>
      </c>
      <c r="EM16" s="165">
        <f t="shared" si="11"/>
        <v>24188.974865950004</v>
      </c>
      <c r="EN16" s="2" t="s">
        <v>52</v>
      </c>
      <c r="EO16" s="174">
        <f t="shared" si="12"/>
        <v>0.30178275471025101</v>
      </c>
      <c r="EP16" s="169">
        <f t="shared" si="13"/>
        <v>0.41964979682238801</v>
      </c>
      <c r="EQ16" s="158">
        <f t="shared" si="14"/>
        <v>-0.10988026256797681</v>
      </c>
    </row>
    <row r="17" spans="1:147" ht="13" x14ac:dyDescent="0.5">
      <c r="A17" s="16" t="s">
        <v>36</v>
      </c>
      <c r="B17" s="16" t="s">
        <v>87</v>
      </c>
      <c r="C17" s="16" t="s">
        <v>131</v>
      </c>
      <c r="D17" s="16" t="s">
        <v>2</v>
      </c>
      <c r="E17" s="16" t="s">
        <v>2</v>
      </c>
      <c r="F17" s="177">
        <v>175724.35047094</v>
      </c>
      <c r="G17" s="177">
        <v>169398.90249618</v>
      </c>
      <c r="H17" s="49" t="s">
        <v>52</v>
      </c>
      <c r="I17" s="15">
        <v>30</v>
      </c>
      <c r="J17" s="15">
        <v>9635087</v>
      </c>
      <c r="K17" s="14">
        <v>4377.9626120100002</v>
      </c>
      <c r="L17" s="14">
        <v>1826.25458725</v>
      </c>
      <c r="M17" s="14">
        <v>2551.7080247600002</v>
      </c>
      <c r="N17" s="14">
        <v>183132.80950847999</v>
      </c>
      <c r="O17" s="14">
        <v>177702.64316186</v>
      </c>
      <c r="P17" s="15">
        <v>0</v>
      </c>
      <c r="Q17" s="14">
        <v>0</v>
      </c>
      <c r="R17" s="49" t="s">
        <v>52</v>
      </c>
      <c r="S17" s="15">
        <v>31</v>
      </c>
      <c r="T17" s="15">
        <v>9826483</v>
      </c>
      <c r="U17" s="14">
        <v>5240.1589551699999</v>
      </c>
      <c r="V17" s="14">
        <v>2240.87310144</v>
      </c>
      <c r="W17" s="14">
        <v>2999.2858537299999</v>
      </c>
      <c r="X17" s="14">
        <v>195159.76381127999</v>
      </c>
      <c r="Y17" s="14">
        <v>188891.16962398001</v>
      </c>
      <c r="Z17" s="15">
        <v>0</v>
      </c>
      <c r="AA17" s="14">
        <v>0</v>
      </c>
      <c r="AB17" s="49" t="s">
        <v>52</v>
      </c>
      <c r="AC17" s="15">
        <v>31</v>
      </c>
      <c r="AD17" s="15">
        <v>10058599</v>
      </c>
      <c r="AE17" s="14">
        <v>4717.8981499600004</v>
      </c>
      <c r="AF17" s="14">
        <v>1923.6963438600001</v>
      </c>
      <c r="AG17" s="14">
        <v>2794.2018060999999</v>
      </c>
      <c r="AH17" s="14">
        <v>204689.93958085001</v>
      </c>
      <c r="AI17" s="14">
        <v>199461.03524393</v>
      </c>
      <c r="AJ17" s="15">
        <v>0</v>
      </c>
      <c r="AK17" s="14">
        <v>0</v>
      </c>
      <c r="AL17" s="49" t="s">
        <v>52</v>
      </c>
      <c r="AM17" s="15">
        <v>32</v>
      </c>
      <c r="AN17" s="15">
        <v>10357646</v>
      </c>
      <c r="AO17" s="14">
        <v>5961.1286999900003</v>
      </c>
      <c r="AP17" s="14">
        <v>1970.2899973000001</v>
      </c>
      <c r="AQ17" s="14">
        <v>3990.83870269</v>
      </c>
      <c r="AR17" s="14">
        <v>205281.88905942999</v>
      </c>
      <c r="AS17" s="14">
        <v>205917.39326473</v>
      </c>
      <c r="AT17" s="15">
        <v>0</v>
      </c>
      <c r="AU17" s="14">
        <v>0</v>
      </c>
      <c r="AV17" s="49" t="s">
        <v>52</v>
      </c>
      <c r="AW17" s="15">
        <v>32</v>
      </c>
      <c r="AX17" s="15">
        <v>10582438</v>
      </c>
      <c r="AY17" s="14">
        <v>4812.7817037499999</v>
      </c>
      <c r="AZ17" s="14">
        <v>1619.72674704</v>
      </c>
      <c r="BA17" s="14">
        <v>3193.0549567100002</v>
      </c>
      <c r="BB17" s="14">
        <v>205141.48457689999</v>
      </c>
      <c r="BC17" s="14">
        <v>205535.81317129999</v>
      </c>
      <c r="BD17" s="15">
        <v>0</v>
      </c>
      <c r="BE17" s="14">
        <v>0</v>
      </c>
      <c r="BF17" s="49" t="s">
        <v>52</v>
      </c>
      <c r="BG17" s="15">
        <v>32</v>
      </c>
      <c r="BH17" s="15">
        <v>10786468</v>
      </c>
      <c r="BI17" s="14">
        <v>5783.8014441300002</v>
      </c>
      <c r="BJ17" s="14">
        <v>2224.2357436900002</v>
      </c>
      <c r="BK17" s="14">
        <v>3559.56570044</v>
      </c>
      <c r="BL17" s="14">
        <v>210368.98546468999</v>
      </c>
      <c r="BM17" s="14">
        <v>212137.46837496999</v>
      </c>
      <c r="BN17" s="18">
        <v>0</v>
      </c>
      <c r="BO17" s="19">
        <v>0</v>
      </c>
      <c r="BP17" s="49" t="s">
        <v>52</v>
      </c>
      <c r="BQ17" s="15">
        <v>32</v>
      </c>
      <c r="BR17" s="15">
        <v>10912552</v>
      </c>
      <c r="BS17" s="14">
        <v>4903.9411761399997</v>
      </c>
      <c r="BT17" s="14">
        <v>2403.50842212</v>
      </c>
      <c r="BU17" s="14">
        <v>2500.4327540200002</v>
      </c>
      <c r="BV17" s="14">
        <v>220254.62921996001</v>
      </c>
      <c r="BW17" s="14">
        <v>217508.31871895</v>
      </c>
      <c r="BX17" s="18">
        <v>0</v>
      </c>
      <c r="BY17" s="19">
        <v>0</v>
      </c>
      <c r="BZ17" s="49" t="s">
        <v>52</v>
      </c>
      <c r="CA17" s="15">
        <v>32</v>
      </c>
      <c r="CB17" s="15">
        <v>11066021</v>
      </c>
      <c r="CC17" s="14">
        <v>5011.8537811699898</v>
      </c>
      <c r="CD17" s="14">
        <v>2549.0088110000002</v>
      </c>
      <c r="CE17" s="14">
        <v>2462.8449701699901</v>
      </c>
      <c r="CF17" s="14">
        <v>222749.02802932999</v>
      </c>
      <c r="CG17" s="14">
        <v>221497.61697059</v>
      </c>
      <c r="CH17" s="18">
        <v>0</v>
      </c>
      <c r="CI17" s="14">
        <v>0</v>
      </c>
      <c r="CJ17" s="49" t="s">
        <v>52</v>
      </c>
      <c r="CK17" s="15">
        <v>32</v>
      </c>
      <c r="CL17" s="15">
        <v>11173881</v>
      </c>
      <c r="CM17" s="14">
        <v>5163.28365373</v>
      </c>
      <c r="CN17" s="14">
        <v>2908.3303336899999</v>
      </c>
      <c r="CO17" s="14">
        <v>2254.9533200400001</v>
      </c>
      <c r="CP17" s="112">
        <v>223101.78758390999</v>
      </c>
      <c r="CQ17" s="14">
        <v>221480.11918884999</v>
      </c>
      <c r="CR17" s="15">
        <v>0</v>
      </c>
      <c r="CS17" s="14">
        <v>0</v>
      </c>
      <c r="CT17" s="2" t="s">
        <v>52</v>
      </c>
      <c r="CU17" s="87">
        <v>32</v>
      </c>
      <c r="CV17" s="87">
        <v>11272944</v>
      </c>
      <c r="CW17" s="88">
        <v>5043.0452627300001</v>
      </c>
      <c r="CX17" s="88">
        <v>3047.8131740499998</v>
      </c>
      <c r="CY17" s="88">
        <v>1995.2320886800001</v>
      </c>
      <c r="CZ17" s="111">
        <v>216445.38892108001</v>
      </c>
      <c r="DA17" s="88">
        <v>218817.57505424999</v>
      </c>
      <c r="DB17" s="87">
        <v>0</v>
      </c>
      <c r="DC17" s="88">
        <v>0</v>
      </c>
      <c r="DD17" s="2" t="s">
        <v>52</v>
      </c>
      <c r="DE17" s="171">
        <f t="shared" si="0"/>
        <v>51015.855438779981</v>
      </c>
      <c r="DF17" s="165">
        <f t="shared" si="1"/>
        <v>28302.118177339991</v>
      </c>
      <c r="DG17" s="2" t="s">
        <v>52</v>
      </c>
      <c r="DH17" s="172">
        <f t="shared" si="2"/>
        <v>-2.3287194557505789E-2</v>
      </c>
      <c r="DI17" s="166">
        <f t="shared" si="3"/>
        <v>-0.11517809661593922</v>
      </c>
      <c r="DJ17" s="158">
        <f t="shared" si="4"/>
        <v>-2.9835702953865673E-2</v>
      </c>
      <c r="DK17" s="155">
        <v>32</v>
      </c>
      <c r="DL17" s="155">
        <v>11374795</v>
      </c>
      <c r="DM17" s="155">
        <v>4387.9214135399998</v>
      </c>
      <c r="DN17" s="155">
        <v>2454.3874946599999</v>
      </c>
      <c r="DO17" s="155">
        <v>1933.5339188800001</v>
      </c>
      <c r="DP17" s="155">
        <v>221586.09496446999</v>
      </c>
      <c r="DQ17" s="155">
        <v>222464.01148812001</v>
      </c>
      <c r="DR17" s="155">
        <v>0</v>
      </c>
      <c r="DS17" s="155">
        <v>0</v>
      </c>
      <c r="DT17" s="2" t="s">
        <v>52</v>
      </c>
      <c r="DU17" s="171">
        <f t="shared" si="5"/>
        <v>55403.776852319977</v>
      </c>
      <c r="DV17" s="165">
        <f t="shared" si="6"/>
        <v>30235.65209621999</v>
      </c>
      <c r="DW17" s="2" t="s">
        <v>52</v>
      </c>
      <c r="DX17" s="174">
        <f t="shared" si="7"/>
        <v>-0.12990639882445867</v>
      </c>
      <c r="DY17" s="169">
        <f t="shared" si="8"/>
        <v>-3.0922803492408776E-2</v>
      </c>
      <c r="DZ17" s="158">
        <f t="shared" si="9"/>
        <v>2.375059163429151E-2</v>
      </c>
      <c r="EA17" s="2" t="s">
        <v>52</v>
      </c>
      <c r="EB17" s="155">
        <v>32</v>
      </c>
      <c r="EC17" s="155">
        <v>11482274</v>
      </c>
      <c r="ED17" s="155">
        <v>5819.8735938700001</v>
      </c>
      <c r="EE17" s="155">
        <v>2838.3248476499998</v>
      </c>
      <c r="EF17" s="155">
        <v>2981.5487462199999</v>
      </c>
      <c r="EG17" s="155">
        <v>200439.13442607</v>
      </c>
      <c r="EH17" s="155">
        <v>210283.52034407001</v>
      </c>
      <c r="EI17" s="155">
        <v>0</v>
      </c>
      <c r="EJ17" s="155">
        <v>0</v>
      </c>
      <c r="EK17" s="2" t="s">
        <v>52</v>
      </c>
      <c r="EL17" s="171">
        <f t="shared" si="10"/>
        <v>61223.650446189975</v>
      </c>
      <c r="EM17" s="165">
        <f t="shared" si="11"/>
        <v>33217.20084243999</v>
      </c>
      <c r="EN17" s="2" t="s">
        <v>52</v>
      </c>
      <c r="EO17" s="174">
        <f t="shared" si="12"/>
        <v>0.32633952283451645</v>
      </c>
      <c r="EP17" s="169">
        <f t="shared" si="13"/>
        <v>0.54202039959405657</v>
      </c>
      <c r="EQ17" s="158">
        <f t="shared" si="14"/>
        <v>-9.5434510643778336E-2</v>
      </c>
    </row>
    <row r="18" spans="1:147" ht="13" x14ac:dyDescent="0.5">
      <c r="A18" s="16" t="s">
        <v>117</v>
      </c>
      <c r="B18" s="16" t="s">
        <v>118</v>
      </c>
      <c r="C18" s="16" t="s">
        <v>131</v>
      </c>
      <c r="D18" s="16" t="s">
        <v>2</v>
      </c>
      <c r="E18" s="16" t="s">
        <v>118</v>
      </c>
      <c r="F18" s="177">
        <v>283673.40398094</v>
      </c>
      <c r="G18" s="177">
        <v>279386.23272844998</v>
      </c>
      <c r="H18" s="49" t="s">
        <v>52</v>
      </c>
      <c r="I18" s="15">
        <v>35</v>
      </c>
      <c r="J18" s="15">
        <v>5252235</v>
      </c>
      <c r="K18" s="14">
        <v>4010.2015198600002</v>
      </c>
      <c r="L18" s="14">
        <v>3128.9677109300001</v>
      </c>
      <c r="M18" s="14">
        <v>881.23380893000001</v>
      </c>
      <c r="N18" s="14">
        <v>292549.94761397003</v>
      </c>
      <c r="O18" s="14">
        <v>286751.76132995001</v>
      </c>
      <c r="P18" s="15">
        <v>0</v>
      </c>
      <c r="Q18" s="14">
        <v>0</v>
      </c>
      <c r="R18" s="49" t="s">
        <v>52</v>
      </c>
      <c r="S18" s="15">
        <v>35</v>
      </c>
      <c r="T18" s="15">
        <v>5288342</v>
      </c>
      <c r="U18" s="14">
        <v>4438.8757786699998</v>
      </c>
      <c r="V18" s="14">
        <v>3302.75959616</v>
      </c>
      <c r="W18" s="14">
        <v>1136.11618251</v>
      </c>
      <c r="X18" s="14">
        <v>299506.75603659003</v>
      </c>
      <c r="Y18" s="14">
        <v>296512.18956491002</v>
      </c>
      <c r="Z18" s="15">
        <v>0</v>
      </c>
      <c r="AA18" s="14">
        <v>0</v>
      </c>
      <c r="AB18" s="49" t="s">
        <v>52</v>
      </c>
      <c r="AC18" s="15">
        <v>35</v>
      </c>
      <c r="AD18" s="15">
        <v>5342869</v>
      </c>
      <c r="AE18" s="14">
        <v>4913.1380926499996</v>
      </c>
      <c r="AF18" s="14">
        <v>3027.6081833200001</v>
      </c>
      <c r="AG18" s="14">
        <v>1885.52990933</v>
      </c>
      <c r="AH18" s="14">
        <v>306648.51376394997</v>
      </c>
      <c r="AI18" s="14">
        <v>303164.81967027002</v>
      </c>
      <c r="AJ18" s="15">
        <v>0</v>
      </c>
      <c r="AK18" s="14">
        <v>0</v>
      </c>
      <c r="AL18" s="49" t="s">
        <v>52</v>
      </c>
      <c r="AM18" s="15">
        <v>35</v>
      </c>
      <c r="AN18" s="15">
        <v>5425213</v>
      </c>
      <c r="AO18" s="14">
        <v>5996.0993695799998</v>
      </c>
      <c r="AP18" s="14">
        <v>3384.91178734</v>
      </c>
      <c r="AQ18" s="14">
        <v>2611.1875822400002</v>
      </c>
      <c r="AR18" s="14">
        <v>305086.55245353002</v>
      </c>
      <c r="AS18" s="14">
        <v>307392.81551097002</v>
      </c>
      <c r="AT18" s="15">
        <v>0</v>
      </c>
      <c r="AU18" s="14">
        <v>0</v>
      </c>
      <c r="AV18" s="49" t="s">
        <v>52</v>
      </c>
      <c r="AW18" s="15">
        <v>35</v>
      </c>
      <c r="AX18" s="15">
        <v>5474637</v>
      </c>
      <c r="AY18" s="14">
        <v>4809.9566070499995</v>
      </c>
      <c r="AZ18" s="14">
        <v>2493.4720415699999</v>
      </c>
      <c r="BA18" s="14">
        <v>2316.4845654800001</v>
      </c>
      <c r="BB18" s="14">
        <v>304727.49676332</v>
      </c>
      <c r="BC18" s="14">
        <v>306186.21109805</v>
      </c>
      <c r="BD18" s="15">
        <v>0</v>
      </c>
      <c r="BE18" s="14">
        <v>0</v>
      </c>
      <c r="BF18" s="49" t="s">
        <v>52</v>
      </c>
      <c r="BG18" s="15">
        <v>35</v>
      </c>
      <c r="BH18" s="15">
        <v>5509198</v>
      </c>
      <c r="BI18" s="14">
        <v>5003.9811791299999</v>
      </c>
      <c r="BJ18" s="14">
        <v>3315.4255561199998</v>
      </c>
      <c r="BK18" s="14">
        <v>1688.5556230100001</v>
      </c>
      <c r="BL18" s="14">
        <v>309385.03705351998</v>
      </c>
      <c r="BM18" s="14">
        <v>311226.52892934001</v>
      </c>
      <c r="BN18" s="18">
        <v>0</v>
      </c>
      <c r="BO18" s="19">
        <v>0</v>
      </c>
      <c r="BP18" s="49" t="s">
        <v>52</v>
      </c>
      <c r="BQ18" s="15">
        <v>35</v>
      </c>
      <c r="BR18" s="15">
        <v>5530506</v>
      </c>
      <c r="BS18" s="14">
        <v>4233.7800990300002</v>
      </c>
      <c r="BT18" s="14">
        <v>3694.12805334</v>
      </c>
      <c r="BU18" s="14">
        <v>539.65204569000298</v>
      </c>
      <c r="BV18" s="14">
        <v>318121.65810513002</v>
      </c>
      <c r="BW18" s="14">
        <v>316548.76880734001</v>
      </c>
      <c r="BX18" s="18">
        <v>0</v>
      </c>
      <c r="BY18" s="19">
        <v>0</v>
      </c>
      <c r="BZ18" s="49" t="s">
        <v>52</v>
      </c>
      <c r="CA18" s="15">
        <v>35</v>
      </c>
      <c r="CB18" s="15">
        <v>5565740</v>
      </c>
      <c r="CC18" s="14">
        <v>4482.1312459000001</v>
      </c>
      <c r="CD18" s="14">
        <v>3072.1270307899999</v>
      </c>
      <c r="CE18" s="14">
        <v>1410.0042151099999</v>
      </c>
      <c r="CF18" s="14">
        <v>322208.64360129001</v>
      </c>
      <c r="CG18" s="14">
        <v>320995.10429082997</v>
      </c>
      <c r="CH18" s="18">
        <v>0</v>
      </c>
      <c r="CI18" s="14">
        <v>0</v>
      </c>
      <c r="CJ18" s="49" t="s">
        <v>52</v>
      </c>
      <c r="CK18" s="15">
        <v>35</v>
      </c>
      <c r="CL18" s="15">
        <v>5595687</v>
      </c>
      <c r="CM18" s="14">
        <v>4660.7802432199996</v>
      </c>
      <c r="CN18" s="14">
        <v>3563.5837491799998</v>
      </c>
      <c r="CO18" s="14">
        <v>1097.1964940400101</v>
      </c>
      <c r="CP18" s="112">
        <v>323324.82594314002</v>
      </c>
      <c r="CQ18" s="14">
        <v>323093.24563239003</v>
      </c>
      <c r="CR18" s="15">
        <v>0</v>
      </c>
      <c r="CS18" s="14">
        <v>0</v>
      </c>
      <c r="CT18" s="2" t="s">
        <v>52</v>
      </c>
      <c r="CU18" s="87">
        <v>35</v>
      </c>
      <c r="CV18" s="87">
        <v>5624351</v>
      </c>
      <c r="CW18" s="88">
        <v>5279.51067633</v>
      </c>
      <c r="CX18" s="88">
        <v>3440.0959968400002</v>
      </c>
      <c r="CY18" s="88">
        <v>1839.41467949</v>
      </c>
      <c r="CZ18" s="111">
        <v>319902.63682002999</v>
      </c>
      <c r="DA18" s="88">
        <v>322414.83701184002</v>
      </c>
      <c r="DB18" s="87">
        <v>0</v>
      </c>
      <c r="DC18" s="88">
        <v>0</v>
      </c>
      <c r="DD18" s="2" t="s">
        <v>52</v>
      </c>
      <c r="DE18" s="171">
        <f t="shared" si="0"/>
        <v>47828.454811420001</v>
      </c>
      <c r="DF18" s="165">
        <f t="shared" si="1"/>
        <v>15405.375105830017</v>
      </c>
      <c r="DG18" s="2" t="s">
        <v>52</v>
      </c>
      <c r="DH18" s="172">
        <f t="shared" si="2"/>
        <v>0.13275254374201886</v>
      </c>
      <c r="DI18" s="166">
        <f t="shared" si="3"/>
        <v>0.6764678792556591</v>
      </c>
      <c r="DJ18" s="158">
        <f t="shared" si="4"/>
        <v>-1.0584368562257751E-2</v>
      </c>
      <c r="DK18" s="155">
        <v>36</v>
      </c>
      <c r="DL18" s="155">
        <v>5670757</v>
      </c>
      <c r="DM18" s="155">
        <v>4745.2107856399998</v>
      </c>
      <c r="DN18" s="155">
        <v>3223.6397779700001</v>
      </c>
      <c r="DO18" s="155">
        <v>1521.57100766999</v>
      </c>
      <c r="DP18" s="155">
        <v>323655.44092959003</v>
      </c>
      <c r="DQ18" s="155">
        <v>325355.66783122998</v>
      </c>
      <c r="DR18" s="155">
        <v>0</v>
      </c>
      <c r="DS18" s="155">
        <v>0</v>
      </c>
      <c r="DT18" s="2" t="s">
        <v>52</v>
      </c>
      <c r="DU18" s="171">
        <f t="shared" si="5"/>
        <v>52573.665597059997</v>
      </c>
      <c r="DV18" s="165">
        <f t="shared" si="6"/>
        <v>16926.946113500006</v>
      </c>
      <c r="DW18" s="2" t="s">
        <v>52</v>
      </c>
      <c r="DX18" s="174">
        <f t="shared" si="7"/>
        <v>-0.10120254005460474</v>
      </c>
      <c r="DY18" s="169">
        <f t="shared" si="8"/>
        <v>-0.1727960939770993</v>
      </c>
      <c r="DZ18" s="158">
        <f t="shared" si="9"/>
        <v>1.1731082140692944E-2</v>
      </c>
      <c r="EA18" s="2" t="s">
        <v>52</v>
      </c>
      <c r="EB18" s="155">
        <v>36</v>
      </c>
      <c r="EC18" s="155">
        <v>5704774</v>
      </c>
      <c r="ED18" s="155">
        <v>4570.4625958099996</v>
      </c>
      <c r="EE18" s="155">
        <v>4852.9760107599996</v>
      </c>
      <c r="EF18" s="155">
        <v>-282.51341495000099</v>
      </c>
      <c r="EG18" s="155">
        <v>299019.05319019</v>
      </c>
      <c r="EH18" s="155">
        <v>311460.77184568002</v>
      </c>
      <c r="EI18" s="155">
        <v>0</v>
      </c>
      <c r="EJ18" s="155">
        <v>0</v>
      </c>
      <c r="EK18" s="2" t="s">
        <v>52</v>
      </c>
      <c r="EL18" s="171">
        <f t="shared" si="10"/>
        <v>57144.128192869997</v>
      </c>
      <c r="EM18" s="165">
        <f t="shared" si="11"/>
        <v>16644.432698550005</v>
      </c>
      <c r="EN18" s="2" t="s">
        <v>52</v>
      </c>
      <c r="EO18" s="174">
        <f t="shared" si="12"/>
        <v>-3.6826222843213789E-2</v>
      </c>
      <c r="EP18" s="169">
        <f t="shared" si="13"/>
        <v>-1.1856721858696684</v>
      </c>
      <c r="EQ18" s="158">
        <f t="shared" si="14"/>
        <v>-7.6119183007214083E-2</v>
      </c>
    </row>
    <row r="19" spans="1:147" ht="13" x14ac:dyDescent="0.5">
      <c r="A19" s="16" t="s">
        <v>4</v>
      </c>
      <c r="B19" s="16" t="s">
        <v>118</v>
      </c>
      <c r="C19" s="16" t="s">
        <v>131</v>
      </c>
      <c r="D19" s="16" t="s">
        <v>2</v>
      </c>
      <c r="E19" s="16" t="s">
        <v>118</v>
      </c>
      <c r="F19" s="177">
        <v>219203.85645640001</v>
      </c>
      <c r="G19" s="177">
        <v>214953.72593523</v>
      </c>
      <c r="H19" s="49" t="s">
        <v>52</v>
      </c>
      <c r="I19" s="15">
        <v>31</v>
      </c>
      <c r="J19" s="15">
        <v>5786464</v>
      </c>
      <c r="K19" s="14">
        <v>2442.8368727000002</v>
      </c>
      <c r="L19" s="14">
        <v>2594.3096652300001</v>
      </c>
      <c r="M19" s="14">
        <v>-151.47279252999999</v>
      </c>
      <c r="N19" s="14">
        <v>226008.03756942</v>
      </c>
      <c r="O19" s="14">
        <v>221668.36015423</v>
      </c>
      <c r="P19" s="15">
        <v>1</v>
      </c>
      <c r="Q19" s="14">
        <v>0</v>
      </c>
      <c r="R19" s="49" t="s">
        <v>52</v>
      </c>
      <c r="S19" s="15">
        <v>31</v>
      </c>
      <c r="T19" s="15">
        <v>5805601</v>
      </c>
      <c r="U19" s="14">
        <v>2625.0925840700002</v>
      </c>
      <c r="V19" s="14">
        <v>2283.7022737900002</v>
      </c>
      <c r="W19" s="14">
        <v>341.39031027999999</v>
      </c>
      <c r="X19" s="14">
        <v>231900.97609916001</v>
      </c>
      <c r="Y19" s="14">
        <v>229986.38955148001</v>
      </c>
      <c r="Z19" s="15">
        <v>1</v>
      </c>
      <c r="AA19" s="14">
        <v>0</v>
      </c>
      <c r="AB19" s="49" t="s">
        <v>52</v>
      </c>
      <c r="AC19" s="15">
        <v>31</v>
      </c>
      <c r="AD19" s="15">
        <v>5847771</v>
      </c>
      <c r="AE19" s="14">
        <v>3323.3975129599999</v>
      </c>
      <c r="AF19" s="14">
        <v>1991.8972348699999</v>
      </c>
      <c r="AG19" s="14">
        <v>1331.5002780899999</v>
      </c>
      <c r="AH19" s="14">
        <v>238686.35962141</v>
      </c>
      <c r="AI19" s="14">
        <v>236080.74234331</v>
      </c>
      <c r="AJ19" s="15">
        <v>1</v>
      </c>
      <c r="AK19" s="14">
        <v>0</v>
      </c>
      <c r="AL19" s="49" t="s">
        <v>52</v>
      </c>
      <c r="AM19" s="15">
        <v>31</v>
      </c>
      <c r="AN19" s="15">
        <v>5912528</v>
      </c>
      <c r="AO19" s="14">
        <v>4305.69448242</v>
      </c>
      <c r="AP19" s="14">
        <v>1942.13029039</v>
      </c>
      <c r="AQ19" s="14">
        <v>2363.56419203</v>
      </c>
      <c r="AR19" s="14">
        <v>237969.21354423001</v>
      </c>
      <c r="AS19" s="14">
        <v>240277.48253688999</v>
      </c>
      <c r="AT19" s="15">
        <v>1</v>
      </c>
      <c r="AU19" s="14">
        <v>0</v>
      </c>
      <c r="AV19" s="49" t="s">
        <v>52</v>
      </c>
      <c r="AW19" s="15">
        <v>31</v>
      </c>
      <c r="AX19" s="15">
        <v>5964898</v>
      </c>
      <c r="AY19" s="14">
        <v>3519.3809643200002</v>
      </c>
      <c r="AZ19" s="14">
        <v>1648.9854714999999</v>
      </c>
      <c r="BA19" s="14">
        <v>1870.3954928200001</v>
      </c>
      <c r="BB19" s="14">
        <v>236817.91054911999</v>
      </c>
      <c r="BC19" s="14">
        <v>238877.01303870999</v>
      </c>
      <c r="BD19" s="15">
        <v>1</v>
      </c>
      <c r="BE19" s="14">
        <v>0</v>
      </c>
      <c r="BF19" s="49" t="s">
        <v>52</v>
      </c>
      <c r="BG19" s="15">
        <v>31</v>
      </c>
      <c r="BH19" s="15">
        <v>6011535</v>
      </c>
      <c r="BI19" s="14">
        <v>4032.03076061</v>
      </c>
      <c r="BJ19" s="14">
        <v>2018.29650438</v>
      </c>
      <c r="BK19" s="14">
        <v>2013.73425623</v>
      </c>
      <c r="BL19" s="14">
        <v>241559.83442068999</v>
      </c>
      <c r="BM19" s="14">
        <v>243393.86207904</v>
      </c>
      <c r="BN19" s="18">
        <v>1</v>
      </c>
      <c r="BO19" s="19">
        <v>0</v>
      </c>
      <c r="BP19" s="49" t="s">
        <v>52</v>
      </c>
      <c r="BQ19" s="15">
        <v>31</v>
      </c>
      <c r="BR19" s="15">
        <v>6044444</v>
      </c>
      <c r="BS19" s="14">
        <v>3282.78819634</v>
      </c>
      <c r="BT19" s="14">
        <v>2143.61165575</v>
      </c>
      <c r="BU19" s="14">
        <v>1139.1765405900001</v>
      </c>
      <c r="BV19" s="14">
        <v>250052.41125162001</v>
      </c>
      <c r="BW19" s="14">
        <v>249009.90008138001</v>
      </c>
      <c r="BX19" s="18">
        <v>1</v>
      </c>
      <c r="BY19" s="19">
        <v>0</v>
      </c>
      <c r="BZ19" s="49" t="s">
        <v>52</v>
      </c>
      <c r="CA19" s="15">
        <v>31</v>
      </c>
      <c r="CB19" s="15">
        <v>6089957</v>
      </c>
      <c r="CC19" s="14">
        <v>3551.1002988800001</v>
      </c>
      <c r="CD19" s="14">
        <v>2165.76345051</v>
      </c>
      <c r="CE19" s="14">
        <v>1385.3368483700001</v>
      </c>
      <c r="CF19" s="14">
        <v>253121.17780773001</v>
      </c>
      <c r="CG19" s="14">
        <v>252228.23653985001</v>
      </c>
      <c r="CH19" s="18">
        <v>1</v>
      </c>
      <c r="CI19" s="14">
        <v>0</v>
      </c>
      <c r="CJ19" s="49" t="s">
        <v>52</v>
      </c>
      <c r="CK19" s="15">
        <v>31</v>
      </c>
      <c r="CL19" s="15">
        <v>6134634</v>
      </c>
      <c r="CM19" s="14">
        <v>3824.2099543300001</v>
      </c>
      <c r="CN19" s="14">
        <v>2310.3507498399999</v>
      </c>
      <c r="CO19" s="14">
        <v>1513.8592044899999</v>
      </c>
      <c r="CP19" s="112">
        <v>253233.72907447</v>
      </c>
      <c r="CQ19" s="14">
        <v>253602.36232583001</v>
      </c>
      <c r="CR19" s="15">
        <v>1</v>
      </c>
      <c r="CS19" s="14">
        <v>0</v>
      </c>
      <c r="CT19" s="2" t="s">
        <v>52</v>
      </c>
      <c r="CU19" s="87">
        <v>31</v>
      </c>
      <c r="CV19" s="87">
        <v>6177349</v>
      </c>
      <c r="CW19" s="88">
        <v>3973.7079815000002</v>
      </c>
      <c r="CX19" s="88">
        <v>2295.54438738</v>
      </c>
      <c r="CY19" s="88">
        <v>1678.16359412</v>
      </c>
      <c r="CZ19" s="111">
        <v>249182.02971813999</v>
      </c>
      <c r="DA19" s="88">
        <v>252120.46850725001</v>
      </c>
      <c r="DB19" s="87">
        <v>1</v>
      </c>
      <c r="DC19" s="88">
        <v>0</v>
      </c>
      <c r="DD19" s="2" t="s">
        <v>52</v>
      </c>
      <c r="DE19" s="171">
        <f t="shared" si="0"/>
        <v>34880.239608130003</v>
      </c>
      <c r="DF19" s="165">
        <f t="shared" si="1"/>
        <v>13485.64792449</v>
      </c>
      <c r="DG19" s="2" t="s">
        <v>52</v>
      </c>
      <c r="DH19" s="172">
        <f t="shared" si="2"/>
        <v>3.9092526026383433E-2</v>
      </c>
      <c r="DI19" s="166">
        <f t="shared" si="3"/>
        <v>0.10853346806802429</v>
      </c>
      <c r="DJ19" s="158">
        <f t="shared" si="4"/>
        <v>-1.5999840823488792E-2</v>
      </c>
      <c r="DK19" s="155">
        <v>31</v>
      </c>
      <c r="DL19" s="155">
        <v>6219899</v>
      </c>
      <c r="DM19" s="155">
        <v>3464.7081994</v>
      </c>
      <c r="DN19" s="155">
        <v>2045.50026908</v>
      </c>
      <c r="DO19" s="155">
        <v>1419.2079303200001</v>
      </c>
      <c r="DP19" s="155">
        <v>252393.85970383999</v>
      </c>
      <c r="DQ19" s="155">
        <v>254563.78756160001</v>
      </c>
      <c r="DR19" s="155">
        <v>1</v>
      </c>
      <c r="DS19" s="155">
        <v>0</v>
      </c>
      <c r="DT19" s="2" t="s">
        <v>52</v>
      </c>
      <c r="DU19" s="171">
        <f t="shared" si="5"/>
        <v>38344.947807529999</v>
      </c>
      <c r="DV19" s="165">
        <f t="shared" si="6"/>
        <v>14904.855854810001</v>
      </c>
      <c r="DW19" s="2" t="s">
        <v>52</v>
      </c>
      <c r="DX19" s="174">
        <f t="shared" si="7"/>
        <v>-0.12809189413759145</v>
      </c>
      <c r="DY19" s="169">
        <f t="shared" si="8"/>
        <v>-0.15430895099103362</v>
      </c>
      <c r="DZ19" s="158">
        <f t="shared" si="9"/>
        <v>1.2889492831136449E-2</v>
      </c>
      <c r="EA19" s="2" t="s">
        <v>52</v>
      </c>
      <c r="EB19" s="155">
        <v>31</v>
      </c>
      <c r="EC19" s="155">
        <v>6254655</v>
      </c>
      <c r="ED19" s="155">
        <v>3527.2115597500001</v>
      </c>
      <c r="EE19" s="155">
        <v>2532.6810259200001</v>
      </c>
      <c r="EF19" s="155">
        <v>994.53053382999894</v>
      </c>
      <c r="EG19" s="155">
        <v>232005.53230242</v>
      </c>
      <c r="EH19" s="155">
        <v>242445.83251524999</v>
      </c>
      <c r="EI19" s="155">
        <v>1</v>
      </c>
      <c r="EJ19" s="155">
        <v>0</v>
      </c>
      <c r="EK19" s="2" t="s">
        <v>52</v>
      </c>
      <c r="EL19" s="171">
        <f t="shared" si="10"/>
        <v>41872.159367280001</v>
      </c>
      <c r="EM19" s="165">
        <f t="shared" si="11"/>
        <v>15899.386388639999</v>
      </c>
      <c r="EN19" s="2" t="s">
        <v>52</v>
      </c>
      <c r="EO19" s="174">
        <f t="shared" si="12"/>
        <v>1.8040007051913953E-2</v>
      </c>
      <c r="EP19" s="169">
        <f t="shared" si="13"/>
        <v>-0.29923550130828663</v>
      </c>
      <c r="EQ19" s="158">
        <f t="shared" si="14"/>
        <v>-8.0779807501433404E-2</v>
      </c>
    </row>
    <row r="20" spans="1:147" ht="13" x14ac:dyDescent="0.5">
      <c r="A20" s="16" t="s">
        <v>105</v>
      </c>
      <c r="B20" s="16" t="s">
        <v>85</v>
      </c>
      <c r="C20" s="16" t="s">
        <v>131</v>
      </c>
      <c r="D20" s="16" t="s">
        <v>6</v>
      </c>
      <c r="E20" s="16" t="s">
        <v>7</v>
      </c>
      <c r="F20" s="177">
        <v>25030.808595359998</v>
      </c>
      <c r="G20" s="177">
        <v>26287.87223356</v>
      </c>
      <c r="H20" s="49" t="s">
        <v>52</v>
      </c>
      <c r="I20" s="15">
        <v>53</v>
      </c>
      <c r="J20" s="15">
        <v>1382180</v>
      </c>
      <c r="K20" s="14">
        <v>334.90833284000001</v>
      </c>
      <c r="L20" s="14">
        <v>711.73127900999998</v>
      </c>
      <c r="M20" s="14">
        <v>-376.82294617000002</v>
      </c>
      <c r="N20" s="14">
        <v>24836.170970250001</v>
      </c>
      <c r="O20" s="14">
        <v>24101.524828819998</v>
      </c>
      <c r="P20" s="15">
        <v>0</v>
      </c>
      <c r="Q20" s="14">
        <v>0</v>
      </c>
      <c r="R20" s="49" t="s">
        <v>52</v>
      </c>
      <c r="S20" s="15">
        <v>53</v>
      </c>
      <c r="T20" s="15">
        <v>1377236</v>
      </c>
      <c r="U20" s="14">
        <v>394.07504034999999</v>
      </c>
      <c r="V20" s="14">
        <v>351.24607207999998</v>
      </c>
      <c r="W20" s="14">
        <v>42.828968269999997</v>
      </c>
      <c r="X20" s="14">
        <v>27014.14923911</v>
      </c>
      <c r="Y20" s="14">
        <v>26413.733211409999</v>
      </c>
      <c r="Z20" s="15">
        <v>0</v>
      </c>
      <c r="AA20" s="14">
        <v>0</v>
      </c>
      <c r="AB20" s="49" t="s">
        <v>52</v>
      </c>
      <c r="AC20" s="15">
        <v>52</v>
      </c>
      <c r="AD20" s="15">
        <v>1375052</v>
      </c>
      <c r="AE20" s="14">
        <v>406.33591068999999</v>
      </c>
      <c r="AF20" s="14">
        <v>377.53758263999998</v>
      </c>
      <c r="AG20" s="14">
        <v>28.798328050000102</v>
      </c>
      <c r="AH20" s="14">
        <v>28695.42836012</v>
      </c>
      <c r="AI20" s="14">
        <v>27984.342277380001</v>
      </c>
      <c r="AJ20" s="15">
        <v>0</v>
      </c>
      <c r="AK20" s="14">
        <v>0</v>
      </c>
      <c r="AL20" s="49" t="s">
        <v>52</v>
      </c>
      <c r="AM20" s="15">
        <v>52</v>
      </c>
      <c r="AN20" s="15">
        <v>1391034</v>
      </c>
      <c r="AO20" s="14">
        <v>562.11439195000003</v>
      </c>
      <c r="AP20" s="14">
        <v>365.51825126</v>
      </c>
      <c r="AQ20" s="14">
        <v>196.59614069</v>
      </c>
      <c r="AR20" s="14">
        <v>30167.65388854</v>
      </c>
      <c r="AS20" s="14">
        <v>29233.808783510001</v>
      </c>
      <c r="AT20" s="15">
        <v>0</v>
      </c>
      <c r="AU20" s="14">
        <v>0</v>
      </c>
      <c r="AV20" s="49" t="s">
        <v>52</v>
      </c>
      <c r="AW20" s="15">
        <v>52</v>
      </c>
      <c r="AX20" s="15">
        <v>1415559</v>
      </c>
      <c r="AY20" s="14">
        <v>789.70459215999995</v>
      </c>
      <c r="AZ20" s="14">
        <v>289.10395735999998</v>
      </c>
      <c r="BA20" s="14">
        <v>500.60063480000002</v>
      </c>
      <c r="BB20" s="14">
        <v>31358.494129999999</v>
      </c>
      <c r="BC20" s="14">
        <v>30632.00988215</v>
      </c>
      <c r="BD20" s="15">
        <v>0</v>
      </c>
      <c r="BE20" s="14">
        <v>0</v>
      </c>
      <c r="BF20" s="49" t="s">
        <v>52</v>
      </c>
      <c r="BG20" s="15">
        <v>52</v>
      </c>
      <c r="BH20" s="15">
        <v>1483745</v>
      </c>
      <c r="BI20" s="14">
        <v>1375.0280896199999</v>
      </c>
      <c r="BJ20" s="14">
        <v>413.09120795000001</v>
      </c>
      <c r="BK20" s="14">
        <v>961.93688167000005</v>
      </c>
      <c r="BL20" s="14">
        <v>34424.153778940003</v>
      </c>
      <c r="BM20" s="14">
        <v>33100.710176790002</v>
      </c>
      <c r="BN20" s="18">
        <v>0</v>
      </c>
      <c r="BO20" s="19">
        <v>0</v>
      </c>
      <c r="BP20" s="49" t="s">
        <v>52</v>
      </c>
      <c r="BQ20" s="15">
        <v>52</v>
      </c>
      <c r="BR20" s="15">
        <v>1558989</v>
      </c>
      <c r="BS20" s="14">
        <v>1333.69076197</v>
      </c>
      <c r="BT20" s="14">
        <v>519.58062022000001</v>
      </c>
      <c r="BU20" s="14">
        <v>814.110141749999</v>
      </c>
      <c r="BV20" s="14">
        <v>36090.86421521</v>
      </c>
      <c r="BW20" s="14">
        <v>35039.366369579999</v>
      </c>
      <c r="BX20" s="18">
        <v>0</v>
      </c>
      <c r="BY20" s="19">
        <v>0</v>
      </c>
      <c r="BZ20" s="49" t="s">
        <v>52</v>
      </c>
      <c r="CA20" s="15">
        <v>52</v>
      </c>
      <c r="CB20" s="15">
        <v>1612175</v>
      </c>
      <c r="CC20" s="14">
        <v>753.80522295000105</v>
      </c>
      <c r="CD20" s="14">
        <v>558.12624360999996</v>
      </c>
      <c r="CE20" s="14">
        <v>195.67897934000101</v>
      </c>
      <c r="CF20" s="14">
        <v>35964.967636460002</v>
      </c>
      <c r="CG20" s="14">
        <v>35287.949552550002</v>
      </c>
      <c r="CH20" s="18">
        <v>0</v>
      </c>
      <c r="CI20" s="14">
        <v>0</v>
      </c>
      <c r="CJ20" s="49" t="s">
        <v>52</v>
      </c>
      <c r="CK20" s="15">
        <v>52</v>
      </c>
      <c r="CL20" s="15">
        <v>1638654</v>
      </c>
      <c r="CM20" s="14">
        <v>829.61512825999898</v>
      </c>
      <c r="CN20" s="14">
        <v>683.04616668999995</v>
      </c>
      <c r="CO20" s="14">
        <v>146.56896157</v>
      </c>
      <c r="CP20" s="14">
        <v>36584.529326600001</v>
      </c>
      <c r="CQ20" s="14">
        <v>36466.87294917</v>
      </c>
      <c r="CR20" s="15">
        <v>0</v>
      </c>
      <c r="CS20" s="14">
        <v>0</v>
      </c>
      <c r="CT20" s="2" t="s">
        <v>52</v>
      </c>
      <c r="CU20" s="87">
        <v>52</v>
      </c>
      <c r="CV20" s="87">
        <v>1682977</v>
      </c>
      <c r="CW20" s="88">
        <v>1285.5200636100001</v>
      </c>
      <c r="CX20" s="88">
        <v>404.01516666999999</v>
      </c>
      <c r="CY20" s="88">
        <v>881.50489693999998</v>
      </c>
      <c r="CZ20" s="88">
        <v>39229.082234250003</v>
      </c>
      <c r="DA20" s="88">
        <v>38154.74231265</v>
      </c>
      <c r="DB20" s="87">
        <v>0</v>
      </c>
      <c r="DC20" s="88">
        <v>0</v>
      </c>
      <c r="DD20" s="2" t="s">
        <v>52</v>
      </c>
      <c r="DE20" s="171">
        <f t="shared" si="0"/>
        <v>8064.7975343999988</v>
      </c>
      <c r="DF20" s="165">
        <f t="shared" si="1"/>
        <v>3391.8009869100001</v>
      </c>
      <c r="DG20" s="2" t="s">
        <v>52</v>
      </c>
      <c r="DH20" s="172">
        <f t="shared" si="2"/>
        <v>0.54953787584153335</v>
      </c>
      <c r="DI20" s="166">
        <f t="shared" si="3"/>
        <v>5.0142671920275648</v>
      </c>
      <c r="DJ20" s="158">
        <f t="shared" si="4"/>
        <v>7.2286098969358406E-2</v>
      </c>
      <c r="DK20" s="155">
        <v>52</v>
      </c>
      <c r="DL20" s="155">
        <v>1727097</v>
      </c>
      <c r="DM20" s="155">
        <v>1412.53856709</v>
      </c>
      <c r="DN20" s="155">
        <v>508.76545214999999</v>
      </c>
      <c r="DO20" s="155">
        <v>903.77311494000105</v>
      </c>
      <c r="DP20" s="155">
        <v>39595.60863712</v>
      </c>
      <c r="DQ20" s="155">
        <v>38666.724000560003</v>
      </c>
      <c r="DR20" s="155">
        <v>0</v>
      </c>
      <c r="DS20" s="155">
        <v>0</v>
      </c>
      <c r="DT20" s="2" t="s">
        <v>52</v>
      </c>
      <c r="DU20" s="171">
        <f t="shared" si="5"/>
        <v>9477.3361014899983</v>
      </c>
      <c r="DV20" s="165">
        <f t="shared" si="6"/>
        <v>4295.5741018500012</v>
      </c>
      <c r="DW20" s="2" t="s">
        <v>52</v>
      </c>
      <c r="DX20" s="174">
        <f t="shared" si="7"/>
        <v>9.8807095334868839E-2</v>
      </c>
      <c r="DY20" s="169">
        <f t="shared" si="8"/>
        <v>2.5261593074867247E-2</v>
      </c>
      <c r="DZ20" s="158">
        <f t="shared" si="9"/>
        <v>9.343231653530527E-3</v>
      </c>
      <c r="EA20" s="2" t="s">
        <v>52</v>
      </c>
      <c r="EB20" s="155">
        <v>52</v>
      </c>
      <c r="EC20" s="155">
        <v>1743628</v>
      </c>
      <c r="ED20" s="155">
        <v>953.79582254000002</v>
      </c>
      <c r="EE20" s="155">
        <v>423.04874967000001</v>
      </c>
      <c r="EF20" s="155">
        <v>530.74707287000001</v>
      </c>
      <c r="EG20" s="155">
        <v>38286.58428761</v>
      </c>
      <c r="EH20" s="155">
        <v>38809.769688779998</v>
      </c>
      <c r="EI20" s="155">
        <v>0</v>
      </c>
      <c r="EJ20" s="155">
        <v>0</v>
      </c>
      <c r="EK20" s="2" t="s">
        <v>52</v>
      </c>
      <c r="EL20" s="171">
        <f t="shared" si="10"/>
        <v>10431.131924029998</v>
      </c>
      <c r="EM20" s="165">
        <f t="shared" si="11"/>
        <v>4826.3211747200012</v>
      </c>
      <c r="EN20" s="2" t="s">
        <v>52</v>
      </c>
      <c r="EO20" s="174">
        <f t="shared" si="12"/>
        <v>-0.32476475703956559</v>
      </c>
      <c r="EP20" s="169">
        <f t="shared" si="13"/>
        <v>-0.41274301691831716</v>
      </c>
      <c r="EQ20" s="158">
        <f t="shared" si="14"/>
        <v>-3.3059836546692686E-2</v>
      </c>
    </row>
    <row r="21" spans="1:147" ht="13" x14ac:dyDescent="0.5">
      <c r="A21" s="16" t="s">
        <v>21</v>
      </c>
      <c r="B21" s="16" t="s">
        <v>87</v>
      </c>
      <c r="C21" s="16" t="s">
        <v>131</v>
      </c>
      <c r="D21" s="16" t="s">
        <v>2</v>
      </c>
      <c r="E21" s="16" t="s">
        <v>2</v>
      </c>
      <c r="F21" s="177">
        <v>144791.03750303001</v>
      </c>
      <c r="G21" s="177">
        <v>139975.77951952</v>
      </c>
      <c r="H21" s="49" t="s">
        <v>52</v>
      </c>
      <c r="I21" s="15">
        <v>28</v>
      </c>
      <c r="J21" s="15">
        <v>5233413</v>
      </c>
      <c r="K21" s="14">
        <v>2409.0274406600001</v>
      </c>
      <c r="L21" s="14">
        <v>1524.26992064</v>
      </c>
      <c r="M21" s="14">
        <v>884.75752002000002</v>
      </c>
      <c r="N21" s="14">
        <v>150223.04519614001</v>
      </c>
      <c r="O21" s="14">
        <v>145808.93101857</v>
      </c>
      <c r="P21" s="15">
        <v>0</v>
      </c>
      <c r="Q21" s="14">
        <v>0</v>
      </c>
      <c r="R21" s="49" t="s">
        <v>52</v>
      </c>
      <c r="S21" s="15">
        <v>28</v>
      </c>
      <c r="T21" s="15">
        <v>5246530</v>
      </c>
      <c r="U21" s="14">
        <v>2715.7807756299999</v>
      </c>
      <c r="V21" s="14">
        <v>1768.6016261300001</v>
      </c>
      <c r="W21" s="14">
        <v>947.17914949999999</v>
      </c>
      <c r="X21" s="14">
        <v>155870.43706572001</v>
      </c>
      <c r="Y21" s="14">
        <v>153127.92285559</v>
      </c>
      <c r="Z21" s="15">
        <v>0</v>
      </c>
      <c r="AA21" s="14">
        <v>0</v>
      </c>
      <c r="AB21" s="49" t="s">
        <v>52</v>
      </c>
      <c r="AC21" s="15">
        <v>28</v>
      </c>
      <c r="AD21" s="15">
        <v>5270077</v>
      </c>
      <c r="AE21" s="14">
        <v>2338.9051508100001</v>
      </c>
      <c r="AF21" s="14">
        <v>1373.8587352899999</v>
      </c>
      <c r="AG21" s="14">
        <v>965.04641551999998</v>
      </c>
      <c r="AH21" s="14">
        <v>162172.56565809</v>
      </c>
      <c r="AI21" s="14">
        <v>158520.26016676999</v>
      </c>
      <c r="AJ21" s="15">
        <v>0</v>
      </c>
      <c r="AK21" s="14">
        <v>0</v>
      </c>
      <c r="AL21" s="49" t="s">
        <v>52</v>
      </c>
      <c r="AM21" s="15">
        <v>28</v>
      </c>
      <c r="AN21" s="15">
        <v>5298700</v>
      </c>
      <c r="AO21" s="14">
        <v>2981.6852032400002</v>
      </c>
      <c r="AP21" s="14">
        <v>1375.7235318999999</v>
      </c>
      <c r="AQ21" s="14">
        <v>1605.9616713400001</v>
      </c>
      <c r="AR21" s="14">
        <v>160567.17803635</v>
      </c>
      <c r="AS21" s="14">
        <v>161580.84632317</v>
      </c>
      <c r="AT21" s="15">
        <v>0</v>
      </c>
      <c r="AU21" s="14">
        <v>0</v>
      </c>
      <c r="AV21" s="49" t="s">
        <v>52</v>
      </c>
      <c r="AW21" s="15">
        <v>28</v>
      </c>
      <c r="AX21" s="15">
        <v>5325168</v>
      </c>
      <c r="AY21" s="14">
        <v>2315.8984577400001</v>
      </c>
      <c r="AZ21" s="14">
        <v>1160.7197008099999</v>
      </c>
      <c r="BA21" s="14">
        <v>1155.17875693</v>
      </c>
      <c r="BB21" s="14">
        <v>159952.07218752001</v>
      </c>
      <c r="BC21" s="14">
        <v>160556.69104017</v>
      </c>
      <c r="BD21" s="15">
        <v>0</v>
      </c>
      <c r="BE21" s="14">
        <v>0</v>
      </c>
      <c r="BF21" s="49" t="s">
        <v>52</v>
      </c>
      <c r="BG21" s="15">
        <v>28</v>
      </c>
      <c r="BH21" s="15">
        <v>5346169</v>
      </c>
      <c r="BI21" s="14">
        <v>2866.8032488200001</v>
      </c>
      <c r="BJ21" s="14">
        <v>1459.57573342</v>
      </c>
      <c r="BK21" s="14">
        <v>1407.2275153999999</v>
      </c>
      <c r="BL21" s="14">
        <v>162968.75162739999</v>
      </c>
      <c r="BM21" s="14">
        <v>164734.31961487999</v>
      </c>
      <c r="BN21" s="18">
        <v>0</v>
      </c>
      <c r="BO21" s="19">
        <v>0</v>
      </c>
      <c r="BP21" s="49" t="s">
        <v>52</v>
      </c>
      <c r="BQ21" s="15">
        <v>28</v>
      </c>
      <c r="BR21" s="15">
        <v>5359834</v>
      </c>
      <c r="BS21" s="14">
        <v>2538.69326611</v>
      </c>
      <c r="BT21" s="14">
        <v>1599.63494681</v>
      </c>
      <c r="BU21" s="14">
        <v>939.05831929999999</v>
      </c>
      <c r="BV21" s="14">
        <v>170127.72426613999</v>
      </c>
      <c r="BW21" s="14">
        <v>168387.19951814</v>
      </c>
      <c r="BX21" s="18">
        <v>0</v>
      </c>
      <c r="BY21" s="19">
        <v>0</v>
      </c>
      <c r="BZ21" s="49" t="s">
        <v>52</v>
      </c>
      <c r="CA21" s="15">
        <v>28</v>
      </c>
      <c r="CB21" s="15">
        <v>5386533</v>
      </c>
      <c r="CC21" s="14">
        <v>3575.7647985399999</v>
      </c>
      <c r="CD21" s="14">
        <v>1536.03010595</v>
      </c>
      <c r="CE21" s="14">
        <v>2039.7346925899999</v>
      </c>
      <c r="CF21" s="14">
        <v>174618.42302677999</v>
      </c>
      <c r="CG21" s="14">
        <v>172377.75740525001</v>
      </c>
      <c r="CH21" s="18">
        <v>0</v>
      </c>
      <c r="CI21" s="14">
        <v>0</v>
      </c>
      <c r="CJ21" s="49" t="s">
        <v>52</v>
      </c>
      <c r="CK21" s="15">
        <v>28</v>
      </c>
      <c r="CL21" s="15">
        <v>5415223</v>
      </c>
      <c r="CM21" s="14">
        <v>2720.2335842399998</v>
      </c>
      <c r="CN21" s="14">
        <v>1663.4088710399999</v>
      </c>
      <c r="CO21" s="14">
        <v>1056.8247131999999</v>
      </c>
      <c r="CP21" s="112">
        <v>174834.13304965</v>
      </c>
      <c r="CQ21" s="14">
        <v>174196.74026538999</v>
      </c>
      <c r="CR21" s="15">
        <v>0</v>
      </c>
      <c r="CS21" s="14">
        <v>0</v>
      </c>
      <c r="CT21" s="2" t="s">
        <v>52</v>
      </c>
      <c r="CU21" s="87">
        <v>28</v>
      </c>
      <c r="CV21" s="87">
        <v>5450285</v>
      </c>
      <c r="CW21" s="88">
        <v>3280.7989900900002</v>
      </c>
      <c r="CX21" s="88">
        <v>1723.8434718999999</v>
      </c>
      <c r="CY21" s="88">
        <v>1556.95551819</v>
      </c>
      <c r="CZ21" s="111">
        <v>171535.16248850999</v>
      </c>
      <c r="DA21" s="88">
        <v>173290.06214351</v>
      </c>
      <c r="DB21" s="87">
        <v>0</v>
      </c>
      <c r="DC21" s="88">
        <v>0</v>
      </c>
      <c r="DD21" s="2" t="s">
        <v>52</v>
      </c>
      <c r="DE21" s="171">
        <f t="shared" si="0"/>
        <v>27743.590915879999</v>
      </c>
      <c r="DF21" s="165">
        <f t="shared" si="1"/>
        <v>12557.924271989999</v>
      </c>
      <c r="DG21" s="2" t="s">
        <v>52</v>
      </c>
      <c r="DH21" s="172">
        <f t="shared" si="2"/>
        <v>0.20607252593957498</v>
      </c>
      <c r="DI21" s="166">
        <f t="shared" si="3"/>
        <v>0.47323912730582818</v>
      </c>
      <c r="DJ21" s="158">
        <f t="shared" si="4"/>
        <v>-1.8869144735045303E-2</v>
      </c>
      <c r="DK21" s="155">
        <v>28</v>
      </c>
      <c r="DL21" s="155">
        <v>5487816</v>
      </c>
      <c r="DM21" s="155">
        <v>2467.1430642999999</v>
      </c>
      <c r="DN21" s="155">
        <v>1566.4257292</v>
      </c>
      <c r="DO21" s="155">
        <v>900.71733510000195</v>
      </c>
      <c r="DP21" s="155">
        <v>172879.66270767001</v>
      </c>
      <c r="DQ21" s="155">
        <v>174581.19074295001</v>
      </c>
      <c r="DR21" s="155">
        <v>0</v>
      </c>
      <c r="DS21" s="155">
        <v>0</v>
      </c>
      <c r="DT21" s="2" t="s">
        <v>52</v>
      </c>
      <c r="DU21" s="171">
        <f t="shared" si="5"/>
        <v>30210.733980179997</v>
      </c>
      <c r="DV21" s="165">
        <f t="shared" si="6"/>
        <v>13458.641607090001</v>
      </c>
      <c r="DW21" s="2" t="s">
        <v>52</v>
      </c>
      <c r="DX21" s="174">
        <f t="shared" si="7"/>
        <v>-0.24800541826784694</v>
      </c>
      <c r="DY21" s="169">
        <f t="shared" si="8"/>
        <v>-0.42148807427259805</v>
      </c>
      <c r="DZ21" s="158">
        <f t="shared" si="9"/>
        <v>7.8380443965830084E-3</v>
      </c>
      <c r="EA21" s="2" t="s">
        <v>52</v>
      </c>
      <c r="EB21" s="155">
        <v>28</v>
      </c>
      <c r="EC21" s="155">
        <v>5514885</v>
      </c>
      <c r="ED21" s="155">
        <v>4371.4559135500003</v>
      </c>
      <c r="EE21" s="155">
        <v>1946.87014086</v>
      </c>
      <c r="EF21" s="155">
        <v>2424.5857726899999</v>
      </c>
      <c r="EG21" s="155">
        <v>155861.22150173</v>
      </c>
      <c r="EH21" s="155">
        <v>163751.30238908</v>
      </c>
      <c r="EI21" s="155">
        <v>0</v>
      </c>
      <c r="EJ21" s="155">
        <v>0</v>
      </c>
      <c r="EK21" s="2" t="s">
        <v>52</v>
      </c>
      <c r="EL21" s="171">
        <f t="shared" si="10"/>
        <v>34582.189893729999</v>
      </c>
      <c r="EM21" s="165">
        <f t="shared" si="11"/>
        <v>15883.227379780001</v>
      </c>
      <c r="EN21" s="2" t="s">
        <v>52</v>
      </c>
      <c r="EO21" s="174">
        <f t="shared" si="12"/>
        <v>0.77186964826067328</v>
      </c>
      <c r="EP21" s="169">
        <f t="shared" si="13"/>
        <v>1.69183869145897</v>
      </c>
      <c r="EQ21" s="158">
        <f t="shared" si="14"/>
        <v>-9.8440967198769075E-2</v>
      </c>
    </row>
    <row r="22" spans="1:147" ht="13" x14ac:dyDescent="0.5">
      <c r="A22" s="16" t="s">
        <v>43</v>
      </c>
      <c r="B22" s="16" t="s">
        <v>87</v>
      </c>
      <c r="C22" s="16" t="s">
        <v>131</v>
      </c>
      <c r="D22" s="16" t="s">
        <v>2</v>
      </c>
      <c r="E22" s="16" t="s">
        <v>2</v>
      </c>
      <c r="F22" s="177">
        <v>183906.06511937999</v>
      </c>
      <c r="G22" s="177">
        <v>178490.5724868</v>
      </c>
      <c r="H22" s="49" t="s">
        <v>52</v>
      </c>
      <c r="I22" s="15">
        <v>24</v>
      </c>
      <c r="J22" s="15">
        <v>8307959</v>
      </c>
      <c r="K22" s="14">
        <v>2713.7137660200001</v>
      </c>
      <c r="L22" s="14">
        <v>1640.5000126</v>
      </c>
      <c r="M22" s="14">
        <v>1073.2137534200001</v>
      </c>
      <c r="N22" s="14">
        <v>190856.60220347001</v>
      </c>
      <c r="O22" s="14">
        <v>184757.14555628001</v>
      </c>
      <c r="P22" s="15">
        <v>0</v>
      </c>
      <c r="Q22" s="14">
        <v>0</v>
      </c>
      <c r="R22" s="49" t="s">
        <v>52</v>
      </c>
      <c r="S22" s="15">
        <v>24</v>
      </c>
      <c r="T22" s="15">
        <v>8368668</v>
      </c>
      <c r="U22" s="14">
        <v>2812.7100481100001</v>
      </c>
      <c r="V22" s="14">
        <v>2904.98957969</v>
      </c>
      <c r="W22" s="14">
        <v>-92.2795315799995</v>
      </c>
      <c r="X22" s="14">
        <v>196339.39359886001</v>
      </c>
      <c r="Y22" s="14">
        <v>193702.93213011001</v>
      </c>
      <c r="Z22" s="15">
        <v>0</v>
      </c>
      <c r="AA22" s="14">
        <v>0</v>
      </c>
      <c r="AB22" s="49" t="s">
        <v>52</v>
      </c>
      <c r="AC22" s="15">
        <v>24</v>
      </c>
      <c r="AD22" s="15">
        <v>8450603</v>
      </c>
      <c r="AE22" s="14">
        <v>2803.5816528400001</v>
      </c>
      <c r="AF22" s="14">
        <v>1644.1425053299999</v>
      </c>
      <c r="AG22" s="14">
        <v>1159.4391475100001</v>
      </c>
      <c r="AH22" s="14">
        <v>203756.28392223999</v>
      </c>
      <c r="AI22" s="14">
        <v>199511.25331412</v>
      </c>
      <c r="AJ22" s="15">
        <v>0</v>
      </c>
      <c r="AK22" s="14">
        <v>0</v>
      </c>
      <c r="AL22" s="49" t="s">
        <v>52</v>
      </c>
      <c r="AM22" s="15">
        <v>24</v>
      </c>
      <c r="AN22" s="15">
        <v>8547004</v>
      </c>
      <c r="AO22" s="14">
        <v>3135.2836849999999</v>
      </c>
      <c r="AP22" s="14">
        <v>1665.2760367599999</v>
      </c>
      <c r="AQ22" s="14">
        <v>1470.00764824</v>
      </c>
      <c r="AR22" s="14">
        <v>201203.7874304</v>
      </c>
      <c r="AS22" s="14">
        <v>203431.47962057</v>
      </c>
      <c r="AT22" s="15">
        <v>0</v>
      </c>
      <c r="AU22" s="14">
        <v>0</v>
      </c>
      <c r="AV22" s="49" t="s">
        <v>52</v>
      </c>
      <c r="AW22" s="15">
        <v>24</v>
      </c>
      <c r="AX22" s="15">
        <v>8612986</v>
      </c>
      <c r="AY22" s="14">
        <v>2576.5061277</v>
      </c>
      <c r="AZ22" s="14">
        <v>1435.4749432399999</v>
      </c>
      <c r="BA22" s="14">
        <v>1141.0311844600001</v>
      </c>
      <c r="BB22" s="14">
        <v>198969.55748004999</v>
      </c>
      <c r="BC22" s="14">
        <v>200275.62927067</v>
      </c>
      <c r="BD22" s="15">
        <v>0</v>
      </c>
      <c r="BE22" s="14">
        <v>0</v>
      </c>
      <c r="BF22" s="49" t="s">
        <v>52</v>
      </c>
      <c r="BG22" s="15">
        <v>25</v>
      </c>
      <c r="BH22" s="15">
        <v>8785142</v>
      </c>
      <c r="BI22" s="14">
        <v>4033.7857802399999</v>
      </c>
      <c r="BJ22" s="14">
        <v>1925.85475296</v>
      </c>
      <c r="BK22" s="14">
        <v>2107.9310272799999</v>
      </c>
      <c r="BL22" s="14">
        <v>204298.57642296</v>
      </c>
      <c r="BM22" s="14">
        <v>205770.81304821</v>
      </c>
      <c r="BN22" s="18">
        <v>0</v>
      </c>
      <c r="BO22" s="19">
        <v>0</v>
      </c>
      <c r="BP22" s="49" t="s">
        <v>52</v>
      </c>
      <c r="BQ22" s="15">
        <v>25</v>
      </c>
      <c r="BR22" s="15">
        <v>8788244</v>
      </c>
      <c r="BS22" s="14">
        <v>2590.6719140199998</v>
      </c>
      <c r="BT22" s="14">
        <v>2222.2821149199999</v>
      </c>
      <c r="BU22" s="14">
        <v>368.38979909999898</v>
      </c>
      <c r="BV22" s="14">
        <v>213021.3496557</v>
      </c>
      <c r="BW22" s="14">
        <v>210507.56854407999</v>
      </c>
      <c r="BX22" s="18">
        <v>0</v>
      </c>
      <c r="BY22" s="19">
        <v>0</v>
      </c>
      <c r="BZ22" s="49" t="s">
        <v>52</v>
      </c>
      <c r="CA22" s="15">
        <v>25</v>
      </c>
      <c r="CB22" s="15">
        <v>8830956</v>
      </c>
      <c r="CC22" s="14">
        <v>3215.1080496499999</v>
      </c>
      <c r="CD22" s="14">
        <v>1995.66394969</v>
      </c>
      <c r="CE22" s="14">
        <v>1219.4440999599999</v>
      </c>
      <c r="CF22" s="14">
        <v>217555.4410851</v>
      </c>
      <c r="CG22" s="14">
        <v>215017.29110952999</v>
      </c>
      <c r="CH22" s="18">
        <v>0</v>
      </c>
      <c r="CI22" s="14">
        <v>0</v>
      </c>
      <c r="CJ22" s="49" t="s">
        <v>52</v>
      </c>
      <c r="CK22" s="15">
        <v>25</v>
      </c>
      <c r="CL22" s="15">
        <v>8857029</v>
      </c>
      <c r="CM22" s="14">
        <v>3444.8384782100002</v>
      </c>
      <c r="CN22" s="14">
        <v>2356.32817527</v>
      </c>
      <c r="CO22" s="14">
        <v>1088.51030294</v>
      </c>
      <c r="CP22" s="112">
        <v>219127.72184817999</v>
      </c>
      <c r="CQ22" s="14">
        <v>217176.20433529999</v>
      </c>
      <c r="CR22" s="15">
        <v>0</v>
      </c>
      <c r="CS22" s="14">
        <v>0</v>
      </c>
      <c r="CT22" s="2" t="s">
        <v>52</v>
      </c>
      <c r="CU22" s="87">
        <v>25</v>
      </c>
      <c r="CV22" s="87">
        <v>8885986</v>
      </c>
      <c r="CW22" s="88">
        <v>3054.7943743999999</v>
      </c>
      <c r="CX22" s="88">
        <v>2061.9068453499999</v>
      </c>
      <c r="CY22" s="88">
        <v>992.88752905000001</v>
      </c>
      <c r="CZ22" s="111">
        <v>214214.78468864999</v>
      </c>
      <c r="DA22" s="88">
        <v>215977.28429606999</v>
      </c>
      <c r="DB22" s="87">
        <v>0</v>
      </c>
      <c r="DC22" s="88">
        <v>0</v>
      </c>
      <c r="DD22" s="2" t="s">
        <v>52</v>
      </c>
      <c r="DE22" s="171">
        <f t="shared" si="0"/>
        <v>30380.993876190001</v>
      </c>
      <c r="DF22" s="165">
        <f t="shared" si="1"/>
        <v>10528.57496038</v>
      </c>
      <c r="DG22" s="2" t="s">
        <v>52</v>
      </c>
      <c r="DH22" s="172">
        <f t="shared" si="2"/>
        <v>-0.11322565811929568</v>
      </c>
      <c r="DI22" s="166">
        <f t="shared" si="3"/>
        <v>-8.7847376025498955E-2</v>
      </c>
      <c r="DJ22" s="158">
        <f t="shared" si="4"/>
        <v>-2.2420427311035857E-2</v>
      </c>
      <c r="DK22" s="155">
        <v>25</v>
      </c>
      <c r="DL22" s="155">
        <v>8927937</v>
      </c>
      <c r="DM22" s="155">
        <v>2566.1783258999999</v>
      </c>
      <c r="DN22" s="155">
        <v>1839.11237818</v>
      </c>
      <c r="DO22" s="155">
        <v>727.06594771999903</v>
      </c>
      <c r="DP22" s="155">
        <v>215264.76476065</v>
      </c>
      <c r="DQ22" s="155">
        <v>216730.33144998</v>
      </c>
      <c r="DR22" s="155">
        <v>0</v>
      </c>
      <c r="DS22" s="155">
        <v>0</v>
      </c>
      <c r="DT22" s="2" t="s">
        <v>52</v>
      </c>
      <c r="DU22" s="171">
        <f t="shared" si="5"/>
        <v>32947.172202089998</v>
      </c>
      <c r="DV22" s="165">
        <f t="shared" si="6"/>
        <v>11255.640908099998</v>
      </c>
      <c r="DW22" s="2" t="s">
        <v>52</v>
      </c>
      <c r="DX22" s="174">
        <f t="shared" si="7"/>
        <v>-0.15995055267704242</v>
      </c>
      <c r="DY22" s="169">
        <f t="shared" si="8"/>
        <v>-0.26772577311383944</v>
      </c>
      <c r="DZ22" s="158">
        <f t="shared" si="9"/>
        <v>4.9015294323689982E-3</v>
      </c>
      <c r="EA22" s="2" t="s">
        <v>52</v>
      </c>
      <c r="EB22" s="155">
        <v>25</v>
      </c>
      <c r="EC22" s="155">
        <v>8965112</v>
      </c>
      <c r="ED22" s="155">
        <v>4281.0469274699999</v>
      </c>
      <c r="EE22" s="155">
        <v>2125.4932225699999</v>
      </c>
      <c r="EF22" s="155">
        <v>2155.5537049</v>
      </c>
      <c r="EG22" s="155">
        <v>193985.75578194999</v>
      </c>
      <c r="EH22" s="155">
        <v>203829.54567599</v>
      </c>
      <c r="EI22" s="155">
        <v>0</v>
      </c>
      <c r="EJ22" s="155">
        <v>0</v>
      </c>
      <c r="EK22" s="2" t="s">
        <v>52</v>
      </c>
      <c r="EL22" s="171">
        <f t="shared" si="10"/>
        <v>37228.219129559999</v>
      </c>
      <c r="EM22" s="165">
        <f t="shared" si="11"/>
        <v>13411.194612999998</v>
      </c>
      <c r="EN22" s="2" t="s">
        <v>52</v>
      </c>
      <c r="EO22" s="174">
        <f t="shared" si="12"/>
        <v>0.66825776847311191</v>
      </c>
      <c r="EP22" s="169">
        <f t="shared" si="13"/>
        <v>1.9647292816553787</v>
      </c>
      <c r="EQ22" s="158">
        <f t="shared" si="14"/>
        <v>-9.8850404070354239E-2</v>
      </c>
    </row>
    <row r="23" spans="1:147" ht="13" x14ac:dyDescent="0.5">
      <c r="A23" s="16" t="s">
        <v>1</v>
      </c>
      <c r="B23" s="16" t="s">
        <v>118</v>
      </c>
      <c r="C23" s="16" t="s">
        <v>131</v>
      </c>
      <c r="D23" s="16" t="s">
        <v>2</v>
      </c>
      <c r="E23" s="16" t="s">
        <v>3</v>
      </c>
      <c r="F23" s="177">
        <v>204086.87663099001</v>
      </c>
      <c r="G23" s="177">
        <v>246994.05780939999</v>
      </c>
      <c r="H23" s="49" t="s">
        <v>52</v>
      </c>
      <c r="I23" s="15">
        <v>32</v>
      </c>
      <c r="J23" s="15">
        <v>613752</v>
      </c>
      <c r="K23" s="14">
        <v>27058.80171607</v>
      </c>
      <c r="L23" s="14">
        <v>15268.43223004</v>
      </c>
      <c r="M23" s="14">
        <v>11790.36948603</v>
      </c>
      <c r="N23" s="14">
        <v>213013.57701301001</v>
      </c>
      <c r="O23" s="14">
        <v>254278.6415878</v>
      </c>
      <c r="P23" s="15">
        <v>0</v>
      </c>
      <c r="Q23" s="14">
        <v>0</v>
      </c>
      <c r="R23" s="49" t="s">
        <v>52</v>
      </c>
      <c r="S23" s="15">
        <v>32</v>
      </c>
      <c r="T23" s="15">
        <v>631630</v>
      </c>
      <c r="U23" s="14">
        <v>29587.695200009999</v>
      </c>
      <c r="V23" s="14">
        <v>13885.72210782</v>
      </c>
      <c r="W23" s="14">
        <v>15701.973092190001</v>
      </c>
      <c r="X23" s="14">
        <v>233962.91777182001</v>
      </c>
      <c r="Y23" s="14">
        <v>269464.05152142001</v>
      </c>
      <c r="Z23" s="15">
        <v>0</v>
      </c>
      <c r="AA23" s="14">
        <v>0</v>
      </c>
      <c r="AB23" s="49" t="s">
        <v>52</v>
      </c>
      <c r="AC23" s="15">
        <v>32</v>
      </c>
      <c r="AD23" s="15">
        <v>647318</v>
      </c>
      <c r="AE23" s="14">
        <v>33989.862625219997</v>
      </c>
      <c r="AF23" s="14">
        <v>18405.290286480002</v>
      </c>
      <c r="AG23" s="14">
        <v>15584.572338739999</v>
      </c>
      <c r="AH23" s="14">
        <v>249364.93168072001</v>
      </c>
      <c r="AI23" s="14">
        <v>285570.19333137001</v>
      </c>
      <c r="AJ23" s="15">
        <v>0</v>
      </c>
      <c r="AK23" s="14">
        <v>0</v>
      </c>
      <c r="AL23" s="49" t="s">
        <v>52</v>
      </c>
      <c r="AM23" s="15">
        <v>32</v>
      </c>
      <c r="AN23" s="15">
        <v>664338</v>
      </c>
      <c r="AO23" s="14">
        <v>29743.4019567</v>
      </c>
      <c r="AP23" s="14">
        <v>22447.70169238</v>
      </c>
      <c r="AQ23" s="14">
        <v>7295.7002643200103</v>
      </c>
      <c r="AR23" s="14">
        <v>256675.49446315001</v>
      </c>
      <c r="AS23" s="14">
        <v>300840.51855546999</v>
      </c>
      <c r="AT23" s="15">
        <v>0</v>
      </c>
      <c r="AU23" s="14">
        <v>0</v>
      </c>
      <c r="AV23" s="49" t="s">
        <v>52</v>
      </c>
      <c r="AW23" s="15">
        <v>33</v>
      </c>
      <c r="AX23" s="15">
        <v>681565</v>
      </c>
      <c r="AY23" s="14">
        <v>27877.670500110002</v>
      </c>
      <c r="AZ23" s="14">
        <v>21211.169787499999</v>
      </c>
      <c r="BA23" s="14">
        <v>6666.5007126099999</v>
      </c>
      <c r="BB23" s="14">
        <v>258923.3482866</v>
      </c>
      <c r="BC23" s="14">
        <v>306405.44651819998</v>
      </c>
      <c r="BD23" s="15">
        <v>0</v>
      </c>
      <c r="BE23" s="14">
        <v>0</v>
      </c>
      <c r="BF23" s="49" t="s">
        <v>52</v>
      </c>
      <c r="BG23" s="15">
        <v>33</v>
      </c>
      <c r="BH23" s="15">
        <v>693596</v>
      </c>
      <c r="BI23" s="14">
        <v>29529.795923139998</v>
      </c>
      <c r="BJ23" s="14">
        <v>30518.046050090001</v>
      </c>
      <c r="BK23" s="14">
        <v>-988.25012694999202</v>
      </c>
      <c r="BL23" s="14">
        <v>263757.18100653001</v>
      </c>
      <c r="BM23" s="14">
        <v>310801.91222256998</v>
      </c>
      <c r="BN23" s="18">
        <v>0</v>
      </c>
      <c r="BO23" s="19">
        <v>0</v>
      </c>
      <c r="BP23" s="49" t="s">
        <v>52</v>
      </c>
      <c r="BQ23" s="15">
        <v>34</v>
      </c>
      <c r="BR23" s="15">
        <v>705317</v>
      </c>
      <c r="BS23" s="14">
        <v>29165.922402069998</v>
      </c>
      <c r="BT23" s="14">
        <v>22246.15520465</v>
      </c>
      <c r="BU23" s="14">
        <v>6919.7671974199902</v>
      </c>
      <c r="BV23" s="14">
        <v>271401.97071651003</v>
      </c>
      <c r="BW23" s="14">
        <v>316817.81664431002</v>
      </c>
      <c r="BX23" s="18">
        <v>0</v>
      </c>
      <c r="BY23" s="19">
        <v>0</v>
      </c>
      <c r="BZ23" s="49" t="s">
        <v>52</v>
      </c>
      <c r="CA23" s="15">
        <v>35</v>
      </c>
      <c r="CB23" s="15">
        <v>718209</v>
      </c>
      <c r="CC23" s="14">
        <v>22238.09602433</v>
      </c>
      <c r="CD23" s="14">
        <v>18046.189334809998</v>
      </c>
      <c r="CE23" s="14">
        <v>4191.9066895200203</v>
      </c>
      <c r="CF23" s="14">
        <v>274612.25321545999</v>
      </c>
      <c r="CG23" s="14">
        <v>324252.19516479003</v>
      </c>
      <c r="CH23" s="18">
        <v>0</v>
      </c>
      <c r="CI23" s="14">
        <v>0</v>
      </c>
      <c r="CJ23" s="49" t="s">
        <v>52</v>
      </c>
      <c r="CK23" s="15">
        <v>36</v>
      </c>
      <c r="CL23" s="15">
        <v>741825</v>
      </c>
      <c r="CM23" s="14">
        <v>26537.84875746</v>
      </c>
      <c r="CN23" s="14">
        <v>26411.53554791</v>
      </c>
      <c r="CO23" s="14">
        <v>126.31320954996001</v>
      </c>
      <c r="CP23" s="112">
        <v>278127.94472790998</v>
      </c>
      <c r="CQ23" s="14">
        <v>326834.53747684002</v>
      </c>
      <c r="CR23" s="15">
        <v>0</v>
      </c>
      <c r="CS23" s="14">
        <v>0</v>
      </c>
      <c r="CT23" s="2" t="s">
        <v>52</v>
      </c>
      <c r="CU23" s="87">
        <v>36</v>
      </c>
      <c r="CV23" s="87">
        <v>762151</v>
      </c>
      <c r="CW23" s="88">
        <v>27817.438938669999</v>
      </c>
      <c r="CX23" s="88">
        <v>24524.139347939999</v>
      </c>
      <c r="CY23" s="88">
        <v>3293.2995907300201</v>
      </c>
      <c r="CZ23" s="111">
        <v>276654.07207345997</v>
      </c>
      <c r="DA23" s="88">
        <v>333040.47966110997</v>
      </c>
      <c r="DB23" s="87">
        <v>0</v>
      </c>
      <c r="DC23" s="88">
        <v>0</v>
      </c>
      <c r="DD23" s="2" t="s">
        <v>52</v>
      </c>
      <c r="DE23" s="171">
        <f t="shared" si="0"/>
        <v>283546.53404377995</v>
      </c>
      <c r="DF23" s="165">
        <f t="shared" si="1"/>
        <v>70582.152454160008</v>
      </c>
      <c r="DG23" s="2" t="s">
        <v>52</v>
      </c>
      <c r="DH23" s="172">
        <f t="shared" si="2"/>
        <v>4.8217554968553934E-2</v>
      </c>
      <c r="DI23" s="166">
        <f t="shared" si="3"/>
        <v>25.07248760809485</v>
      </c>
      <c r="DJ23" s="158">
        <f t="shared" si="4"/>
        <v>-5.2992613018151974E-3</v>
      </c>
      <c r="DK23" s="155">
        <v>36</v>
      </c>
      <c r="DL23" s="155">
        <v>783210</v>
      </c>
      <c r="DM23" s="155">
        <v>20387.379805</v>
      </c>
      <c r="DN23" s="155">
        <v>19795.531323480001</v>
      </c>
      <c r="DO23" s="155">
        <v>591.848481519963</v>
      </c>
      <c r="DP23" s="155">
        <v>273568.72737620003</v>
      </c>
      <c r="DQ23" s="155">
        <v>333631.83441963</v>
      </c>
      <c r="DR23" s="155">
        <v>0</v>
      </c>
      <c r="DS23" s="155">
        <v>0</v>
      </c>
      <c r="DT23" s="2" t="s">
        <v>52</v>
      </c>
      <c r="DU23" s="171">
        <f t="shared" si="5"/>
        <v>303933.91384877992</v>
      </c>
      <c r="DV23" s="165">
        <f t="shared" si="6"/>
        <v>71174.000935679971</v>
      </c>
      <c r="DW23" s="2" t="s">
        <v>52</v>
      </c>
      <c r="DX23" s="174">
        <f t="shared" si="7"/>
        <v>-0.26710076186565157</v>
      </c>
      <c r="DY23" s="169">
        <f t="shared" si="8"/>
        <v>-0.82028708132539829</v>
      </c>
      <c r="DZ23" s="158">
        <f t="shared" si="9"/>
        <v>-1.1152355987880405E-2</v>
      </c>
      <c r="EA23" s="2" t="s">
        <v>52</v>
      </c>
      <c r="EB23" s="155">
        <v>38</v>
      </c>
      <c r="EC23" s="155">
        <v>790453</v>
      </c>
      <c r="ED23" s="155">
        <v>19596.212663959999</v>
      </c>
      <c r="EE23" s="155">
        <v>40709.910302800003</v>
      </c>
      <c r="EF23" s="155">
        <v>-21113.69763884</v>
      </c>
      <c r="EG23" s="155">
        <v>253637.43718830001</v>
      </c>
      <c r="EH23" s="155">
        <v>325819.15511554002</v>
      </c>
      <c r="EI23" s="155">
        <v>0</v>
      </c>
      <c r="EJ23" s="155">
        <v>0</v>
      </c>
      <c r="EK23" s="2" t="s">
        <v>52</v>
      </c>
      <c r="EL23" s="171">
        <f t="shared" si="10"/>
        <v>323530.12651273992</v>
      </c>
      <c r="EM23" s="165">
        <f t="shared" si="11"/>
        <v>50060.303296839971</v>
      </c>
      <c r="EN23" s="2" t="s">
        <v>52</v>
      </c>
      <c r="EO23" s="174">
        <f t="shared" si="12"/>
        <v>-3.8806710259352097E-2</v>
      </c>
      <c r="EP23" s="169">
        <f t="shared" si="13"/>
        <v>-36.674160360463539</v>
      </c>
      <c r="EQ23" s="158">
        <f t="shared" si="14"/>
        <v>-7.2856610399372718E-2</v>
      </c>
    </row>
    <row r="24" spans="1:147" ht="13" x14ac:dyDescent="0.5">
      <c r="A24" s="16" t="s">
        <v>17</v>
      </c>
      <c r="B24" s="16" t="s">
        <v>24</v>
      </c>
      <c r="C24" s="16" t="s">
        <v>101</v>
      </c>
      <c r="D24" s="16" t="s">
        <v>6</v>
      </c>
      <c r="E24" s="16" t="s">
        <v>18</v>
      </c>
      <c r="F24" s="177">
        <v>16140.37329064</v>
      </c>
      <c r="G24" s="177">
        <v>16106.76218351</v>
      </c>
      <c r="H24" s="49" t="s">
        <v>52</v>
      </c>
      <c r="I24" s="15">
        <v>78</v>
      </c>
      <c r="J24" s="15">
        <v>63022</v>
      </c>
      <c r="K24" s="14">
        <v>0</v>
      </c>
      <c r="L24" s="14">
        <v>1202.704369</v>
      </c>
      <c r="M24" s="14">
        <v>-1202.704369</v>
      </c>
      <c r="N24" s="14">
        <v>15106.623559830001</v>
      </c>
      <c r="O24" s="14">
        <v>16201.649085569999</v>
      </c>
      <c r="P24" s="15">
        <v>0</v>
      </c>
      <c r="Q24" s="14">
        <v>0</v>
      </c>
      <c r="R24" s="49" t="s">
        <v>52</v>
      </c>
      <c r="S24" s="15">
        <v>76</v>
      </c>
      <c r="T24" s="15">
        <v>62288</v>
      </c>
      <c r="U24" s="14">
        <v>0</v>
      </c>
      <c r="V24" s="14">
        <v>104.25378585</v>
      </c>
      <c r="W24" s="14">
        <v>-104.25378585</v>
      </c>
      <c r="X24" s="14">
        <v>15121.303411790001</v>
      </c>
      <c r="Y24" s="14">
        <v>15111.5594686</v>
      </c>
      <c r="Z24" s="15">
        <v>0</v>
      </c>
      <c r="AA24" s="14">
        <v>0</v>
      </c>
      <c r="AB24" s="49" t="s">
        <v>52</v>
      </c>
      <c r="AC24" s="15">
        <v>75</v>
      </c>
      <c r="AD24" s="15">
        <v>61624</v>
      </c>
      <c r="AE24" s="14">
        <v>0</v>
      </c>
      <c r="AF24" s="14">
        <v>144.79820599999999</v>
      </c>
      <c r="AG24" s="14">
        <v>-144.79820599999999</v>
      </c>
      <c r="AH24" s="14">
        <v>15041.58406521</v>
      </c>
      <c r="AI24" s="14">
        <v>15133.0990062</v>
      </c>
      <c r="AJ24" s="15">
        <v>0</v>
      </c>
      <c r="AK24" s="14">
        <v>0</v>
      </c>
      <c r="AL24" s="49" t="s">
        <v>52</v>
      </c>
      <c r="AM24" s="15">
        <v>74</v>
      </c>
      <c r="AN24" s="15">
        <v>60773</v>
      </c>
      <c r="AO24" s="14">
        <v>0</v>
      </c>
      <c r="AP24" s="14">
        <v>48.208023000000097</v>
      </c>
      <c r="AQ24" s="14">
        <v>-48.208023000000097</v>
      </c>
      <c r="AR24" s="14">
        <v>15072.44758955</v>
      </c>
      <c r="AS24" s="14">
        <v>15083.25573596</v>
      </c>
      <c r="AT24" s="15">
        <v>0</v>
      </c>
      <c r="AU24" s="14">
        <v>0</v>
      </c>
      <c r="AV24" s="49" t="s">
        <v>52</v>
      </c>
      <c r="AW24" s="15">
        <v>74</v>
      </c>
      <c r="AX24" s="15">
        <v>60773</v>
      </c>
      <c r="AY24" s="14">
        <v>0</v>
      </c>
      <c r="AZ24" s="14">
        <v>0</v>
      </c>
      <c r="BA24" s="14">
        <v>0</v>
      </c>
      <c r="BB24" s="14">
        <v>15106.0091603</v>
      </c>
      <c r="BC24" s="14">
        <v>15091.775776160001</v>
      </c>
      <c r="BD24" s="15">
        <v>0</v>
      </c>
      <c r="BE24" s="14">
        <v>0</v>
      </c>
      <c r="BF24" s="49" t="s">
        <v>52</v>
      </c>
      <c r="BG24" s="15">
        <v>72</v>
      </c>
      <c r="BH24" s="15">
        <v>59389</v>
      </c>
      <c r="BI24" s="14">
        <v>0</v>
      </c>
      <c r="BJ24" s="14">
        <v>268.76725787999999</v>
      </c>
      <c r="BK24" s="14">
        <v>-268.76725787999999</v>
      </c>
      <c r="BL24" s="14">
        <v>14896.983305379999</v>
      </c>
      <c r="BM24" s="14">
        <v>15113.74046619</v>
      </c>
      <c r="BN24" s="18">
        <v>0</v>
      </c>
      <c r="BO24" s="19">
        <v>0</v>
      </c>
      <c r="BP24" s="49" t="s">
        <v>52</v>
      </c>
      <c r="BQ24" s="15">
        <v>72</v>
      </c>
      <c r="BR24" s="15">
        <v>59390</v>
      </c>
      <c r="BS24" s="14">
        <v>0</v>
      </c>
      <c r="BT24" s="14">
        <v>0</v>
      </c>
      <c r="BU24" s="14">
        <v>0</v>
      </c>
      <c r="BV24" s="14">
        <v>14980.590951919999</v>
      </c>
      <c r="BW24" s="14">
        <v>14945.8370923</v>
      </c>
      <c r="BX24" s="18">
        <v>0</v>
      </c>
      <c r="BY24" s="19">
        <v>0</v>
      </c>
      <c r="BZ24" s="49" t="s">
        <v>52</v>
      </c>
      <c r="CA24" s="15">
        <v>71</v>
      </c>
      <c r="CB24" s="15">
        <v>56322</v>
      </c>
      <c r="CC24" s="14">
        <v>0</v>
      </c>
      <c r="CD24" s="14">
        <v>412.772628</v>
      </c>
      <c r="CE24" s="14">
        <v>-412.772628</v>
      </c>
      <c r="CF24" s="14">
        <v>14632.22473792</v>
      </c>
      <c r="CG24" s="14">
        <v>14728.469597019999</v>
      </c>
      <c r="CH24" s="18">
        <v>0</v>
      </c>
      <c r="CI24" s="14">
        <v>0</v>
      </c>
      <c r="CJ24" s="49" t="s">
        <v>52</v>
      </c>
      <c r="CK24" s="15">
        <v>71</v>
      </c>
      <c r="CL24" s="15">
        <v>56328</v>
      </c>
      <c r="CM24" s="14">
        <v>0</v>
      </c>
      <c r="CN24" s="14">
        <v>4.9999925977317603E-8</v>
      </c>
      <c r="CO24" s="14">
        <v>-4.9999925977317603E-8</v>
      </c>
      <c r="CP24" s="14">
        <v>14701.99305963</v>
      </c>
      <c r="CQ24" s="14">
        <v>14669.487490879999</v>
      </c>
      <c r="CR24" s="15">
        <v>0</v>
      </c>
      <c r="CS24" s="14">
        <v>0</v>
      </c>
      <c r="CT24" s="2" t="s">
        <v>52</v>
      </c>
      <c r="CU24" s="87">
        <v>71</v>
      </c>
      <c r="CV24" s="87">
        <v>56325</v>
      </c>
      <c r="CW24" s="88">
        <v>0</v>
      </c>
      <c r="CX24" s="88">
        <v>0</v>
      </c>
      <c r="CY24" s="88">
        <v>0</v>
      </c>
      <c r="CZ24" s="88">
        <v>14760.99330801</v>
      </c>
      <c r="DA24" s="88">
        <v>14731.16101389</v>
      </c>
      <c r="DB24" s="87">
        <v>0</v>
      </c>
      <c r="DC24" s="88">
        <v>0</v>
      </c>
      <c r="DD24" s="2" t="s">
        <v>52</v>
      </c>
      <c r="DE24" s="171">
        <f t="shared" si="0"/>
        <v>0</v>
      </c>
      <c r="DF24" s="165">
        <f t="shared" si="1"/>
        <v>-2181.50426978</v>
      </c>
      <c r="DG24" s="2" t="s">
        <v>52</v>
      </c>
      <c r="DH24" s="172">
        <v>0</v>
      </c>
      <c r="DI24" s="166">
        <f t="shared" si="3"/>
        <v>-1</v>
      </c>
      <c r="DJ24" s="158">
        <f t="shared" si="4"/>
        <v>4.0130782364472661E-3</v>
      </c>
      <c r="DK24" s="155">
        <v>72</v>
      </c>
      <c r="DL24" s="155">
        <v>56636</v>
      </c>
      <c r="DM24" s="155">
        <v>378.30388099999999</v>
      </c>
      <c r="DN24" s="155">
        <v>0</v>
      </c>
      <c r="DO24" s="155">
        <v>378.30388099999999</v>
      </c>
      <c r="DP24" s="155">
        <v>15215.480091789999</v>
      </c>
      <c r="DQ24" s="155">
        <v>14868.385523270001</v>
      </c>
      <c r="DR24" s="155">
        <v>0</v>
      </c>
      <c r="DS24" s="155">
        <v>0</v>
      </c>
      <c r="DT24" s="2" t="s">
        <v>52</v>
      </c>
      <c r="DU24" s="171">
        <f t="shared" si="5"/>
        <v>378.30388099999999</v>
      </c>
      <c r="DV24" s="165">
        <f t="shared" si="6"/>
        <v>-1803.2003887799999</v>
      </c>
      <c r="DW24" s="2" t="s">
        <v>52</v>
      </c>
      <c r="DX24" s="174" t="e">
        <f t="shared" si="7"/>
        <v>#DIV/0!</v>
      </c>
      <c r="DY24" s="169" t="e">
        <f t="shared" si="8"/>
        <v>#DIV/0!</v>
      </c>
      <c r="DZ24" s="158">
        <f t="shared" si="9"/>
        <v>3.0789715454540154E-2</v>
      </c>
      <c r="EA24" s="2" t="s">
        <v>52</v>
      </c>
      <c r="EB24" s="155">
        <v>73</v>
      </c>
      <c r="EC24" s="155">
        <v>56845</v>
      </c>
      <c r="ED24" s="155">
        <v>242.2312</v>
      </c>
      <c r="EE24" s="155">
        <v>0</v>
      </c>
      <c r="EF24" s="155">
        <v>242.2312</v>
      </c>
      <c r="EG24" s="155">
        <v>15506.456274669999</v>
      </c>
      <c r="EH24" s="155">
        <v>15399.028865509999</v>
      </c>
      <c r="EI24" s="155">
        <v>0</v>
      </c>
      <c r="EJ24" s="155">
        <v>0</v>
      </c>
      <c r="EK24" s="2" t="s">
        <v>52</v>
      </c>
      <c r="EL24" s="171">
        <f t="shared" si="10"/>
        <v>620.53508099999999</v>
      </c>
      <c r="EM24" s="165">
        <f t="shared" si="11"/>
        <v>-1560.96918878</v>
      </c>
      <c r="EN24" s="2" t="s">
        <v>52</v>
      </c>
      <c r="EO24" s="174">
        <f t="shared" si="12"/>
        <v>-0.35969147511864935</v>
      </c>
      <c r="EP24" s="169">
        <f t="shared" si="13"/>
        <v>-0.35969147511864935</v>
      </c>
      <c r="EQ24" s="158">
        <f t="shared" si="14"/>
        <v>1.9123693838422204E-2</v>
      </c>
    </row>
    <row r="25" spans="1:147" ht="13" x14ac:dyDescent="0.5">
      <c r="A25" s="16" t="s">
        <v>9</v>
      </c>
      <c r="B25" s="16" t="s">
        <v>111</v>
      </c>
      <c r="C25" s="16" t="s">
        <v>131</v>
      </c>
      <c r="D25" s="16" t="s">
        <v>2</v>
      </c>
      <c r="E25" s="16" t="s">
        <v>2</v>
      </c>
      <c r="F25" s="177">
        <v>22077.510441310002</v>
      </c>
      <c r="G25" s="177">
        <v>21510.819812270001</v>
      </c>
      <c r="H25" s="49" t="s">
        <v>52</v>
      </c>
      <c r="I25" s="15">
        <v>12</v>
      </c>
      <c r="J25" s="15">
        <v>3084694</v>
      </c>
      <c r="K25" s="14">
        <v>188.06747709999999</v>
      </c>
      <c r="L25" s="14">
        <v>58.173800929999999</v>
      </c>
      <c r="M25" s="14">
        <v>129.89367616999999</v>
      </c>
      <c r="N25" s="14">
        <v>22686.102441570001</v>
      </c>
      <c r="O25" s="14">
        <v>22235.049251190001</v>
      </c>
      <c r="P25" s="15">
        <v>0</v>
      </c>
      <c r="Q25" s="14">
        <v>0</v>
      </c>
      <c r="R25" s="49" t="s">
        <v>52</v>
      </c>
      <c r="S25" s="15">
        <v>12</v>
      </c>
      <c r="T25" s="15">
        <v>3093038</v>
      </c>
      <c r="U25" s="14">
        <v>192.32983709000001</v>
      </c>
      <c r="V25" s="14">
        <v>67.913814360000003</v>
      </c>
      <c r="W25" s="14">
        <v>124.41602272999999</v>
      </c>
      <c r="X25" s="14">
        <v>23523.852177739998</v>
      </c>
      <c r="Y25" s="14">
        <v>23161.284736549998</v>
      </c>
      <c r="Z25" s="15">
        <v>0</v>
      </c>
      <c r="AA25" s="14">
        <v>0</v>
      </c>
      <c r="AB25" s="49" t="s">
        <v>52</v>
      </c>
      <c r="AC25" s="15">
        <v>12</v>
      </c>
      <c r="AD25" s="15">
        <v>3103506</v>
      </c>
      <c r="AE25" s="14">
        <v>206.54642601</v>
      </c>
      <c r="AF25" s="14">
        <v>78.521621019999998</v>
      </c>
      <c r="AG25" s="14">
        <v>128.02480499000001</v>
      </c>
      <c r="AH25" s="14">
        <v>24174.557365199998</v>
      </c>
      <c r="AI25" s="14">
        <v>23790.146905090001</v>
      </c>
      <c r="AJ25" s="15">
        <v>0</v>
      </c>
      <c r="AK25" s="14">
        <v>0</v>
      </c>
      <c r="AL25" s="49" t="s">
        <v>52</v>
      </c>
      <c r="AM25" s="15">
        <v>12</v>
      </c>
      <c r="AN25" s="15">
        <v>3117371</v>
      </c>
      <c r="AO25" s="14">
        <v>245.87798831000001</v>
      </c>
      <c r="AP25" s="14">
        <v>82.190544099999997</v>
      </c>
      <c r="AQ25" s="14">
        <v>163.68744421</v>
      </c>
      <c r="AR25" s="14">
        <v>24138.407858819999</v>
      </c>
      <c r="AS25" s="14">
        <v>24283.231144040001</v>
      </c>
      <c r="AT25" s="15">
        <v>0</v>
      </c>
      <c r="AU25" s="14">
        <v>0</v>
      </c>
      <c r="AV25" s="49" t="s">
        <v>52</v>
      </c>
      <c r="AW25" s="15">
        <v>12</v>
      </c>
      <c r="AX25" s="15">
        <v>3130503</v>
      </c>
      <c r="AY25" s="14">
        <v>241.97477130999999</v>
      </c>
      <c r="AZ25" s="14">
        <v>56.336445019999999</v>
      </c>
      <c r="BA25" s="14">
        <v>185.63832629000001</v>
      </c>
      <c r="BB25" s="14">
        <v>23924.575021799999</v>
      </c>
      <c r="BC25" s="14">
        <v>24055.3184535</v>
      </c>
      <c r="BD25" s="15">
        <v>0</v>
      </c>
      <c r="BE25" s="14">
        <v>0</v>
      </c>
      <c r="BF25" s="49" t="s">
        <v>52</v>
      </c>
      <c r="BG25" s="15">
        <v>12</v>
      </c>
      <c r="BH25" s="15">
        <v>3144415</v>
      </c>
      <c r="BI25" s="14">
        <v>255.41370773</v>
      </c>
      <c r="BJ25" s="14">
        <v>66.051605649999999</v>
      </c>
      <c r="BK25" s="14">
        <v>189.36210208</v>
      </c>
      <c r="BL25" s="14">
        <v>24327.789241930001</v>
      </c>
      <c r="BM25" s="14">
        <v>24510.655925340001</v>
      </c>
      <c r="BN25" s="18">
        <v>0</v>
      </c>
      <c r="BO25" s="19">
        <v>0</v>
      </c>
      <c r="BP25" s="49" t="s">
        <v>52</v>
      </c>
      <c r="BQ25" s="15">
        <v>12</v>
      </c>
      <c r="BR25" s="15">
        <v>3155666</v>
      </c>
      <c r="BS25" s="14">
        <v>236.96109271</v>
      </c>
      <c r="BT25" s="14">
        <v>79.97061617</v>
      </c>
      <c r="BU25" s="14">
        <v>156.99047654</v>
      </c>
      <c r="BV25" s="14">
        <v>25213.266832009998</v>
      </c>
      <c r="BW25" s="14">
        <v>24944.079532200001</v>
      </c>
      <c r="BX25" s="18">
        <v>0</v>
      </c>
      <c r="BY25" s="19">
        <v>0</v>
      </c>
      <c r="BZ25" s="49" t="s">
        <v>52</v>
      </c>
      <c r="CA25" s="15">
        <v>12</v>
      </c>
      <c r="CB25" s="15">
        <v>3171929</v>
      </c>
      <c r="CC25" s="14">
        <v>283.45317252000001</v>
      </c>
      <c r="CD25" s="14">
        <v>69.808406660000102</v>
      </c>
      <c r="CE25" s="14">
        <v>213.64476586000001</v>
      </c>
      <c r="CF25" s="14">
        <v>25675.48897993</v>
      </c>
      <c r="CG25" s="14">
        <v>25440.812321509999</v>
      </c>
      <c r="CH25" s="18">
        <v>0</v>
      </c>
      <c r="CI25" s="14">
        <v>0</v>
      </c>
      <c r="CJ25" s="49" t="s">
        <v>52</v>
      </c>
      <c r="CK25" s="15">
        <v>12</v>
      </c>
      <c r="CL25" s="15">
        <v>3191201</v>
      </c>
      <c r="CM25" s="14">
        <v>302.72179742999998</v>
      </c>
      <c r="CN25" s="14">
        <v>78.392207400000004</v>
      </c>
      <c r="CO25" s="14">
        <v>224.32959002999999</v>
      </c>
      <c r="CP25" s="112">
        <v>25626.163154999998</v>
      </c>
      <c r="CQ25" s="14">
        <v>25571.765710830001</v>
      </c>
      <c r="CR25" s="15">
        <v>0</v>
      </c>
      <c r="CS25" s="14">
        <v>0</v>
      </c>
      <c r="CT25" s="2" t="s">
        <v>52</v>
      </c>
      <c r="CU25" s="87">
        <v>12</v>
      </c>
      <c r="CV25" s="87">
        <v>3212128</v>
      </c>
      <c r="CW25" s="88">
        <v>309.12658818</v>
      </c>
      <c r="CX25" s="88">
        <v>71.893969809999902</v>
      </c>
      <c r="CY25" s="88">
        <v>237.23261837000001</v>
      </c>
      <c r="CZ25" s="111">
        <v>25230.053516669999</v>
      </c>
      <c r="DA25" s="88">
        <v>25380.15080634</v>
      </c>
      <c r="DB25" s="87">
        <v>0</v>
      </c>
      <c r="DC25" s="88">
        <v>0</v>
      </c>
      <c r="DD25" s="2" t="s">
        <v>52</v>
      </c>
      <c r="DE25" s="171">
        <f t="shared" si="0"/>
        <v>2462.4728583900001</v>
      </c>
      <c r="DF25" s="165">
        <f t="shared" si="1"/>
        <v>1753.21982727</v>
      </c>
      <c r="DG25" s="2" t="s">
        <v>52</v>
      </c>
      <c r="DH25" s="172">
        <f t="shared" ref="DH25:DH30" si="15">(CW25-CM25)/CM25</f>
        <v>2.1157349105265646E-2</v>
      </c>
      <c r="DI25" s="166">
        <f t="shared" si="3"/>
        <v>5.7518173765103729E-2</v>
      </c>
      <c r="DJ25" s="158">
        <f t="shared" si="4"/>
        <v>-1.5457235479776184E-2</v>
      </c>
      <c r="DK25" s="155">
        <v>12</v>
      </c>
      <c r="DL25" s="155">
        <v>3229968</v>
      </c>
      <c r="DM25" s="155">
        <v>285.08460974000002</v>
      </c>
      <c r="DN25" s="155">
        <v>56.351141820000102</v>
      </c>
      <c r="DO25" s="155">
        <v>228.73346792000001</v>
      </c>
      <c r="DP25" s="155">
        <v>25434.380800210001</v>
      </c>
      <c r="DQ25" s="155">
        <v>25557.811773500001</v>
      </c>
      <c r="DR25" s="155">
        <v>0</v>
      </c>
      <c r="DS25" s="155">
        <v>0</v>
      </c>
      <c r="DT25" s="2" t="s">
        <v>52</v>
      </c>
      <c r="DU25" s="171">
        <f t="shared" si="5"/>
        <v>2747.55746813</v>
      </c>
      <c r="DV25" s="165">
        <f t="shared" si="6"/>
        <v>1981.9532951900001</v>
      </c>
      <c r="DW25" s="2" t="s">
        <v>52</v>
      </c>
      <c r="DX25" s="174">
        <f t="shared" si="7"/>
        <v>-7.7773893800428054E-2</v>
      </c>
      <c r="DY25" s="169">
        <f t="shared" si="8"/>
        <v>-3.5826230424790474E-2</v>
      </c>
      <c r="DZ25" s="158">
        <f t="shared" si="9"/>
        <v>8.0985671871444502E-3</v>
      </c>
      <c r="EA25" s="2" t="s">
        <v>52</v>
      </c>
      <c r="EB25" s="155">
        <v>12</v>
      </c>
      <c r="EC25" s="155">
        <v>3243254</v>
      </c>
      <c r="ED25" s="155">
        <v>281.88089501000002</v>
      </c>
      <c r="EE25" s="155">
        <v>54.277751790000003</v>
      </c>
      <c r="EF25" s="155">
        <v>227.60314321999999</v>
      </c>
      <c r="EG25" s="155">
        <v>23650.112879759999</v>
      </c>
      <c r="EH25" s="155">
        <v>24492.143074610001</v>
      </c>
      <c r="EI25" s="155">
        <v>0</v>
      </c>
      <c r="EJ25" s="155">
        <v>0</v>
      </c>
      <c r="EK25" s="2" t="s">
        <v>52</v>
      </c>
      <c r="EL25" s="171">
        <f t="shared" si="10"/>
        <v>3029.4383631400001</v>
      </c>
      <c r="EM25" s="165">
        <f t="shared" si="11"/>
        <v>2209.5564384099998</v>
      </c>
      <c r="EN25" s="2" t="s">
        <v>52</v>
      </c>
      <c r="EO25" s="174">
        <f t="shared" si="12"/>
        <v>-1.1237768088995828E-2</v>
      </c>
      <c r="EP25" s="169">
        <f t="shared" si="13"/>
        <v>-4.941667305089565E-3</v>
      </c>
      <c r="EQ25" s="158">
        <f t="shared" si="14"/>
        <v>-7.0151812794879198E-2</v>
      </c>
    </row>
    <row r="26" spans="1:147" ht="13" x14ac:dyDescent="0.5">
      <c r="A26" s="16" t="s">
        <v>23</v>
      </c>
      <c r="B26" s="16" t="s">
        <v>24</v>
      </c>
      <c r="C26" s="16" t="s">
        <v>131</v>
      </c>
      <c r="D26" s="16" t="s">
        <v>6</v>
      </c>
      <c r="E26" s="16" t="s">
        <v>7</v>
      </c>
      <c r="F26" s="177">
        <v>4938.4415785299998</v>
      </c>
      <c r="G26" s="177">
        <v>4936.3401566299999</v>
      </c>
      <c r="H26" s="49" t="s">
        <v>52</v>
      </c>
      <c r="I26" s="15">
        <v>5</v>
      </c>
      <c r="J26" s="15">
        <v>36986</v>
      </c>
      <c r="K26" s="14">
        <v>102.20557955</v>
      </c>
      <c r="L26" s="14">
        <v>140.94136864999999</v>
      </c>
      <c r="M26" s="14">
        <v>-38.735789099999998</v>
      </c>
      <c r="N26" s="14">
        <v>5006.8884865600003</v>
      </c>
      <c r="O26" s="14">
        <v>4972.3251676600003</v>
      </c>
      <c r="P26" s="15">
        <v>0</v>
      </c>
      <c r="Q26" s="14">
        <v>0</v>
      </c>
      <c r="R26" s="49" t="s">
        <v>52</v>
      </c>
      <c r="S26" s="15">
        <v>5</v>
      </c>
      <c r="T26" s="15">
        <v>37854</v>
      </c>
      <c r="U26" s="14">
        <v>118.43985324000001</v>
      </c>
      <c r="V26" s="14">
        <v>76.895240939999994</v>
      </c>
      <c r="W26" s="14">
        <v>41.544612299999997</v>
      </c>
      <c r="X26" s="14">
        <v>5101.4758553499996</v>
      </c>
      <c r="Y26" s="14">
        <v>5056.9567921500002</v>
      </c>
      <c r="Z26" s="15">
        <v>0</v>
      </c>
      <c r="AA26" s="14">
        <v>0</v>
      </c>
      <c r="AB26" s="49" t="s">
        <v>52</v>
      </c>
      <c r="AC26" s="15">
        <v>5</v>
      </c>
      <c r="AD26" s="15">
        <v>38371</v>
      </c>
      <c r="AE26" s="14">
        <v>50.872600740000003</v>
      </c>
      <c r="AF26" s="14">
        <v>192.66065417999999</v>
      </c>
      <c r="AG26" s="14">
        <v>-141.78805344</v>
      </c>
      <c r="AH26" s="14">
        <v>4935.0928227699997</v>
      </c>
      <c r="AI26" s="14">
        <v>5024.9166240699997</v>
      </c>
      <c r="AJ26" s="15">
        <v>0</v>
      </c>
      <c r="AK26" s="14">
        <v>0</v>
      </c>
      <c r="AL26" s="49" t="s">
        <v>52</v>
      </c>
      <c r="AM26" s="15">
        <v>5</v>
      </c>
      <c r="AN26" s="15">
        <v>39036</v>
      </c>
      <c r="AO26" s="14">
        <v>88.13189319</v>
      </c>
      <c r="AP26" s="14">
        <v>214.33523399000001</v>
      </c>
      <c r="AQ26" s="14">
        <v>-126.20334080000001</v>
      </c>
      <c r="AR26" s="14">
        <v>4821.7917415000002</v>
      </c>
      <c r="AS26" s="14">
        <v>4856.6345786700003</v>
      </c>
      <c r="AT26" s="15">
        <v>0</v>
      </c>
      <c r="AU26" s="14">
        <v>0</v>
      </c>
      <c r="AV26" s="49" t="s">
        <v>52</v>
      </c>
      <c r="AW26" s="15">
        <v>5</v>
      </c>
      <c r="AX26" s="15">
        <v>39073</v>
      </c>
      <c r="AY26" s="14">
        <v>328.06058707</v>
      </c>
      <c r="AZ26" s="14">
        <v>159.88854595999999</v>
      </c>
      <c r="BA26" s="14">
        <v>168.17204111000001</v>
      </c>
      <c r="BB26" s="14">
        <v>4934.7261296799998</v>
      </c>
      <c r="BC26" s="14">
        <v>4746.7638273299999</v>
      </c>
      <c r="BD26" s="15">
        <v>0</v>
      </c>
      <c r="BE26" s="14">
        <v>0</v>
      </c>
      <c r="BF26" s="49" t="s">
        <v>52</v>
      </c>
      <c r="BG26" s="15">
        <v>5</v>
      </c>
      <c r="BH26" s="15">
        <v>38766</v>
      </c>
      <c r="BI26" s="14">
        <v>124.37166673999999</v>
      </c>
      <c r="BJ26" s="14">
        <v>125.89467361</v>
      </c>
      <c r="BK26" s="14">
        <v>-1.52300687000013</v>
      </c>
      <c r="BL26" s="14">
        <v>4977.9383258600001</v>
      </c>
      <c r="BM26" s="14">
        <v>5007.8980825299996</v>
      </c>
      <c r="BN26" s="18">
        <v>0</v>
      </c>
      <c r="BO26" s="19">
        <v>0</v>
      </c>
      <c r="BP26" s="49" t="s">
        <v>52</v>
      </c>
      <c r="BQ26" s="15">
        <v>5</v>
      </c>
      <c r="BR26" s="15">
        <v>38270</v>
      </c>
      <c r="BS26" s="14">
        <v>38.57955166</v>
      </c>
      <c r="BT26" s="14">
        <v>63.193692910000003</v>
      </c>
      <c r="BU26" s="14">
        <v>-24.614141249999999</v>
      </c>
      <c r="BV26" s="14">
        <v>4986.5625796900003</v>
      </c>
      <c r="BW26" s="14">
        <v>4999.7334128599996</v>
      </c>
      <c r="BX26" s="18">
        <v>0</v>
      </c>
      <c r="BY26" s="19">
        <v>0</v>
      </c>
      <c r="BZ26" s="49" t="s">
        <v>52</v>
      </c>
      <c r="CA26" s="15">
        <v>5</v>
      </c>
      <c r="CB26" s="15">
        <v>38070</v>
      </c>
      <c r="CC26" s="14">
        <v>41.886067180000097</v>
      </c>
      <c r="CD26" s="14">
        <v>86.081763469999899</v>
      </c>
      <c r="CE26" s="14">
        <v>-44.195696289999901</v>
      </c>
      <c r="CF26" s="14">
        <v>4973.6861575499997</v>
      </c>
      <c r="CG26" s="14">
        <v>4981.3776104600001</v>
      </c>
      <c r="CH26" s="18">
        <v>0</v>
      </c>
      <c r="CI26" s="14">
        <v>0</v>
      </c>
      <c r="CJ26" s="49" t="s">
        <v>52</v>
      </c>
      <c r="CK26" s="15">
        <v>5</v>
      </c>
      <c r="CL26" s="15">
        <v>37606</v>
      </c>
      <c r="CM26" s="14">
        <v>43.563284899999999</v>
      </c>
      <c r="CN26" s="14">
        <v>146.63695235</v>
      </c>
      <c r="CO26" s="14">
        <v>-103.07366745</v>
      </c>
      <c r="CP26" s="14">
        <v>4877.10610722</v>
      </c>
      <c r="CQ26" s="14">
        <v>4929.8494351899999</v>
      </c>
      <c r="CR26" s="15">
        <v>0</v>
      </c>
      <c r="CS26" s="14">
        <v>0</v>
      </c>
      <c r="CT26" s="2" t="s">
        <v>52</v>
      </c>
      <c r="CU26" s="87">
        <v>5</v>
      </c>
      <c r="CV26" s="87">
        <v>37098</v>
      </c>
      <c r="CW26" s="88">
        <v>67.392471740000005</v>
      </c>
      <c r="CX26" s="88">
        <v>80.447910870000001</v>
      </c>
      <c r="CY26" s="88">
        <v>-13.05543913</v>
      </c>
      <c r="CZ26" s="88">
        <v>4865.29402175</v>
      </c>
      <c r="DA26" s="88">
        <v>4889.2694893500002</v>
      </c>
      <c r="DB26" s="87">
        <v>0</v>
      </c>
      <c r="DC26" s="88">
        <v>0</v>
      </c>
      <c r="DD26" s="2" t="s">
        <v>52</v>
      </c>
      <c r="DE26" s="171">
        <f t="shared" si="0"/>
        <v>1003.5035560100001</v>
      </c>
      <c r="DF26" s="165">
        <f t="shared" si="1"/>
        <v>-283.47248092000001</v>
      </c>
      <c r="DG26" s="2" t="s">
        <v>52</v>
      </c>
      <c r="DH26" s="172">
        <f t="shared" si="15"/>
        <v>0.54700160685081867</v>
      </c>
      <c r="DI26" s="166">
        <f t="shared" si="3"/>
        <v>-0.87333875418439866</v>
      </c>
      <c r="DJ26" s="158">
        <f t="shared" si="4"/>
        <v>-2.4219455575333103E-3</v>
      </c>
      <c r="DK26" s="155">
        <v>5</v>
      </c>
      <c r="DL26" s="155">
        <v>36717</v>
      </c>
      <c r="DM26" s="155">
        <v>350.07921743000003</v>
      </c>
      <c r="DN26" s="155">
        <v>275.46039653000003</v>
      </c>
      <c r="DO26" s="155">
        <v>74.618820899999903</v>
      </c>
      <c r="DP26" s="155">
        <v>4988.1517057000001</v>
      </c>
      <c r="DQ26" s="155">
        <v>4976.5480318800001</v>
      </c>
      <c r="DR26" s="155">
        <v>0</v>
      </c>
      <c r="DS26" s="155">
        <v>0</v>
      </c>
      <c r="DT26" s="2" t="s">
        <v>52</v>
      </c>
      <c r="DU26" s="171">
        <f t="shared" si="5"/>
        <v>1353.5827734400002</v>
      </c>
      <c r="DV26" s="165">
        <f t="shared" si="6"/>
        <v>-208.85366002000012</v>
      </c>
      <c r="DW26" s="2" t="s">
        <v>52</v>
      </c>
      <c r="DX26" s="174">
        <f t="shared" si="7"/>
        <v>4.194633887010478</v>
      </c>
      <c r="DY26" s="169">
        <f t="shared" si="8"/>
        <v>-6.7155351234822769</v>
      </c>
      <c r="DZ26" s="158">
        <f t="shared" si="9"/>
        <v>2.5251851871803094E-2</v>
      </c>
      <c r="EA26" s="2" t="s">
        <v>52</v>
      </c>
      <c r="EB26" s="155">
        <v>5</v>
      </c>
      <c r="EC26" s="155">
        <v>36229</v>
      </c>
      <c r="ED26" s="155">
        <v>57.984925720000099</v>
      </c>
      <c r="EE26" s="155">
        <v>439.74713465999997</v>
      </c>
      <c r="EF26" s="155">
        <v>-381.76220893999999</v>
      </c>
      <c r="EG26" s="155">
        <v>4520.8859943500001</v>
      </c>
      <c r="EH26" s="155">
        <v>4691.2434874</v>
      </c>
      <c r="EI26" s="155">
        <v>0</v>
      </c>
      <c r="EJ26" s="155">
        <v>0</v>
      </c>
      <c r="EK26" s="2" t="s">
        <v>52</v>
      </c>
      <c r="EL26" s="171">
        <f t="shared" si="10"/>
        <v>1411.5676991600003</v>
      </c>
      <c r="EM26" s="165">
        <f t="shared" si="11"/>
        <v>-590.61586896000017</v>
      </c>
      <c r="EN26" s="2" t="s">
        <v>52</v>
      </c>
      <c r="EO26" s="174">
        <f t="shared" si="12"/>
        <v>-0.83436627245205019</v>
      </c>
      <c r="EP26" s="169">
        <f t="shared" si="13"/>
        <v>-6.1161651220891979</v>
      </c>
      <c r="EQ26" s="158">
        <f t="shared" si="14"/>
        <v>-9.3675120348896315E-2</v>
      </c>
    </row>
    <row r="27" spans="1:147" ht="13" x14ac:dyDescent="0.5">
      <c r="A27" s="16" t="s">
        <v>20</v>
      </c>
      <c r="B27" s="16" t="s">
        <v>24</v>
      </c>
      <c r="C27" s="16" t="s">
        <v>131</v>
      </c>
      <c r="D27" s="16" t="s">
        <v>6</v>
      </c>
      <c r="E27" s="16" t="s">
        <v>7</v>
      </c>
      <c r="F27" s="177">
        <v>49822.038962389997</v>
      </c>
      <c r="G27" s="177">
        <v>50232.15050281</v>
      </c>
      <c r="H27" s="49" t="s">
        <v>52</v>
      </c>
      <c r="I27" s="15">
        <v>12</v>
      </c>
      <c r="J27" s="15">
        <v>197464</v>
      </c>
      <c r="K27" s="14">
        <v>2171.3677027499998</v>
      </c>
      <c r="L27" s="14">
        <v>1600.9595605300001</v>
      </c>
      <c r="M27" s="14">
        <v>570.40814221999995</v>
      </c>
      <c r="N27" s="14">
        <v>50979.751029179999</v>
      </c>
      <c r="O27" s="14">
        <v>50844.966190530002</v>
      </c>
      <c r="P27" s="15">
        <v>0</v>
      </c>
      <c r="Q27" s="14">
        <v>0</v>
      </c>
      <c r="R27" s="49" t="s">
        <v>52</v>
      </c>
      <c r="S27" s="15">
        <v>12</v>
      </c>
      <c r="T27" s="15">
        <v>198875</v>
      </c>
      <c r="U27" s="14">
        <v>1315.7081737000001</v>
      </c>
      <c r="V27" s="14">
        <v>1569.7702883500001</v>
      </c>
      <c r="W27" s="14">
        <v>-254.06211465000001</v>
      </c>
      <c r="X27" s="14">
        <v>51205.422556559999</v>
      </c>
      <c r="Y27" s="14">
        <v>51047.240801239997</v>
      </c>
      <c r="Z27" s="15">
        <v>0</v>
      </c>
      <c r="AA27" s="14">
        <v>0</v>
      </c>
      <c r="AB27" s="49" t="s">
        <v>52</v>
      </c>
      <c r="AC27" s="15">
        <v>12</v>
      </c>
      <c r="AD27" s="15">
        <v>199600</v>
      </c>
      <c r="AE27" s="14">
        <v>2667.5624586600002</v>
      </c>
      <c r="AF27" s="14">
        <v>2436.8379948400002</v>
      </c>
      <c r="AG27" s="14">
        <v>230.72446382000001</v>
      </c>
      <c r="AH27" s="14">
        <v>51668.081510210002</v>
      </c>
      <c r="AI27" s="14">
        <v>51830.598392790002</v>
      </c>
      <c r="AJ27" s="15">
        <v>0</v>
      </c>
      <c r="AK27" s="14">
        <v>0</v>
      </c>
      <c r="AL27" s="49" t="s">
        <v>52</v>
      </c>
      <c r="AM27" s="15">
        <v>12</v>
      </c>
      <c r="AN27" s="15">
        <v>199862</v>
      </c>
      <c r="AO27" s="14">
        <v>2042.5989149100001</v>
      </c>
      <c r="AP27" s="14">
        <v>1878.4345902699999</v>
      </c>
      <c r="AQ27" s="14">
        <v>164.16432463999999</v>
      </c>
      <c r="AR27" s="14">
        <v>52161.956679850002</v>
      </c>
      <c r="AS27" s="14">
        <v>51992.37571113</v>
      </c>
      <c r="AT27" s="15">
        <v>0</v>
      </c>
      <c r="AU27" s="14">
        <v>0</v>
      </c>
      <c r="AV27" s="49" t="s">
        <v>52</v>
      </c>
      <c r="AW27" s="15">
        <v>12</v>
      </c>
      <c r="AX27" s="15">
        <v>200291</v>
      </c>
      <c r="AY27" s="14">
        <v>1737.8238642700001</v>
      </c>
      <c r="AZ27" s="14">
        <v>1942.5392693900001</v>
      </c>
      <c r="BA27" s="14">
        <v>-204.71540512000001</v>
      </c>
      <c r="BB27" s="14">
        <v>52030.545876409997</v>
      </c>
      <c r="BC27" s="14">
        <v>52456.254132080001</v>
      </c>
      <c r="BD27" s="15">
        <v>0</v>
      </c>
      <c r="BE27" s="14">
        <v>0</v>
      </c>
      <c r="BF27" s="49" t="s">
        <v>52</v>
      </c>
      <c r="BG27" s="15">
        <v>12</v>
      </c>
      <c r="BH27" s="15">
        <v>199240</v>
      </c>
      <c r="BI27" s="14">
        <v>984.69171366</v>
      </c>
      <c r="BJ27" s="14">
        <v>2510.77598842</v>
      </c>
      <c r="BK27" s="14">
        <v>-1526.08427476</v>
      </c>
      <c r="BL27" s="14">
        <v>50821.35458711</v>
      </c>
      <c r="BM27" s="14">
        <v>51615.005128819997</v>
      </c>
      <c r="BN27" s="18">
        <v>0</v>
      </c>
      <c r="BO27" s="19">
        <v>0</v>
      </c>
      <c r="BP27" s="49" t="s">
        <v>52</v>
      </c>
      <c r="BQ27" s="15">
        <v>12</v>
      </c>
      <c r="BR27" s="15">
        <v>198921</v>
      </c>
      <c r="BS27" s="14">
        <v>1266.3228252599999</v>
      </c>
      <c r="BT27" s="14">
        <v>1528.8645978699999</v>
      </c>
      <c r="BU27" s="14">
        <v>-262.54177260999899</v>
      </c>
      <c r="BV27" s="14">
        <v>50931.09573452</v>
      </c>
      <c r="BW27" s="14">
        <v>50918.40432293</v>
      </c>
      <c r="BX27" s="18">
        <v>0</v>
      </c>
      <c r="BY27" s="19">
        <v>0</v>
      </c>
      <c r="BZ27" s="49" t="s">
        <v>52</v>
      </c>
      <c r="CA27" s="15">
        <v>12</v>
      </c>
      <c r="CB27" s="15">
        <v>199167</v>
      </c>
      <c r="CC27" s="14">
        <v>1477.7135063600001</v>
      </c>
      <c r="CD27" s="14">
        <v>1385.8313671000001</v>
      </c>
      <c r="CE27" s="14">
        <v>91.882139260000301</v>
      </c>
      <c r="CF27" s="14">
        <v>51333.579008380002</v>
      </c>
      <c r="CG27" s="14">
        <v>51199.961249879998</v>
      </c>
      <c r="CH27" s="18">
        <v>0</v>
      </c>
      <c r="CI27" s="14">
        <v>0</v>
      </c>
      <c r="CJ27" s="49" t="s">
        <v>52</v>
      </c>
      <c r="CK27" s="15">
        <v>12</v>
      </c>
      <c r="CL27" s="15">
        <v>198710</v>
      </c>
      <c r="CM27" s="14">
        <v>2723.2887854000001</v>
      </c>
      <c r="CN27" s="14">
        <v>2000.8530267399999</v>
      </c>
      <c r="CO27" s="14">
        <v>722.43575865999605</v>
      </c>
      <c r="CP27" s="14">
        <v>52217.242245790003</v>
      </c>
      <c r="CQ27" s="14">
        <v>51726.612750630004</v>
      </c>
      <c r="CR27" s="15">
        <v>0</v>
      </c>
      <c r="CS27" s="14">
        <v>0</v>
      </c>
      <c r="CT27" s="2" t="s">
        <v>52</v>
      </c>
      <c r="CU27" s="87">
        <v>12</v>
      </c>
      <c r="CV27" s="87">
        <v>197564</v>
      </c>
      <c r="CW27" s="88">
        <v>1890.39548709</v>
      </c>
      <c r="CX27" s="88">
        <v>1621.9801888300001</v>
      </c>
      <c r="CY27" s="88">
        <v>268.415298260003</v>
      </c>
      <c r="CZ27" s="88">
        <v>52573.192356359999</v>
      </c>
      <c r="DA27" s="88">
        <v>52680.264844470003</v>
      </c>
      <c r="DB27" s="87">
        <v>0</v>
      </c>
      <c r="DC27" s="88">
        <v>0</v>
      </c>
      <c r="DD27" s="2" t="s">
        <v>52</v>
      </c>
      <c r="DE27" s="171">
        <f t="shared" si="0"/>
        <v>18277.47343206</v>
      </c>
      <c r="DF27" s="165">
        <f t="shared" si="1"/>
        <v>-199.37344027999967</v>
      </c>
      <c r="DG27" s="2" t="s">
        <v>52</v>
      </c>
      <c r="DH27" s="172">
        <f t="shared" si="15"/>
        <v>-0.30584097535864663</v>
      </c>
      <c r="DI27" s="166">
        <f t="shared" si="3"/>
        <v>-0.62845790086876252</v>
      </c>
      <c r="DJ27" s="158">
        <f t="shared" si="4"/>
        <v>6.8167159976491257E-3</v>
      </c>
      <c r="DK27" s="155">
        <v>12</v>
      </c>
      <c r="DL27" s="155">
        <v>198069</v>
      </c>
      <c r="DM27" s="155">
        <v>1368.0794355999999</v>
      </c>
      <c r="DN27" s="155">
        <v>1312.1970206999999</v>
      </c>
      <c r="DO27" s="155">
        <v>55.882414899999297</v>
      </c>
      <c r="DP27" s="155">
        <v>53026.7335055</v>
      </c>
      <c r="DQ27" s="155">
        <v>52822.78672466</v>
      </c>
      <c r="DR27" s="155">
        <v>0</v>
      </c>
      <c r="DS27" s="155">
        <v>0</v>
      </c>
      <c r="DT27" s="2" t="s">
        <v>52</v>
      </c>
      <c r="DU27" s="171">
        <f t="shared" si="5"/>
        <v>19645.552867660001</v>
      </c>
      <c r="DV27" s="165">
        <f t="shared" si="6"/>
        <v>-143.49102538000037</v>
      </c>
      <c r="DW27" s="2" t="s">
        <v>52</v>
      </c>
      <c r="DX27" s="174">
        <f t="shared" si="7"/>
        <v>-0.27629988277957263</v>
      </c>
      <c r="DY27" s="169">
        <f t="shared" si="8"/>
        <v>-0.79180614792727544</v>
      </c>
      <c r="DZ27" s="158">
        <f t="shared" si="9"/>
        <v>8.6268519907586345E-3</v>
      </c>
      <c r="EA27" s="2" t="s">
        <v>52</v>
      </c>
      <c r="EB27" s="155">
        <v>12</v>
      </c>
      <c r="EC27" s="155">
        <v>197183</v>
      </c>
      <c r="ED27" s="155">
        <v>1960.8524236400001</v>
      </c>
      <c r="EE27" s="155">
        <v>3750.57451653</v>
      </c>
      <c r="EF27" s="155">
        <v>-1789.7220928900001</v>
      </c>
      <c r="EG27" s="155">
        <v>51283.1878153</v>
      </c>
      <c r="EH27" s="155">
        <v>51967.369765750002</v>
      </c>
      <c r="EI27" s="155">
        <v>0</v>
      </c>
      <c r="EJ27" s="155">
        <v>0</v>
      </c>
      <c r="EK27" s="2" t="s">
        <v>52</v>
      </c>
      <c r="EL27" s="171">
        <f t="shared" si="10"/>
        <v>21606.405291300001</v>
      </c>
      <c r="EM27" s="165">
        <f t="shared" si="11"/>
        <v>-1933.2131182700005</v>
      </c>
      <c r="EN27" s="2" t="s">
        <v>52</v>
      </c>
      <c r="EO27" s="174">
        <f t="shared" si="12"/>
        <v>0.43328842800712608</v>
      </c>
      <c r="EP27" s="169">
        <f t="shared" si="13"/>
        <v>-33.026570363730336</v>
      </c>
      <c r="EQ27" s="158">
        <f t="shared" si="14"/>
        <v>-3.2880503378907126E-2</v>
      </c>
    </row>
    <row r="28" spans="1:147" ht="13" x14ac:dyDescent="0.5">
      <c r="A28" s="16" t="s">
        <v>16</v>
      </c>
      <c r="B28" s="16" t="s">
        <v>118</v>
      </c>
      <c r="C28" s="16" t="s">
        <v>131</v>
      </c>
      <c r="D28" s="16" t="s">
        <v>2</v>
      </c>
      <c r="E28" s="16" t="s">
        <v>3</v>
      </c>
      <c r="F28" s="177">
        <v>41260.386520070002</v>
      </c>
      <c r="G28" s="177">
        <v>43262.126439450003</v>
      </c>
      <c r="H28" s="49" t="s">
        <v>52</v>
      </c>
      <c r="I28" s="15">
        <v>23</v>
      </c>
      <c r="J28" s="15">
        <v>480108</v>
      </c>
      <c r="K28" s="14">
        <v>1438.9389822999999</v>
      </c>
      <c r="L28" s="14">
        <v>1580.86250617</v>
      </c>
      <c r="M28" s="14">
        <v>-141.92352387</v>
      </c>
      <c r="N28" s="14">
        <v>41880.940118990002</v>
      </c>
      <c r="O28" s="14">
        <v>43776.74204764</v>
      </c>
      <c r="P28" s="15">
        <v>1</v>
      </c>
      <c r="Q28" s="14">
        <v>0</v>
      </c>
      <c r="R28" s="49" t="s">
        <v>52</v>
      </c>
      <c r="S28" s="15">
        <v>23</v>
      </c>
      <c r="T28" s="15">
        <v>482654</v>
      </c>
      <c r="U28" s="14">
        <v>1906.4279939400001</v>
      </c>
      <c r="V28" s="14">
        <v>1336.96340538</v>
      </c>
      <c r="W28" s="14">
        <v>569.46458856000004</v>
      </c>
      <c r="X28" s="14">
        <v>43012.56637334</v>
      </c>
      <c r="Y28" s="14">
        <v>44756.329358800002</v>
      </c>
      <c r="Z28" s="15">
        <v>1</v>
      </c>
      <c r="AA28" s="14">
        <v>0</v>
      </c>
      <c r="AB28" s="49" t="s">
        <v>52</v>
      </c>
      <c r="AC28" s="15">
        <v>23</v>
      </c>
      <c r="AD28" s="15">
        <v>487952</v>
      </c>
      <c r="AE28" s="14">
        <v>2453.4675831099999</v>
      </c>
      <c r="AF28" s="14">
        <v>1380.57128117</v>
      </c>
      <c r="AG28" s="14">
        <v>1072.8963019400001</v>
      </c>
      <c r="AH28" s="14">
        <v>44639.455151000002</v>
      </c>
      <c r="AI28" s="14">
        <v>46181.21970216</v>
      </c>
      <c r="AJ28" s="15">
        <v>1</v>
      </c>
      <c r="AK28" s="14">
        <v>0</v>
      </c>
      <c r="AL28" s="49" t="s">
        <v>52</v>
      </c>
      <c r="AM28" s="15">
        <v>24</v>
      </c>
      <c r="AN28" s="15">
        <v>500437</v>
      </c>
      <c r="AO28" s="14">
        <v>3577.8007385400001</v>
      </c>
      <c r="AP28" s="14">
        <v>1474.17203784</v>
      </c>
      <c r="AQ28" s="14">
        <v>2103.6287007000001</v>
      </c>
      <c r="AR28" s="14">
        <v>45727.487120739999</v>
      </c>
      <c r="AS28" s="14">
        <v>48143.708182449998</v>
      </c>
      <c r="AT28" s="15">
        <v>1</v>
      </c>
      <c r="AU28" s="14">
        <v>0</v>
      </c>
      <c r="AV28" s="49" t="s">
        <v>52</v>
      </c>
      <c r="AW28" s="15">
        <v>25</v>
      </c>
      <c r="AX28" s="15">
        <v>510097</v>
      </c>
      <c r="AY28" s="14">
        <v>2450.1994115000002</v>
      </c>
      <c r="AZ28" s="14">
        <v>1581.41130438</v>
      </c>
      <c r="BA28" s="14">
        <v>868.78810711999904</v>
      </c>
      <c r="BB28" s="14">
        <v>46236.228808630003</v>
      </c>
      <c r="BC28" s="14">
        <v>49345.621313349999</v>
      </c>
      <c r="BD28" s="15">
        <v>1</v>
      </c>
      <c r="BE28" s="14">
        <v>0</v>
      </c>
      <c r="BF28" s="49" t="s">
        <v>52</v>
      </c>
      <c r="BG28" s="15">
        <v>25</v>
      </c>
      <c r="BH28" s="15">
        <v>515464</v>
      </c>
      <c r="BI28" s="14">
        <v>3261.02139915</v>
      </c>
      <c r="BJ28" s="14">
        <v>1514.0551598</v>
      </c>
      <c r="BK28" s="14">
        <v>1746.96623935</v>
      </c>
      <c r="BL28" s="14">
        <v>48300.27868797</v>
      </c>
      <c r="BM28" s="14">
        <v>51243.411344660002</v>
      </c>
      <c r="BN28" s="18">
        <v>1</v>
      </c>
      <c r="BO28" s="19">
        <v>0</v>
      </c>
      <c r="BP28" s="49" t="s">
        <v>52</v>
      </c>
      <c r="BQ28" s="15">
        <v>25</v>
      </c>
      <c r="BR28" s="15">
        <v>517166</v>
      </c>
      <c r="BS28" s="14">
        <v>2043.1137725900001</v>
      </c>
      <c r="BT28" s="14">
        <v>1831.3346574100001</v>
      </c>
      <c r="BU28" s="14">
        <v>211.77911518000101</v>
      </c>
      <c r="BV28" s="14">
        <v>49251.120806879997</v>
      </c>
      <c r="BW28" s="14">
        <v>52601.995488909997</v>
      </c>
      <c r="BX28" s="18">
        <v>1</v>
      </c>
      <c r="BY28" s="19">
        <v>0</v>
      </c>
      <c r="BZ28" s="49" t="s">
        <v>52</v>
      </c>
      <c r="CA28" s="15">
        <v>25</v>
      </c>
      <c r="CB28" s="15">
        <v>521328</v>
      </c>
      <c r="CC28" s="14">
        <v>2590.4838966500001</v>
      </c>
      <c r="CD28" s="14">
        <v>1498.92443755</v>
      </c>
      <c r="CE28" s="14">
        <v>1091.5594590999999</v>
      </c>
      <c r="CF28" s="14">
        <v>50672.79067735</v>
      </c>
      <c r="CG28" s="14">
        <v>53587.605000639996</v>
      </c>
      <c r="CH28" s="18">
        <v>1</v>
      </c>
      <c r="CI28" s="14">
        <v>0</v>
      </c>
      <c r="CJ28" s="49" t="s">
        <v>52</v>
      </c>
      <c r="CK28" s="15">
        <v>25</v>
      </c>
      <c r="CL28" s="15">
        <v>525857</v>
      </c>
      <c r="CM28" s="14">
        <v>2578.1743824099999</v>
      </c>
      <c r="CN28" s="14">
        <v>1867.55708482</v>
      </c>
      <c r="CO28" s="14">
        <v>710.61729759000104</v>
      </c>
      <c r="CP28" s="112">
        <v>51235.168255880002</v>
      </c>
      <c r="CQ28" s="14">
        <v>54928.03265899</v>
      </c>
      <c r="CR28" s="15">
        <v>1</v>
      </c>
      <c r="CS28" s="14">
        <v>0</v>
      </c>
      <c r="CT28" s="2" t="s">
        <v>52</v>
      </c>
      <c r="CU28" s="87">
        <v>25</v>
      </c>
      <c r="CV28" s="87">
        <v>528385</v>
      </c>
      <c r="CW28" s="88">
        <v>1981.8468418800001</v>
      </c>
      <c r="CX28" s="88">
        <v>1844.8762306199999</v>
      </c>
      <c r="CY28" s="88">
        <v>136.97061126</v>
      </c>
      <c r="CZ28" s="111">
        <v>50740.465864910002</v>
      </c>
      <c r="DA28" s="88">
        <v>55314.779085030001</v>
      </c>
      <c r="DB28" s="87">
        <v>1</v>
      </c>
      <c r="DC28" s="88">
        <v>0</v>
      </c>
      <c r="DD28" s="2" t="s">
        <v>52</v>
      </c>
      <c r="DE28" s="171">
        <f t="shared" si="0"/>
        <v>24281.475002070001</v>
      </c>
      <c r="DF28" s="165">
        <f t="shared" si="1"/>
        <v>8370.7468969300007</v>
      </c>
      <c r="DG28" s="2" t="s">
        <v>52</v>
      </c>
      <c r="DH28" s="172">
        <f t="shared" si="15"/>
        <v>-0.23129837322042227</v>
      </c>
      <c r="DI28" s="166">
        <f t="shared" si="3"/>
        <v>-0.80725122829893914</v>
      </c>
      <c r="DJ28" s="158">
        <f t="shared" si="4"/>
        <v>-9.6555238874076622E-3</v>
      </c>
      <c r="DK28" s="155">
        <v>24</v>
      </c>
      <c r="DL28" s="155">
        <v>526295</v>
      </c>
      <c r="DM28" s="155">
        <v>1748.1517134000001</v>
      </c>
      <c r="DN28" s="155">
        <v>1705.7926645499999</v>
      </c>
      <c r="DO28" s="155">
        <v>42.359048849999503</v>
      </c>
      <c r="DP28" s="155">
        <v>50498.047534990001</v>
      </c>
      <c r="DQ28" s="155">
        <v>55250.271621779997</v>
      </c>
      <c r="DR28" s="155">
        <v>1</v>
      </c>
      <c r="DS28" s="155">
        <v>0</v>
      </c>
      <c r="DT28" s="2" t="s">
        <v>52</v>
      </c>
      <c r="DU28" s="171">
        <f t="shared" si="5"/>
        <v>26029.62671547</v>
      </c>
      <c r="DV28" s="165">
        <f t="shared" si="6"/>
        <v>8413.1059457800002</v>
      </c>
      <c r="DW28" s="2" t="s">
        <v>52</v>
      </c>
      <c r="DX28" s="174">
        <f t="shared" si="7"/>
        <v>-0.11791785497325032</v>
      </c>
      <c r="DY28" s="169">
        <f t="shared" si="8"/>
        <v>-0.69074352183774057</v>
      </c>
      <c r="DZ28" s="158">
        <f t="shared" si="9"/>
        <v>-4.7776134055491143E-3</v>
      </c>
      <c r="EA28" s="2" t="s">
        <v>52</v>
      </c>
      <c r="EB28" s="155">
        <v>24</v>
      </c>
      <c r="EC28" s="155">
        <v>526001</v>
      </c>
      <c r="ED28" s="155">
        <v>1771.52659709</v>
      </c>
      <c r="EE28" s="155">
        <v>2902.7042285500002</v>
      </c>
      <c r="EF28" s="155">
        <v>-1131.1776314599999</v>
      </c>
      <c r="EG28" s="155">
        <v>47701.174154170003</v>
      </c>
      <c r="EH28" s="155">
        <v>53499.597741209996</v>
      </c>
      <c r="EI28" s="155">
        <v>1</v>
      </c>
      <c r="EJ28" s="155">
        <v>0</v>
      </c>
      <c r="EK28" s="2" t="s">
        <v>52</v>
      </c>
      <c r="EL28" s="171">
        <f t="shared" si="10"/>
        <v>27801.15331256</v>
      </c>
      <c r="EM28" s="165">
        <f t="shared" si="11"/>
        <v>7281.92831432</v>
      </c>
      <c r="EN28" s="2" t="s">
        <v>52</v>
      </c>
      <c r="EO28" s="174">
        <f t="shared" si="12"/>
        <v>1.3371198569795672E-2</v>
      </c>
      <c r="EP28" s="169">
        <f t="shared" si="13"/>
        <v>-27.704509713277311</v>
      </c>
      <c r="EQ28" s="158">
        <f t="shared" si="14"/>
        <v>-5.5385772665409477E-2</v>
      </c>
    </row>
    <row r="29" spans="1:147" ht="13" x14ac:dyDescent="0.5">
      <c r="A29" s="16" t="s">
        <v>13</v>
      </c>
      <c r="B29" s="16" t="s">
        <v>87</v>
      </c>
      <c r="C29" s="16" t="s">
        <v>131</v>
      </c>
      <c r="D29" s="16" t="s">
        <v>2</v>
      </c>
      <c r="E29" s="16" t="s">
        <v>2</v>
      </c>
      <c r="F29" s="177">
        <v>30588.927584910001</v>
      </c>
      <c r="G29" s="177">
        <v>29703.900167899999</v>
      </c>
      <c r="H29" s="49" t="s">
        <v>52</v>
      </c>
      <c r="I29" s="15">
        <v>10</v>
      </c>
      <c r="J29" s="15">
        <v>1200423</v>
      </c>
      <c r="K29" s="14">
        <v>374.6097972</v>
      </c>
      <c r="L29" s="14">
        <v>323.14180957000002</v>
      </c>
      <c r="M29" s="14">
        <v>51.467987630000003</v>
      </c>
      <c r="N29" s="14">
        <v>31332.911870340002</v>
      </c>
      <c r="O29" s="14">
        <v>30501.594969739999</v>
      </c>
      <c r="P29" s="15">
        <v>0</v>
      </c>
      <c r="Q29" s="14">
        <v>0</v>
      </c>
      <c r="R29" s="49" t="s">
        <v>52</v>
      </c>
      <c r="S29" s="15">
        <v>10</v>
      </c>
      <c r="T29" s="15">
        <v>1200267</v>
      </c>
      <c r="U29" s="14">
        <v>369.64900783000002</v>
      </c>
      <c r="V29" s="14">
        <v>390.46696899</v>
      </c>
      <c r="W29" s="14">
        <v>-20.817961159999999</v>
      </c>
      <c r="X29" s="14">
        <v>32177.144297499999</v>
      </c>
      <c r="Y29" s="14">
        <v>31766.580217300001</v>
      </c>
      <c r="Z29" s="15">
        <v>0</v>
      </c>
      <c r="AA29" s="14">
        <v>0</v>
      </c>
      <c r="AB29" s="49" t="s">
        <v>52</v>
      </c>
      <c r="AC29" s="15">
        <v>10</v>
      </c>
      <c r="AD29" s="15">
        <v>1202199</v>
      </c>
      <c r="AE29" s="14">
        <v>385.37556016000002</v>
      </c>
      <c r="AF29" s="14">
        <v>339.82827553999999</v>
      </c>
      <c r="AG29" s="14">
        <v>45.5472846199999</v>
      </c>
      <c r="AH29" s="14">
        <v>33161.754214530003</v>
      </c>
      <c r="AI29" s="14">
        <v>32586.64957052</v>
      </c>
      <c r="AJ29" s="15">
        <v>0</v>
      </c>
      <c r="AK29" s="14">
        <v>0</v>
      </c>
      <c r="AL29" s="49" t="s">
        <v>52</v>
      </c>
      <c r="AM29" s="15">
        <v>10</v>
      </c>
      <c r="AN29" s="15">
        <v>1204368</v>
      </c>
      <c r="AO29" s="14">
        <v>481.56155617000002</v>
      </c>
      <c r="AP29" s="14">
        <v>384.90880006999998</v>
      </c>
      <c r="AQ29" s="14">
        <v>96.652756100000303</v>
      </c>
      <c r="AR29" s="14">
        <v>32558.583684220001</v>
      </c>
      <c r="AS29" s="14">
        <v>32991.976460899998</v>
      </c>
      <c r="AT29" s="15">
        <v>0</v>
      </c>
      <c r="AU29" s="14">
        <v>0</v>
      </c>
      <c r="AV29" s="49" t="s">
        <v>52</v>
      </c>
      <c r="AW29" s="15">
        <v>10</v>
      </c>
      <c r="AX29" s="15">
        <v>1205305</v>
      </c>
      <c r="AY29" s="14">
        <v>301.51411218999999</v>
      </c>
      <c r="AZ29" s="14">
        <v>476.20100411999999</v>
      </c>
      <c r="BA29" s="14">
        <v>-174.68689193</v>
      </c>
      <c r="BB29" s="14">
        <v>31985.923607839999</v>
      </c>
      <c r="BC29" s="14">
        <v>32231.62898637</v>
      </c>
      <c r="BD29" s="15">
        <v>0</v>
      </c>
      <c r="BE29" s="14">
        <v>0</v>
      </c>
      <c r="BF29" s="49" t="s">
        <v>52</v>
      </c>
      <c r="BG29" s="15">
        <v>10</v>
      </c>
      <c r="BH29" s="15">
        <v>1201716</v>
      </c>
      <c r="BI29" s="14">
        <v>437.84596011999997</v>
      </c>
      <c r="BJ29" s="14">
        <v>605.62971496</v>
      </c>
      <c r="BK29" s="14">
        <v>-167.78375484</v>
      </c>
      <c r="BL29" s="14">
        <v>32240.979630369999</v>
      </c>
      <c r="BM29" s="14">
        <v>32554.17204279</v>
      </c>
      <c r="BN29" s="18">
        <v>0</v>
      </c>
      <c r="BO29" s="19">
        <v>0</v>
      </c>
      <c r="BP29" s="49" t="s">
        <v>52</v>
      </c>
      <c r="BQ29" s="15">
        <v>10</v>
      </c>
      <c r="BR29" s="15">
        <v>1194639</v>
      </c>
      <c r="BS29" s="14">
        <v>295.59052543000001</v>
      </c>
      <c r="BT29" s="14">
        <v>474.54709955999999</v>
      </c>
      <c r="BU29" s="14">
        <v>-178.95657413000001</v>
      </c>
      <c r="BV29" s="14">
        <v>33210.961779190002</v>
      </c>
      <c r="BW29" s="14">
        <v>32993.513052139999</v>
      </c>
      <c r="BX29" s="18">
        <v>0</v>
      </c>
      <c r="BY29" s="19">
        <v>0</v>
      </c>
      <c r="BZ29" s="49" t="s">
        <v>52</v>
      </c>
      <c r="CA29" s="15">
        <v>10</v>
      </c>
      <c r="CB29" s="15">
        <v>1190781</v>
      </c>
      <c r="CC29" s="14">
        <v>302.16430924999997</v>
      </c>
      <c r="CD29" s="14">
        <v>579.90346933000001</v>
      </c>
      <c r="CE29" s="14">
        <v>-277.73916007999998</v>
      </c>
      <c r="CF29" s="14">
        <v>33075.760356979998</v>
      </c>
      <c r="CG29" s="14">
        <v>33066.854989090003</v>
      </c>
      <c r="CH29" s="18">
        <v>0</v>
      </c>
      <c r="CI29" s="14">
        <v>0</v>
      </c>
      <c r="CJ29" s="49" t="s">
        <v>52</v>
      </c>
      <c r="CK29" s="15">
        <v>10</v>
      </c>
      <c r="CL29" s="15">
        <v>1185004</v>
      </c>
      <c r="CM29" s="14">
        <v>299.86400206000002</v>
      </c>
      <c r="CN29" s="14">
        <v>554.18180820999896</v>
      </c>
      <c r="CO29" s="103">
        <v>-254.317806149999</v>
      </c>
      <c r="CP29" s="112">
        <v>32862.763684780002</v>
      </c>
      <c r="CQ29" s="14">
        <v>32791.608159199997</v>
      </c>
      <c r="CR29" s="15">
        <v>0</v>
      </c>
      <c r="CS29" s="14">
        <v>0</v>
      </c>
      <c r="CT29" s="2" t="s">
        <v>52</v>
      </c>
      <c r="CU29" s="87">
        <v>11</v>
      </c>
      <c r="CV29" s="87">
        <v>1202510</v>
      </c>
      <c r="CW29" s="88">
        <v>524.74233233999996</v>
      </c>
      <c r="CX29" s="88">
        <v>476.9138552</v>
      </c>
      <c r="CY29" s="104">
        <v>47.828477139999499</v>
      </c>
      <c r="CZ29" s="111">
        <v>32451.327946670001</v>
      </c>
      <c r="DA29" s="88">
        <v>32480.449078990001</v>
      </c>
      <c r="DB29" s="87">
        <v>0</v>
      </c>
      <c r="DC29" s="88">
        <v>0</v>
      </c>
      <c r="DD29" s="2" t="s">
        <v>52</v>
      </c>
      <c r="DE29" s="171">
        <f t="shared" si="0"/>
        <v>3772.91716275</v>
      </c>
      <c r="DF29" s="165">
        <f t="shared" si="1"/>
        <v>-832.80564279999942</v>
      </c>
      <c r="DG29" s="2" t="s">
        <v>52</v>
      </c>
      <c r="DH29" s="172">
        <f t="shared" si="15"/>
        <v>0.7499343993781683</v>
      </c>
      <c r="DI29" s="166">
        <f t="shared" si="3"/>
        <v>-1.1880657821961149</v>
      </c>
      <c r="DJ29" s="158">
        <f t="shared" si="4"/>
        <v>-1.2519815498674971E-2</v>
      </c>
      <c r="DK29" s="155">
        <v>11</v>
      </c>
      <c r="DL29" s="155">
        <v>1202537</v>
      </c>
      <c r="DM29" s="155">
        <v>395.08155954</v>
      </c>
      <c r="DN29" s="155">
        <v>373.85870037000001</v>
      </c>
      <c r="DO29" s="155">
        <v>21.222859169999499</v>
      </c>
      <c r="DP29" s="155">
        <v>32643.01954515</v>
      </c>
      <c r="DQ29" s="155">
        <v>32788.545693259999</v>
      </c>
      <c r="DR29" s="155">
        <v>0</v>
      </c>
      <c r="DS29" s="155">
        <v>0</v>
      </c>
      <c r="DT29" s="2" t="s">
        <v>52</v>
      </c>
      <c r="DU29" s="171">
        <f t="shared" si="5"/>
        <v>4167.9987222899999</v>
      </c>
      <c r="DV29" s="165">
        <f t="shared" si="6"/>
        <v>-811.58278362999988</v>
      </c>
      <c r="DW29" s="2" t="s">
        <v>52</v>
      </c>
      <c r="DX29" s="174">
        <f t="shared" si="7"/>
        <v>-0.24709417329034539</v>
      </c>
      <c r="DY29" s="169">
        <f t="shared" si="8"/>
        <v>-0.5562714842900448</v>
      </c>
      <c r="DZ29" s="158">
        <f t="shared" si="9"/>
        <v>5.9070494370838311E-3</v>
      </c>
      <c r="EA29" s="2" t="s">
        <v>52</v>
      </c>
      <c r="EB29" s="155">
        <v>11</v>
      </c>
      <c r="EC29" s="155">
        <v>1202408</v>
      </c>
      <c r="ED29" s="155">
        <v>340.87793620000002</v>
      </c>
      <c r="EE29" s="155">
        <v>400.09117244999902</v>
      </c>
      <c r="EF29" s="155">
        <v>-59.213236249998801</v>
      </c>
      <c r="EG29" s="155">
        <v>29022.69307886</v>
      </c>
      <c r="EH29" s="155">
        <v>30604.35419595</v>
      </c>
      <c r="EI29" s="155">
        <v>0</v>
      </c>
      <c r="EJ29" s="155">
        <v>0</v>
      </c>
      <c r="EK29" s="2" t="s">
        <v>52</v>
      </c>
      <c r="EL29" s="171">
        <f t="shared" si="10"/>
        <v>4508.8766584900004</v>
      </c>
      <c r="EM29" s="165">
        <f t="shared" si="11"/>
        <v>-870.79601987999865</v>
      </c>
      <c r="EN29" s="2" t="s">
        <v>52</v>
      </c>
      <c r="EO29" s="174">
        <f t="shared" si="12"/>
        <v>-0.1371960346696772</v>
      </c>
      <c r="EP29" s="169">
        <f t="shared" si="13"/>
        <v>-3.7900687544354184</v>
      </c>
      <c r="EQ29" s="158">
        <f t="shared" si="14"/>
        <v>-0.11090660474232682</v>
      </c>
    </row>
    <row r="30" spans="1:147" ht="13" x14ac:dyDescent="0.5">
      <c r="A30" s="16" t="s">
        <v>38</v>
      </c>
      <c r="B30" s="16" t="s">
        <v>111</v>
      </c>
      <c r="C30" s="16" t="s">
        <v>131</v>
      </c>
      <c r="D30" s="16" t="s">
        <v>2</v>
      </c>
      <c r="E30" s="16" t="s">
        <v>2</v>
      </c>
      <c r="F30" s="177">
        <v>29104.498218019999</v>
      </c>
      <c r="G30" s="177">
        <v>28388.194813210001</v>
      </c>
      <c r="H30" s="49" t="s">
        <v>52</v>
      </c>
      <c r="I30" s="15">
        <v>29</v>
      </c>
      <c r="J30" s="15">
        <v>2999887</v>
      </c>
      <c r="K30" s="14">
        <v>254.96061386</v>
      </c>
      <c r="L30" s="14">
        <v>178.95675274000001</v>
      </c>
      <c r="M30" s="14">
        <v>76.003861119999996</v>
      </c>
      <c r="N30" s="14">
        <v>29996.207423799999</v>
      </c>
      <c r="O30" s="14">
        <v>29245.262297900001</v>
      </c>
      <c r="P30" s="15">
        <v>0</v>
      </c>
      <c r="Q30" s="14">
        <v>0</v>
      </c>
      <c r="R30" s="49" t="s">
        <v>52</v>
      </c>
      <c r="S30" s="15">
        <v>29</v>
      </c>
      <c r="T30" s="15">
        <v>3003234</v>
      </c>
      <c r="U30" s="14">
        <v>251.43797408</v>
      </c>
      <c r="V30" s="14">
        <v>198.52860462999999</v>
      </c>
      <c r="W30" s="14">
        <v>52.909369450000099</v>
      </c>
      <c r="X30" s="14">
        <v>31006.981563680001</v>
      </c>
      <c r="Y30" s="14">
        <v>30588.371756709999</v>
      </c>
      <c r="Z30" s="15">
        <v>0</v>
      </c>
      <c r="AA30" s="14">
        <v>0</v>
      </c>
      <c r="AB30" s="49" t="s">
        <v>52</v>
      </c>
      <c r="AC30" s="15">
        <v>29</v>
      </c>
      <c r="AD30" s="15">
        <v>3009203</v>
      </c>
      <c r="AE30" s="14">
        <v>271.58924686</v>
      </c>
      <c r="AF30" s="14">
        <v>193.11502426999999</v>
      </c>
      <c r="AG30" s="14">
        <v>78.474222589999897</v>
      </c>
      <c r="AH30" s="14">
        <v>31973.264830479999</v>
      </c>
      <c r="AI30" s="14">
        <v>31446.29259718</v>
      </c>
      <c r="AJ30" s="15">
        <v>0</v>
      </c>
      <c r="AK30" s="14">
        <v>0</v>
      </c>
      <c r="AL30" s="49" t="s">
        <v>52</v>
      </c>
      <c r="AM30" s="15">
        <v>29</v>
      </c>
      <c r="AN30" s="15">
        <v>3016170</v>
      </c>
      <c r="AO30" s="14">
        <v>316.29630371000002</v>
      </c>
      <c r="AP30" s="14">
        <v>197.39610628</v>
      </c>
      <c r="AQ30" s="14">
        <v>118.90019743000001</v>
      </c>
      <c r="AR30" s="14">
        <v>31415.74661142</v>
      </c>
      <c r="AS30" s="14">
        <v>31812.873324640001</v>
      </c>
      <c r="AT30" s="15">
        <v>0</v>
      </c>
      <c r="AU30" s="14">
        <v>0</v>
      </c>
      <c r="AV30" s="49" t="s">
        <v>52</v>
      </c>
      <c r="AW30" s="15">
        <v>29</v>
      </c>
      <c r="AX30" s="15">
        <v>3022062</v>
      </c>
      <c r="AY30" s="14">
        <v>274.72057389999998</v>
      </c>
      <c r="AZ30" s="14">
        <v>140.24965792</v>
      </c>
      <c r="BA30" s="14">
        <v>134.47091598</v>
      </c>
      <c r="BB30" s="14">
        <v>31058.435105500001</v>
      </c>
      <c r="BC30" s="14">
        <v>31359.242218390002</v>
      </c>
      <c r="BD30" s="15">
        <v>0</v>
      </c>
      <c r="BE30" s="14">
        <v>0</v>
      </c>
      <c r="BF30" s="49" t="s">
        <v>52</v>
      </c>
      <c r="BG30" s="15">
        <v>29</v>
      </c>
      <c r="BH30" s="15">
        <v>3027172</v>
      </c>
      <c r="BI30" s="14">
        <v>291.37090552000001</v>
      </c>
      <c r="BJ30" s="14">
        <v>194.55247764999999</v>
      </c>
      <c r="BK30" s="14">
        <v>96.818427870000306</v>
      </c>
      <c r="BL30" s="14">
        <v>31454.415162879999</v>
      </c>
      <c r="BM30" s="14">
        <v>31800.743402519998</v>
      </c>
      <c r="BN30" s="18">
        <v>0</v>
      </c>
      <c r="BO30" s="19">
        <v>0</v>
      </c>
      <c r="BP30" s="49" t="s">
        <v>52</v>
      </c>
      <c r="BQ30" s="15">
        <v>29</v>
      </c>
      <c r="BR30" s="15">
        <v>3032112</v>
      </c>
      <c r="BS30" s="14">
        <v>274.53561349</v>
      </c>
      <c r="BT30" s="14">
        <v>170.50776877999999</v>
      </c>
      <c r="BU30" s="14">
        <v>104.02784471</v>
      </c>
      <c r="BV30" s="14">
        <v>32512.29817342</v>
      </c>
      <c r="BW30" s="14">
        <v>32307.958252140001</v>
      </c>
      <c r="BX30" s="18">
        <v>0</v>
      </c>
      <c r="BY30" s="19">
        <v>0</v>
      </c>
      <c r="BZ30" s="49" t="s">
        <v>52</v>
      </c>
      <c r="CA30" s="15">
        <v>29</v>
      </c>
      <c r="CB30" s="15">
        <v>3037674</v>
      </c>
      <c r="CC30" s="14">
        <v>268.39014057999998</v>
      </c>
      <c r="CD30" s="14">
        <v>162.00462271999999</v>
      </c>
      <c r="CE30" s="14">
        <v>106.38551785999999</v>
      </c>
      <c r="CF30" s="14">
        <v>32835.332740799997</v>
      </c>
      <c r="CG30" s="14">
        <v>32694.49063389</v>
      </c>
      <c r="CH30" s="18">
        <v>0</v>
      </c>
      <c r="CI30" s="14">
        <v>0</v>
      </c>
      <c r="CJ30" s="49" t="s">
        <v>52</v>
      </c>
      <c r="CK30" s="15">
        <v>29</v>
      </c>
      <c r="CL30" s="15">
        <v>3042915</v>
      </c>
      <c r="CM30" s="14">
        <v>299.89411139999999</v>
      </c>
      <c r="CN30" s="14">
        <v>178.8978223</v>
      </c>
      <c r="CO30" s="14">
        <v>120.9962891</v>
      </c>
      <c r="CP30" s="112">
        <v>32828.505980590002</v>
      </c>
      <c r="CQ30" s="14">
        <v>32711.55552021</v>
      </c>
      <c r="CR30" s="15">
        <v>0</v>
      </c>
      <c r="CS30" s="14">
        <v>0</v>
      </c>
      <c r="CT30" s="2" t="s">
        <v>52</v>
      </c>
      <c r="CU30" s="87">
        <v>29</v>
      </c>
      <c r="CV30" s="87">
        <v>3049871</v>
      </c>
      <c r="CW30" s="88">
        <v>279.23072788000002</v>
      </c>
      <c r="CX30" s="88">
        <v>174.71369077</v>
      </c>
      <c r="CY30" s="88">
        <v>104.51703711</v>
      </c>
      <c r="CZ30" s="111">
        <v>32044.11324269</v>
      </c>
      <c r="DA30" s="88">
        <v>32448.643474460001</v>
      </c>
      <c r="DB30" s="87">
        <v>0</v>
      </c>
      <c r="DC30" s="88">
        <v>0</v>
      </c>
      <c r="DD30" s="2" t="s">
        <v>52</v>
      </c>
      <c r="DE30" s="171">
        <f t="shared" si="0"/>
        <v>2782.4262112799997</v>
      </c>
      <c r="DF30" s="165">
        <f t="shared" si="1"/>
        <v>993.50368322000031</v>
      </c>
      <c r="DG30" s="2" t="s">
        <v>52</v>
      </c>
      <c r="DH30" s="172">
        <f t="shared" si="15"/>
        <v>-6.8902264947907105E-2</v>
      </c>
      <c r="DI30" s="166">
        <f t="shared" si="3"/>
        <v>-0.13619634215707524</v>
      </c>
      <c r="DJ30" s="158">
        <f t="shared" si="4"/>
        <v>-2.3893647135930497E-2</v>
      </c>
      <c r="DK30" s="155">
        <v>29</v>
      </c>
      <c r="DL30" s="155">
        <v>3055597</v>
      </c>
      <c r="DM30" s="155">
        <v>293.78622217999998</v>
      </c>
      <c r="DN30" s="155">
        <v>275.41608912999999</v>
      </c>
      <c r="DO30" s="155">
        <v>18.370133049999598</v>
      </c>
      <c r="DP30" s="155">
        <v>32229.113991350001</v>
      </c>
      <c r="DQ30" s="155">
        <v>32619.674996760001</v>
      </c>
      <c r="DR30" s="155">
        <v>0</v>
      </c>
      <c r="DS30" s="155">
        <v>0</v>
      </c>
      <c r="DT30" s="2" t="s">
        <v>52</v>
      </c>
      <c r="DU30" s="171">
        <f t="shared" si="5"/>
        <v>3076.2124334599998</v>
      </c>
      <c r="DV30" s="165">
        <f t="shared" si="6"/>
        <v>1011.8738162699999</v>
      </c>
      <c r="DW30" s="2" t="s">
        <v>52</v>
      </c>
      <c r="DX30" s="174">
        <f t="shared" si="7"/>
        <v>5.2127122292411947E-2</v>
      </c>
      <c r="DY30" s="169">
        <f t="shared" si="8"/>
        <v>-0.82423790840276345</v>
      </c>
      <c r="DZ30" s="158">
        <f t="shared" si="9"/>
        <v>5.7733146571688513E-3</v>
      </c>
      <c r="EA30" s="2" t="s">
        <v>52</v>
      </c>
      <c r="EB30" s="155">
        <v>29</v>
      </c>
      <c r="EC30" s="155">
        <v>3059924</v>
      </c>
      <c r="ED30" s="155">
        <v>252.81951767000001</v>
      </c>
      <c r="EE30" s="155">
        <v>224.12635517000001</v>
      </c>
      <c r="EF30" s="155">
        <v>28.693162500000199</v>
      </c>
      <c r="EG30" s="155">
        <v>29275.012654959999</v>
      </c>
      <c r="EH30" s="155">
        <v>30709.120300480001</v>
      </c>
      <c r="EI30" s="155">
        <v>0</v>
      </c>
      <c r="EJ30" s="155">
        <v>0</v>
      </c>
      <c r="EK30" s="2" t="s">
        <v>52</v>
      </c>
      <c r="EL30" s="171">
        <f t="shared" si="10"/>
        <v>3329.0319511299999</v>
      </c>
      <c r="EM30" s="165">
        <f t="shared" si="11"/>
        <v>1040.5669787700001</v>
      </c>
      <c r="EN30" s="2" t="s">
        <v>52</v>
      </c>
      <c r="EO30" s="174">
        <f t="shared" si="12"/>
        <v>-0.13944392696843375</v>
      </c>
      <c r="EP30" s="169">
        <f t="shared" si="13"/>
        <v>0.56194636271297049</v>
      </c>
      <c r="EQ30" s="158">
        <f t="shared" si="14"/>
        <v>-9.1659402650127328E-2</v>
      </c>
    </row>
    <row r="31" spans="1:147" ht="13" x14ac:dyDescent="0.5">
      <c r="A31" s="16" t="s">
        <v>8</v>
      </c>
      <c r="B31" s="16" t="s">
        <v>24</v>
      </c>
      <c r="C31" s="16" t="s">
        <v>101</v>
      </c>
      <c r="D31" s="16" t="s">
        <v>6</v>
      </c>
      <c r="E31" s="16" t="s">
        <v>7</v>
      </c>
      <c r="F31" s="177">
        <v>0</v>
      </c>
      <c r="G31" s="177">
        <v>0</v>
      </c>
      <c r="H31" s="49" t="s">
        <v>52</v>
      </c>
      <c r="I31" s="15">
        <v>0</v>
      </c>
      <c r="J31" s="15">
        <v>0</v>
      </c>
      <c r="K31" s="14">
        <v>0</v>
      </c>
      <c r="L31" s="14">
        <v>0</v>
      </c>
      <c r="M31" s="14">
        <v>0</v>
      </c>
      <c r="N31" s="14">
        <v>0</v>
      </c>
      <c r="O31" s="14">
        <v>0</v>
      </c>
      <c r="P31" s="15">
        <v>0</v>
      </c>
      <c r="Q31" s="14">
        <v>0</v>
      </c>
      <c r="R31" s="49" t="s">
        <v>52</v>
      </c>
      <c r="S31" s="15">
        <v>0</v>
      </c>
      <c r="T31" s="15">
        <v>0</v>
      </c>
      <c r="U31" s="14">
        <v>0</v>
      </c>
      <c r="V31" s="14">
        <v>0</v>
      </c>
      <c r="W31" s="14">
        <v>0</v>
      </c>
      <c r="X31" s="14">
        <v>0</v>
      </c>
      <c r="Y31" s="14">
        <v>0</v>
      </c>
      <c r="Z31" s="15">
        <v>0</v>
      </c>
      <c r="AA31" s="14">
        <v>0</v>
      </c>
      <c r="AB31" s="49" t="s">
        <v>52</v>
      </c>
      <c r="AC31" s="15">
        <v>0</v>
      </c>
      <c r="AD31" s="15">
        <v>0</v>
      </c>
      <c r="AE31" s="14">
        <v>0</v>
      </c>
      <c r="AF31" s="14">
        <v>0</v>
      </c>
      <c r="AG31" s="14">
        <v>0</v>
      </c>
      <c r="AH31" s="14">
        <v>0</v>
      </c>
      <c r="AI31" s="14">
        <v>0</v>
      </c>
      <c r="AJ31" s="15">
        <v>0</v>
      </c>
      <c r="AK31" s="14">
        <v>0</v>
      </c>
      <c r="AL31" s="49" t="s">
        <v>52</v>
      </c>
      <c r="AM31" s="15">
        <v>0</v>
      </c>
      <c r="AN31" s="15">
        <v>0</v>
      </c>
      <c r="AO31" s="14">
        <v>0</v>
      </c>
      <c r="AP31" s="14">
        <v>0</v>
      </c>
      <c r="AQ31" s="14">
        <v>0</v>
      </c>
      <c r="AR31" s="14">
        <v>0</v>
      </c>
      <c r="AS31" s="14">
        <v>0</v>
      </c>
      <c r="AT31" s="15">
        <v>0</v>
      </c>
      <c r="AU31" s="14">
        <v>0</v>
      </c>
      <c r="AV31" s="49" t="s">
        <v>52</v>
      </c>
      <c r="AW31" s="15">
        <v>0</v>
      </c>
      <c r="AX31" s="15">
        <v>0</v>
      </c>
      <c r="AY31" s="14">
        <v>0</v>
      </c>
      <c r="AZ31" s="14">
        <v>0</v>
      </c>
      <c r="BA31" s="14">
        <v>0</v>
      </c>
      <c r="BB31" s="14">
        <v>0</v>
      </c>
      <c r="BC31" s="14">
        <v>0</v>
      </c>
      <c r="BD31" s="15">
        <v>0</v>
      </c>
      <c r="BE31" s="14">
        <v>0</v>
      </c>
      <c r="BF31" s="49" t="s">
        <v>52</v>
      </c>
      <c r="BG31" s="15">
        <v>0</v>
      </c>
      <c r="BH31" s="15">
        <v>0</v>
      </c>
      <c r="BI31" s="14">
        <v>0</v>
      </c>
      <c r="BJ31" s="14">
        <v>0</v>
      </c>
      <c r="BK31" s="14">
        <v>0</v>
      </c>
      <c r="BL31" s="14">
        <v>0</v>
      </c>
      <c r="BM31" s="14">
        <v>0</v>
      </c>
      <c r="BN31" s="18">
        <v>0</v>
      </c>
      <c r="BO31" s="19">
        <v>0</v>
      </c>
      <c r="BP31" s="49" t="s">
        <v>52</v>
      </c>
      <c r="BQ31" s="15">
        <v>0</v>
      </c>
      <c r="BR31" s="15">
        <v>0</v>
      </c>
      <c r="BS31" s="14">
        <v>0</v>
      </c>
      <c r="BT31" s="14">
        <v>0</v>
      </c>
      <c r="BU31" s="14">
        <v>0</v>
      </c>
      <c r="BV31" s="14">
        <v>0</v>
      </c>
      <c r="BW31" s="14">
        <v>0</v>
      </c>
      <c r="BX31" s="18">
        <v>0</v>
      </c>
      <c r="BY31" s="19">
        <v>0</v>
      </c>
      <c r="BZ31" s="49" t="s">
        <v>52</v>
      </c>
      <c r="CA31" s="15">
        <v>0</v>
      </c>
      <c r="CB31" s="15">
        <v>0</v>
      </c>
      <c r="CC31" s="14">
        <v>0</v>
      </c>
      <c r="CD31" s="14">
        <v>0</v>
      </c>
      <c r="CE31" s="14">
        <v>0</v>
      </c>
      <c r="CF31" s="14">
        <v>0</v>
      </c>
      <c r="CG31" s="14">
        <v>0</v>
      </c>
      <c r="CH31" s="18">
        <v>0</v>
      </c>
      <c r="CI31" s="14">
        <v>0</v>
      </c>
      <c r="CJ31" s="49" t="s">
        <v>52</v>
      </c>
      <c r="CK31" s="15">
        <v>0</v>
      </c>
      <c r="CL31" s="15">
        <v>0</v>
      </c>
      <c r="CM31" s="14">
        <v>0</v>
      </c>
      <c r="CN31" s="14">
        <v>0</v>
      </c>
      <c r="CO31" s="14">
        <v>0</v>
      </c>
      <c r="CP31" s="14">
        <v>0</v>
      </c>
      <c r="CQ31" s="14">
        <v>0</v>
      </c>
      <c r="CR31" s="15">
        <v>0</v>
      </c>
      <c r="CS31" s="14">
        <v>0</v>
      </c>
      <c r="CT31" s="2" t="s">
        <v>52</v>
      </c>
      <c r="CU31" s="87">
        <v>0</v>
      </c>
      <c r="CV31" s="87">
        <v>0</v>
      </c>
      <c r="CW31" s="88">
        <v>0</v>
      </c>
      <c r="CX31" s="88">
        <v>0</v>
      </c>
      <c r="CY31" s="88">
        <v>0</v>
      </c>
      <c r="CZ31" s="88">
        <v>0</v>
      </c>
      <c r="DA31" s="88">
        <v>0</v>
      </c>
      <c r="DB31" s="87">
        <v>0</v>
      </c>
      <c r="DC31" s="88">
        <v>0</v>
      </c>
      <c r="DD31" s="2" t="s">
        <v>52</v>
      </c>
      <c r="DE31" s="171">
        <f t="shared" si="0"/>
        <v>0</v>
      </c>
      <c r="DF31" s="165">
        <f t="shared" si="1"/>
        <v>0</v>
      </c>
      <c r="DG31" s="2" t="s">
        <v>52</v>
      </c>
      <c r="DH31" s="172">
        <v>0</v>
      </c>
      <c r="DI31" s="166">
        <v>0</v>
      </c>
      <c r="DJ31" s="158">
        <v>0</v>
      </c>
      <c r="DK31" s="155">
        <v>0</v>
      </c>
      <c r="DL31" s="155">
        <v>0</v>
      </c>
      <c r="DM31" s="155">
        <v>0</v>
      </c>
      <c r="DN31" s="155">
        <v>0</v>
      </c>
      <c r="DO31" s="155">
        <v>0</v>
      </c>
      <c r="DP31" s="155">
        <v>0</v>
      </c>
      <c r="DQ31" s="155">
        <v>0</v>
      </c>
      <c r="DR31" s="155">
        <v>0</v>
      </c>
      <c r="DS31" s="155">
        <v>0</v>
      </c>
      <c r="DT31" s="2" t="s">
        <v>52</v>
      </c>
      <c r="DU31" s="171">
        <f t="shared" si="5"/>
        <v>0</v>
      </c>
      <c r="DV31" s="165">
        <f t="shared" si="6"/>
        <v>0</v>
      </c>
      <c r="DW31" s="2" t="s">
        <v>52</v>
      </c>
      <c r="DX31" s="174" t="e">
        <f t="shared" si="7"/>
        <v>#DIV/0!</v>
      </c>
      <c r="DY31" s="169" t="e">
        <f t="shared" si="8"/>
        <v>#DIV/0!</v>
      </c>
      <c r="DZ31" s="158" t="e">
        <f t="shared" si="9"/>
        <v>#DIV/0!</v>
      </c>
      <c r="EA31" s="2" t="s">
        <v>52</v>
      </c>
      <c r="EB31" s="155">
        <v>0</v>
      </c>
      <c r="EC31" s="155">
        <v>0</v>
      </c>
      <c r="ED31" s="155">
        <v>0</v>
      </c>
      <c r="EE31" s="155">
        <v>0</v>
      </c>
      <c r="EF31" s="155">
        <v>0</v>
      </c>
      <c r="EG31" s="155">
        <v>0</v>
      </c>
      <c r="EH31" s="155">
        <v>0</v>
      </c>
      <c r="EI31" s="155">
        <v>0</v>
      </c>
      <c r="EJ31" s="155">
        <v>0</v>
      </c>
      <c r="EK31" s="2" t="s">
        <v>52</v>
      </c>
      <c r="EL31" s="171">
        <f t="shared" si="10"/>
        <v>0</v>
      </c>
      <c r="EM31" s="165">
        <f t="shared" si="11"/>
        <v>0</v>
      </c>
      <c r="EN31" s="2" t="s">
        <v>52</v>
      </c>
      <c r="EO31" s="174" t="e">
        <f t="shared" si="12"/>
        <v>#DIV/0!</v>
      </c>
      <c r="EP31" s="169" t="e">
        <f t="shared" si="13"/>
        <v>#DIV/0!</v>
      </c>
      <c r="EQ31" s="158" t="e">
        <f t="shared" si="14"/>
        <v>#DIV/0!</v>
      </c>
    </row>
    <row r="32" spans="1:147" ht="13" x14ac:dyDescent="0.5">
      <c r="A32" s="16" t="s">
        <v>25</v>
      </c>
      <c r="B32" s="16" t="s">
        <v>24</v>
      </c>
      <c r="C32" s="16" t="s">
        <v>101</v>
      </c>
      <c r="D32" s="16" t="s">
        <v>6</v>
      </c>
      <c r="E32" s="16" t="s">
        <v>7</v>
      </c>
      <c r="F32" s="177">
        <v>1112.5221349999999</v>
      </c>
      <c r="G32" s="177">
        <v>1109.202059</v>
      </c>
      <c r="H32" s="49" t="s">
        <v>52</v>
      </c>
      <c r="I32" s="15">
        <v>4</v>
      </c>
      <c r="J32" s="15">
        <v>30</v>
      </c>
      <c r="K32" s="14">
        <v>0</v>
      </c>
      <c r="L32" s="14">
        <v>0</v>
      </c>
      <c r="M32" s="14">
        <v>0</v>
      </c>
      <c r="N32" s="14">
        <v>1119.266971</v>
      </c>
      <c r="O32" s="14">
        <v>1116.006625</v>
      </c>
      <c r="P32" s="15">
        <v>0</v>
      </c>
      <c r="Q32" s="14">
        <v>0</v>
      </c>
      <c r="R32" s="49" t="s">
        <v>52</v>
      </c>
      <c r="S32" s="15">
        <v>3</v>
      </c>
      <c r="T32" s="15">
        <v>19</v>
      </c>
      <c r="U32" s="14">
        <v>0</v>
      </c>
      <c r="V32" s="14">
        <v>261.85378209999999</v>
      </c>
      <c r="W32" s="14">
        <v>-261.85378209999999</v>
      </c>
      <c r="X32" s="14">
        <v>862.96336429999997</v>
      </c>
      <c r="Y32" s="14">
        <v>1122.1403330000001</v>
      </c>
      <c r="Z32" s="15">
        <v>0</v>
      </c>
      <c r="AA32" s="14">
        <v>0</v>
      </c>
      <c r="AB32" s="49" t="s">
        <v>52</v>
      </c>
      <c r="AC32" s="15">
        <v>3</v>
      </c>
      <c r="AD32" s="15">
        <v>19</v>
      </c>
      <c r="AE32" s="14">
        <v>0</v>
      </c>
      <c r="AF32" s="14">
        <v>0</v>
      </c>
      <c r="AG32" s="14">
        <v>0</v>
      </c>
      <c r="AH32" s="14">
        <v>868.08374779999997</v>
      </c>
      <c r="AI32" s="14">
        <v>865.59714650000001</v>
      </c>
      <c r="AJ32" s="15">
        <v>0</v>
      </c>
      <c r="AK32" s="14">
        <v>0</v>
      </c>
      <c r="AL32" s="49" t="s">
        <v>52</v>
      </c>
      <c r="AM32" s="15">
        <v>3</v>
      </c>
      <c r="AN32" s="15">
        <v>19</v>
      </c>
      <c r="AO32" s="14">
        <v>0</v>
      </c>
      <c r="AP32" s="14">
        <v>0</v>
      </c>
      <c r="AQ32" s="14">
        <v>0</v>
      </c>
      <c r="AR32" s="14">
        <v>875.15734799999996</v>
      </c>
      <c r="AS32" s="14">
        <v>871.00643309999998</v>
      </c>
      <c r="AT32" s="15">
        <v>0</v>
      </c>
      <c r="AU32" s="14">
        <v>0</v>
      </c>
      <c r="AV32" s="49" t="s">
        <v>52</v>
      </c>
      <c r="AW32" s="15">
        <v>3</v>
      </c>
      <c r="AX32" s="15">
        <v>19</v>
      </c>
      <c r="AY32" s="14">
        <v>0</v>
      </c>
      <c r="AZ32" s="14">
        <v>0</v>
      </c>
      <c r="BA32" s="14">
        <v>0</v>
      </c>
      <c r="BB32" s="14">
        <v>881.18048439999995</v>
      </c>
      <c r="BC32" s="14">
        <v>878.15886909999995</v>
      </c>
      <c r="BD32" s="15">
        <v>0</v>
      </c>
      <c r="BE32" s="14">
        <v>0</v>
      </c>
      <c r="BF32" s="49" t="s">
        <v>52</v>
      </c>
      <c r="BG32" s="15">
        <v>3</v>
      </c>
      <c r="BH32" s="15">
        <v>19</v>
      </c>
      <c r="BI32" s="14">
        <v>0</v>
      </c>
      <c r="BJ32" s="14">
        <v>0</v>
      </c>
      <c r="BK32" s="14">
        <v>0</v>
      </c>
      <c r="BL32" s="14">
        <v>887.20392130000005</v>
      </c>
      <c r="BM32" s="14">
        <v>884.70203609999999</v>
      </c>
      <c r="BN32" s="18">
        <v>0</v>
      </c>
      <c r="BO32" s="19">
        <v>0</v>
      </c>
      <c r="BP32" s="49" t="s">
        <v>52</v>
      </c>
      <c r="BQ32" s="15">
        <v>3</v>
      </c>
      <c r="BR32" s="15">
        <v>19</v>
      </c>
      <c r="BS32" s="14">
        <v>0</v>
      </c>
      <c r="BT32" s="14">
        <v>0</v>
      </c>
      <c r="BU32" s="14">
        <v>0</v>
      </c>
      <c r="BV32" s="14">
        <v>893.52668530000005</v>
      </c>
      <c r="BW32" s="14">
        <v>890.96574299999997</v>
      </c>
      <c r="BX32" s="18">
        <v>0</v>
      </c>
      <c r="BY32" s="19">
        <v>0</v>
      </c>
      <c r="BZ32" s="49" t="s">
        <v>52</v>
      </c>
      <c r="CA32" s="15">
        <v>3</v>
      </c>
      <c r="CB32" s="15">
        <v>19</v>
      </c>
      <c r="CC32" s="14">
        <v>0</v>
      </c>
      <c r="CD32" s="14">
        <v>0</v>
      </c>
      <c r="CE32" s="14">
        <v>0</v>
      </c>
      <c r="CF32" s="14">
        <v>898.53745200000003</v>
      </c>
      <c r="CG32" s="14">
        <v>896.11788690000003</v>
      </c>
      <c r="CH32" s="18">
        <v>0</v>
      </c>
      <c r="CI32" s="14">
        <v>0</v>
      </c>
      <c r="CJ32" s="49" t="s">
        <v>52</v>
      </c>
      <c r="CK32" s="15">
        <v>3</v>
      </c>
      <c r="CL32" s="15">
        <v>19</v>
      </c>
      <c r="CM32" s="14">
        <v>0</v>
      </c>
      <c r="CN32" s="14">
        <v>0</v>
      </c>
      <c r="CO32" s="14">
        <v>0</v>
      </c>
      <c r="CP32" s="14">
        <v>903.44918619999999</v>
      </c>
      <c r="CQ32" s="14">
        <v>901.08085879999999</v>
      </c>
      <c r="CR32" s="15">
        <v>0</v>
      </c>
      <c r="CS32" s="14">
        <v>0</v>
      </c>
      <c r="CT32" s="2" t="s">
        <v>52</v>
      </c>
      <c r="CU32" s="87">
        <v>3</v>
      </c>
      <c r="CV32" s="87">
        <v>19</v>
      </c>
      <c r="CW32" s="88">
        <v>0</v>
      </c>
      <c r="CX32" s="88">
        <v>0</v>
      </c>
      <c r="CY32" s="88">
        <v>0</v>
      </c>
      <c r="CZ32" s="88">
        <v>908.40870229999996</v>
      </c>
      <c r="DA32" s="88">
        <v>906.00815690000002</v>
      </c>
      <c r="DB32" s="87">
        <v>0</v>
      </c>
      <c r="DC32" s="88">
        <v>0</v>
      </c>
      <c r="DD32" s="2" t="s">
        <v>52</v>
      </c>
      <c r="DE32" s="171">
        <f t="shared" si="0"/>
        <v>0</v>
      </c>
      <c r="DF32" s="165">
        <f t="shared" si="1"/>
        <v>-261.85378209999999</v>
      </c>
      <c r="DG32" s="2" t="s">
        <v>52</v>
      </c>
      <c r="DH32" s="172">
        <v>0</v>
      </c>
      <c r="DI32" s="166">
        <v>0</v>
      </c>
      <c r="DJ32" s="158">
        <f>(CZ32-CP32)/CP32</f>
        <v>5.4895351899758825E-3</v>
      </c>
      <c r="DK32" s="155">
        <v>3</v>
      </c>
      <c r="DL32" s="155">
        <v>19</v>
      </c>
      <c r="DM32" s="155">
        <v>0</v>
      </c>
      <c r="DN32" s="155">
        <v>0</v>
      </c>
      <c r="DO32" s="155">
        <v>0</v>
      </c>
      <c r="DP32" s="155">
        <v>913.73541790000002</v>
      </c>
      <c r="DQ32" s="155">
        <v>910.84037860000001</v>
      </c>
      <c r="DR32" s="155">
        <v>0</v>
      </c>
      <c r="DS32" s="155">
        <v>0</v>
      </c>
      <c r="DT32" s="2" t="s">
        <v>52</v>
      </c>
      <c r="DU32" s="171">
        <f t="shared" si="5"/>
        <v>0</v>
      </c>
      <c r="DV32" s="165">
        <f t="shared" si="6"/>
        <v>-261.85378209999999</v>
      </c>
      <c r="DW32" s="2" t="s">
        <v>52</v>
      </c>
      <c r="DX32" s="174" t="e">
        <f t="shared" si="7"/>
        <v>#DIV/0!</v>
      </c>
      <c r="DY32" s="169" t="e">
        <f t="shared" si="8"/>
        <v>#DIV/0!</v>
      </c>
      <c r="DZ32" s="158">
        <f t="shared" si="9"/>
        <v>5.8637875072237262E-3</v>
      </c>
      <c r="EA32" s="2" t="s">
        <v>52</v>
      </c>
      <c r="EB32" s="155">
        <v>3</v>
      </c>
      <c r="EC32" s="155">
        <v>19</v>
      </c>
      <c r="ED32" s="155">
        <v>0</v>
      </c>
      <c r="EE32" s="155">
        <v>0</v>
      </c>
      <c r="EF32" s="155">
        <v>0</v>
      </c>
      <c r="EG32" s="155">
        <v>919.61535400000002</v>
      </c>
      <c r="EH32" s="155">
        <v>916.84841879999999</v>
      </c>
      <c r="EI32" s="155">
        <v>0</v>
      </c>
      <c r="EJ32" s="155">
        <v>0</v>
      </c>
      <c r="EK32" s="2" t="s">
        <v>52</v>
      </c>
      <c r="EL32" s="171">
        <f t="shared" si="10"/>
        <v>0</v>
      </c>
      <c r="EM32" s="165">
        <f t="shared" si="11"/>
        <v>-261.85378209999999</v>
      </c>
      <c r="EN32" s="2" t="s">
        <v>52</v>
      </c>
      <c r="EO32" s="174" t="e">
        <f t="shared" si="12"/>
        <v>#DIV/0!</v>
      </c>
      <c r="EP32" s="169" t="e">
        <f t="shared" si="13"/>
        <v>#DIV/0!</v>
      </c>
      <c r="EQ32" s="158">
        <f t="shared" si="14"/>
        <v>6.4350532821783584E-3</v>
      </c>
    </row>
    <row r="33" spans="1:147" ht="13" x14ac:dyDescent="0.5">
      <c r="A33" s="16" t="s">
        <v>94</v>
      </c>
      <c r="B33" s="16" t="s">
        <v>87</v>
      </c>
      <c r="C33" s="16" t="s">
        <v>101</v>
      </c>
      <c r="D33" s="16" t="s">
        <v>2</v>
      </c>
      <c r="E33" s="16" t="s">
        <v>2</v>
      </c>
      <c r="F33" s="177">
        <v>0</v>
      </c>
      <c r="G33" s="177">
        <v>0</v>
      </c>
      <c r="H33" s="49" t="s">
        <v>52</v>
      </c>
      <c r="I33" s="15">
        <v>0</v>
      </c>
      <c r="J33" s="15">
        <v>0</v>
      </c>
      <c r="K33" s="14">
        <v>0</v>
      </c>
      <c r="L33" s="14">
        <v>0</v>
      </c>
      <c r="M33" s="14">
        <v>0</v>
      </c>
      <c r="N33" s="14">
        <v>0</v>
      </c>
      <c r="O33" s="14">
        <v>0</v>
      </c>
      <c r="P33" s="15">
        <v>0</v>
      </c>
      <c r="Q33" s="14">
        <v>0</v>
      </c>
      <c r="R33" s="49" t="s">
        <v>52</v>
      </c>
      <c r="S33" s="15">
        <v>0</v>
      </c>
      <c r="T33" s="15">
        <v>0</v>
      </c>
      <c r="U33" s="14">
        <v>0</v>
      </c>
      <c r="V33" s="14">
        <v>0</v>
      </c>
      <c r="W33" s="14">
        <v>0</v>
      </c>
      <c r="X33" s="14">
        <v>0</v>
      </c>
      <c r="Y33" s="14">
        <v>0</v>
      </c>
      <c r="Z33" s="15">
        <v>0</v>
      </c>
      <c r="AA33" s="14">
        <v>0</v>
      </c>
      <c r="AB33" s="49" t="s">
        <v>52</v>
      </c>
      <c r="AC33" s="15">
        <v>0</v>
      </c>
      <c r="AD33" s="15">
        <v>0</v>
      </c>
      <c r="AE33" s="14">
        <v>0</v>
      </c>
      <c r="AF33" s="14">
        <v>0</v>
      </c>
      <c r="AG33" s="14">
        <v>0</v>
      </c>
      <c r="AH33" s="14">
        <v>0</v>
      </c>
      <c r="AI33" s="14">
        <v>0</v>
      </c>
      <c r="AJ33" s="15">
        <v>0</v>
      </c>
      <c r="AK33" s="14">
        <v>0</v>
      </c>
      <c r="AL33" s="49" t="s">
        <v>52</v>
      </c>
      <c r="AM33" s="15">
        <v>0</v>
      </c>
      <c r="AN33" s="15">
        <v>0</v>
      </c>
      <c r="AO33" s="14">
        <v>0</v>
      </c>
      <c r="AP33" s="14">
        <v>0</v>
      </c>
      <c r="AQ33" s="14">
        <v>0</v>
      </c>
      <c r="AR33" s="14">
        <v>0</v>
      </c>
      <c r="AS33" s="14">
        <v>0</v>
      </c>
      <c r="AT33" s="15">
        <v>0</v>
      </c>
      <c r="AU33" s="14">
        <v>0</v>
      </c>
      <c r="AV33" s="49" t="s">
        <v>52</v>
      </c>
      <c r="AW33" s="15">
        <v>0</v>
      </c>
      <c r="AX33" s="15">
        <v>0</v>
      </c>
      <c r="AY33" s="14">
        <v>0</v>
      </c>
      <c r="AZ33" s="14">
        <v>0</v>
      </c>
      <c r="BA33" s="14">
        <v>0</v>
      </c>
      <c r="BB33" s="14">
        <v>0</v>
      </c>
      <c r="BC33" s="14">
        <v>0</v>
      </c>
      <c r="BD33" s="15">
        <v>0</v>
      </c>
      <c r="BE33" s="14">
        <v>0</v>
      </c>
      <c r="BF33" s="49" t="s">
        <v>52</v>
      </c>
      <c r="BG33" s="15">
        <v>0</v>
      </c>
      <c r="BH33" s="15">
        <v>0</v>
      </c>
      <c r="BI33" s="14">
        <v>0</v>
      </c>
      <c r="BJ33" s="14">
        <v>0</v>
      </c>
      <c r="BK33" s="14">
        <v>0</v>
      </c>
      <c r="BL33" s="14">
        <v>0</v>
      </c>
      <c r="BM33" s="14">
        <v>0</v>
      </c>
      <c r="BN33" s="18">
        <v>0</v>
      </c>
      <c r="BO33" s="19">
        <v>0</v>
      </c>
      <c r="BP33" s="49" t="s">
        <v>52</v>
      </c>
      <c r="BQ33" s="15">
        <v>0</v>
      </c>
      <c r="BR33" s="15">
        <v>0</v>
      </c>
      <c r="BS33" s="14">
        <v>0</v>
      </c>
      <c r="BT33" s="14">
        <v>0</v>
      </c>
      <c r="BU33" s="14">
        <v>0</v>
      </c>
      <c r="BV33" s="14">
        <v>0</v>
      </c>
      <c r="BW33" s="14">
        <v>0</v>
      </c>
      <c r="BX33" s="18">
        <v>0</v>
      </c>
      <c r="BY33" s="19">
        <v>0</v>
      </c>
      <c r="BZ33" s="49" t="s">
        <v>52</v>
      </c>
      <c r="CA33" s="15">
        <v>0</v>
      </c>
      <c r="CB33" s="15">
        <v>0</v>
      </c>
      <c r="CC33" s="14">
        <v>0</v>
      </c>
      <c r="CD33" s="14">
        <v>0</v>
      </c>
      <c r="CE33" s="14">
        <v>0</v>
      </c>
      <c r="CF33" s="14">
        <v>0</v>
      </c>
      <c r="CG33" s="14">
        <v>0</v>
      </c>
      <c r="CH33" s="18">
        <v>0</v>
      </c>
      <c r="CI33" s="14">
        <v>0</v>
      </c>
      <c r="CJ33" s="49" t="s">
        <v>52</v>
      </c>
      <c r="CK33" s="15">
        <v>0</v>
      </c>
      <c r="CL33" s="15">
        <v>0</v>
      </c>
      <c r="CM33" s="14">
        <v>0</v>
      </c>
      <c r="CN33" s="14">
        <v>0</v>
      </c>
      <c r="CO33" s="14">
        <v>0</v>
      </c>
      <c r="CP33" s="14">
        <v>0</v>
      </c>
      <c r="CQ33" s="14">
        <v>0</v>
      </c>
      <c r="CR33" s="15">
        <v>0</v>
      </c>
      <c r="CS33" s="14">
        <v>0</v>
      </c>
      <c r="CT33" s="2" t="s">
        <v>52</v>
      </c>
      <c r="CU33" s="87">
        <v>0</v>
      </c>
      <c r="CV33" s="87">
        <v>0</v>
      </c>
      <c r="CW33" s="88">
        <v>0</v>
      </c>
      <c r="CX33" s="88">
        <v>0</v>
      </c>
      <c r="CY33" s="88">
        <v>0</v>
      </c>
      <c r="CZ33" s="88">
        <v>0</v>
      </c>
      <c r="DA33" s="88">
        <v>0</v>
      </c>
      <c r="DB33" s="87">
        <v>0</v>
      </c>
      <c r="DC33" s="88">
        <v>0</v>
      </c>
      <c r="DD33" s="2" t="s">
        <v>52</v>
      </c>
      <c r="DE33" s="171">
        <f t="shared" si="0"/>
        <v>0</v>
      </c>
      <c r="DF33" s="165">
        <f t="shared" si="1"/>
        <v>0</v>
      </c>
      <c r="DG33" s="2" t="s">
        <v>52</v>
      </c>
      <c r="DH33" s="180" t="s">
        <v>52</v>
      </c>
      <c r="DI33" s="182" t="s">
        <v>52</v>
      </c>
      <c r="DJ33" s="158" t="s">
        <v>52</v>
      </c>
      <c r="DK33" s="155">
        <v>0</v>
      </c>
      <c r="DL33" s="155">
        <v>0</v>
      </c>
      <c r="DM33" s="155">
        <v>0</v>
      </c>
      <c r="DN33" s="155">
        <v>0</v>
      </c>
      <c r="DO33" s="155">
        <v>0</v>
      </c>
      <c r="DP33" s="155">
        <v>0</v>
      </c>
      <c r="DQ33" s="155">
        <v>0</v>
      </c>
      <c r="DR33" s="155">
        <v>0</v>
      </c>
      <c r="DS33" s="155">
        <v>0</v>
      </c>
      <c r="DT33" s="2" t="s">
        <v>52</v>
      </c>
      <c r="DU33" s="171">
        <f t="shared" si="5"/>
        <v>0</v>
      </c>
      <c r="DV33" s="165">
        <f t="shared" si="6"/>
        <v>0</v>
      </c>
      <c r="DW33" s="2" t="s">
        <v>52</v>
      </c>
      <c r="DX33" s="174" t="e">
        <f t="shared" si="7"/>
        <v>#DIV/0!</v>
      </c>
      <c r="DY33" s="169" t="e">
        <f t="shared" si="8"/>
        <v>#DIV/0!</v>
      </c>
      <c r="DZ33" s="158" t="e">
        <f t="shared" si="9"/>
        <v>#DIV/0!</v>
      </c>
      <c r="EA33" s="2" t="s">
        <v>52</v>
      </c>
      <c r="EB33" s="155">
        <v>0</v>
      </c>
      <c r="EC33" s="155">
        <v>0</v>
      </c>
      <c r="ED33" s="155">
        <v>0</v>
      </c>
      <c r="EE33" s="155">
        <v>0</v>
      </c>
      <c r="EF33" s="155">
        <v>0</v>
      </c>
      <c r="EG33" s="155">
        <v>0</v>
      </c>
      <c r="EH33" s="155">
        <v>0</v>
      </c>
      <c r="EI33" s="155">
        <v>0</v>
      </c>
      <c r="EJ33" s="155">
        <v>0</v>
      </c>
      <c r="EK33" s="2" t="s">
        <v>52</v>
      </c>
      <c r="EL33" s="171">
        <f t="shared" si="10"/>
        <v>0</v>
      </c>
      <c r="EM33" s="165">
        <f t="shared" si="11"/>
        <v>0</v>
      </c>
      <c r="EN33" s="2" t="s">
        <v>52</v>
      </c>
      <c r="EO33" s="174" t="e">
        <f t="shared" si="12"/>
        <v>#DIV/0!</v>
      </c>
      <c r="EP33" s="169" t="e">
        <f t="shared" si="13"/>
        <v>#DIV/0!</v>
      </c>
      <c r="EQ33" s="158" t="e">
        <f t="shared" si="14"/>
        <v>#DIV/0!</v>
      </c>
    </row>
    <row r="34" spans="1:147" ht="13" x14ac:dyDescent="0.5">
      <c r="A34" s="16" t="s">
        <v>85</v>
      </c>
      <c r="B34" s="16" t="s">
        <v>85</v>
      </c>
      <c r="C34" s="16" t="s">
        <v>101</v>
      </c>
      <c r="D34" s="16" t="s">
        <v>2</v>
      </c>
      <c r="E34" s="16" t="s">
        <v>2</v>
      </c>
      <c r="F34" s="177">
        <v>0</v>
      </c>
      <c r="G34" s="177">
        <v>0</v>
      </c>
      <c r="H34" s="49" t="s">
        <v>52</v>
      </c>
      <c r="I34" s="15">
        <v>0</v>
      </c>
      <c r="J34" s="15">
        <v>0</v>
      </c>
      <c r="K34" s="14">
        <v>0</v>
      </c>
      <c r="L34" s="14">
        <v>0</v>
      </c>
      <c r="M34" s="14">
        <v>0</v>
      </c>
      <c r="N34" s="14">
        <v>0</v>
      </c>
      <c r="O34" s="14">
        <v>0</v>
      </c>
      <c r="P34" s="15">
        <v>0</v>
      </c>
      <c r="Q34" s="14">
        <v>0</v>
      </c>
      <c r="R34" s="49" t="s">
        <v>52</v>
      </c>
      <c r="S34" s="15">
        <v>0</v>
      </c>
      <c r="T34" s="15">
        <v>0</v>
      </c>
      <c r="U34" s="14">
        <v>0</v>
      </c>
      <c r="V34" s="14">
        <v>0</v>
      </c>
      <c r="W34" s="14">
        <v>0</v>
      </c>
      <c r="X34" s="14">
        <v>0</v>
      </c>
      <c r="Y34" s="14">
        <v>0</v>
      </c>
      <c r="Z34" s="15">
        <v>0</v>
      </c>
      <c r="AA34" s="14">
        <v>0</v>
      </c>
      <c r="AB34" s="49" t="s">
        <v>52</v>
      </c>
      <c r="AC34" s="15">
        <v>0</v>
      </c>
      <c r="AD34" s="15">
        <v>0</v>
      </c>
      <c r="AE34" s="14">
        <v>0</v>
      </c>
      <c r="AF34" s="14">
        <v>0</v>
      </c>
      <c r="AG34" s="14">
        <v>0</v>
      </c>
      <c r="AH34" s="14">
        <v>0</v>
      </c>
      <c r="AI34" s="14">
        <v>0</v>
      </c>
      <c r="AJ34" s="15">
        <v>0</v>
      </c>
      <c r="AK34" s="14">
        <v>0</v>
      </c>
      <c r="AL34" s="49" t="s">
        <v>52</v>
      </c>
      <c r="AM34" s="15">
        <v>0</v>
      </c>
      <c r="AN34" s="15">
        <v>0</v>
      </c>
      <c r="AO34" s="14">
        <v>0</v>
      </c>
      <c r="AP34" s="14">
        <v>0</v>
      </c>
      <c r="AQ34" s="14">
        <v>0</v>
      </c>
      <c r="AR34" s="14">
        <v>0</v>
      </c>
      <c r="AS34" s="14">
        <v>0</v>
      </c>
      <c r="AT34" s="15">
        <v>0</v>
      </c>
      <c r="AU34" s="14">
        <v>0</v>
      </c>
      <c r="AV34" s="49" t="s">
        <v>52</v>
      </c>
      <c r="AW34" s="15">
        <v>0</v>
      </c>
      <c r="AX34" s="15">
        <v>0</v>
      </c>
      <c r="AY34" s="14">
        <v>0</v>
      </c>
      <c r="AZ34" s="14">
        <v>0</v>
      </c>
      <c r="BA34" s="14">
        <v>0</v>
      </c>
      <c r="BB34" s="14">
        <v>0</v>
      </c>
      <c r="BC34" s="14">
        <v>0</v>
      </c>
      <c r="BD34" s="15">
        <v>0</v>
      </c>
      <c r="BE34" s="14">
        <v>0</v>
      </c>
      <c r="BF34" s="49" t="s">
        <v>52</v>
      </c>
      <c r="BG34" s="15">
        <v>0</v>
      </c>
      <c r="BH34" s="15">
        <v>0</v>
      </c>
      <c r="BI34" s="14">
        <v>0</v>
      </c>
      <c r="BJ34" s="14">
        <v>0</v>
      </c>
      <c r="BK34" s="14">
        <v>0</v>
      </c>
      <c r="BL34" s="14">
        <v>0</v>
      </c>
      <c r="BM34" s="14">
        <v>0</v>
      </c>
      <c r="BN34" s="18">
        <v>0</v>
      </c>
      <c r="BO34" s="19">
        <v>0</v>
      </c>
      <c r="BP34" s="49" t="s">
        <v>52</v>
      </c>
      <c r="BQ34" s="15">
        <v>0</v>
      </c>
      <c r="BR34" s="15">
        <v>0</v>
      </c>
      <c r="BS34" s="14">
        <v>0</v>
      </c>
      <c r="BT34" s="14">
        <v>0</v>
      </c>
      <c r="BU34" s="14">
        <v>0</v>
      </c>
      <c r="BV34" s="14">
        <v>0</v>
      </c>
      <c r="BW34" s="14">
        <v>0</v>
      </c>
      <c r="BX34" s="18">
        <v>0</v>
      </c>
      <c r="BY34" s="19">
        <v>0</v>
      </c>
      <c r="BZ34" s="49" t="s">
        <v>52</v>
      </c>
      <c r="CA34" s="15">
        <v>0</v>
      </c>
      <c r="CB34" s="15">
        <v>0</v>
      </c>
      <c r="CC34" s="14">
        <v>0</v>
      </c>
      <c r="CD34" s="14">
        <v>0</v>
      </c>
      <c r="CE34" s="14">
        <v>0</v>
      </c>
      <c r="CF34" s="14">
        <v>0</v>
      </c>
      <c r="CG34" s="14">
        <v>0</v>
      </c>
      <c r="CH34" s="18">
        <v>0</v>
      </c>
      <c r="CI34" s="14">
        <v>0</v>
      </c>
      <c r="CJ34" s="49" t="s">
        <v>52</v>
      </c>
      <c r="CK34" s="15">
        <v>0</v>
      </c>
      <c r="CL34" s="15">
        <v>0</v>
      </c>
      <c r="CM34" s="14">
        <v>0</v>
      </c>
      <c r="CN34" s="14">
        <v>0</v>
      </c>
      <c r="CO34" s="14">
        <v>0</v>
      </c>
      <c r="CP34" s="14">
        <v>0</v>
      </c>
      <c r="CQ34" s="14">
        <v>0</v>
      </c>
      <c r="CR34" s="15">
        <v>0</v>
      </c>
      <c r="CS34" s="14">
        <v>0</v>
      </c>
      <c r="CT34" s="2" t="s">
        <v>52</v>
      </c>
      <c r="CU34" s="93">
        <v>0</v>
      </c>
      <c r="CV34" s="93">
        <v>0</v>
      </c>
      <c r="CW34" s="94">
        <v>0</v>
      </c>
      <c r="CX34" s="94">
        <v>0</v>
      </c>
      <c r="CY34" s="94">
        <v>0</v>
      </c>
      <c r="CZ34" s="94">
        <v>0</v>
      </c>
      <c r="DA34" s="94">
        <v>0</v>
      </c>
      <c r="DB34" s="93">
        <v>0</v>
      </c>
      <c r="DC34" s="94">
        <v>0</v>
      </c>
      <c r="DD34" s="2" t="s">
        <v>52</v>
      </c>
      <c r="DE34" s="171">
        <f t="shared" si="0"/>
        <v>0</v>
      </c>
      <c r="DF34" s="165">
        <f t="shared" si="1"/>
        <v>0</v>
      </c>
      <c r="DG34" s="2" t="s">
        <v>52</v>
      </c>
      <c r="DH34" s="172">
        <v>0</v>
      </c>
      <c r="DI34" s="166">
        <v>0</v>
      </c>
      <c r="DJ34" s="158">
        <v>0</v>
      </c>
      <c r="DK34" s="155">
        <v>0</v>
      </c>
      <c r="DL34" s="155">
        <v>0</v>
      </c>
      <c r="DM34" s="155">
        <v>0</v>
      </c>
      <c r="DN34" s="155">
        <v>0</v>
      </c>
      <c r="DO34" s="155">
        <v>0</v>
      </c>
      <c r="DP34" s="155">
        <v>0</v>
      </c>
      <c r="DQ34" s="155">
        <v>0</v>
      </c>
      <c r="DR34" s="155">
        <v>0</v>
      </c>
      <c r="DS34" s="155">
        <v>0</v>
      </c>
      <c r="DT34" s="2" t="s">
        <v>52</v>
      </c>
      <c r="DU34" s="171">
        <f t="shared" si="5"/>
        <v>0</v>
      </c>
      <c r="DV34" s="165">
        <f t="shared" si="6"/>
        <v>0</v>
      </c>
      <c r="DW34" s="2" t="s">
        <v>52</v>
      </c>
      <c r="DX34" s="174" t="e">
        <f t="shared" si="7"/>
        <v>#DIV/0!</v>
      </c>
      <c r="DY34" s="169" t="e">
        <f t="shared" si="8"/>
        <v>#DIV/0!</v>
      </c>
      <c r="DZ34" s="158" t="e">
        <f t="shared" si="9"/>
        <v>#DIV/0!</v>
      </c>
      <c r="EA34" s="2" t="s">
        <v>52</v>
      </c>
      <c r="EB34" s="155">
        <v>0</v>
      </c>
      <c r="EC34" s="155">
        <v>0</v>
      </c>
      <c r="ED34" s="155">
        <v>0</v>
      </c>
      <c r="EE34" s="155">
        <v>0</v>
      </c>
      <c r="EF34" s="155">
        <v>0</v>
      </c>
      <c r="EG34" s="155">
        <v>0</v>
      </c>
      <c r="EH34" s="155">
        <v>0</v>
      </c>
      <c r="EI34" s="155">
        <v>0</v>
      </c>
      <c r="EJ34" s="155">
        <v>0</v>
      </c>
      <c r="EK34" s="2" t="s">
        <v>52</v>
      </c>
      <c r="EL34" s="171">
        <f t="shared" si="10"/>
        <v>0</v>
      </c>
      <c r="EM34" s="165">
        <f t="shared" si="11"/>
        <v>0</v>
      </c>
      <c r="EN34" s="2" t="s">
        <v>52</v>
      </c>
      <c r="EO34" s="174" t="e">
        <f t="shared" si="12"/>
        <v>#DIV/0!</v>
      </c>
      <c r="EP34" s="169" t="e">
        <f t="shared" si="13"/>
        <v>#DIV/0!</v>
      </c>
      <c r="EQ34" s="158" t="e">
        <f t="shared" si="14"/>
        <v>#DIV/0!</v>
      </c>
    </row>
    <row r="35" spans="1:147" ht="13" x14ac:dyDescent="0.5">
      <c r="A35" s="16" t="s">
        <v>87</v>
      </c>
      <c r="B35" s="16" t="s">
        <v>90</v>
      </c>
      <c r="C35" s="16" t="s">
        <v>52</v>
      </c>
      <c r="D35" s="16" t="s">
        <v>52</v>
      </c>
      <c r="E35" s="16" t="s">
        <v>52</v>
      </c>
      <c r="F35" s="177">
        <v>0</v>
      </c>
      <c r="G35" s="177">
        <v>0</v>
      </c>
      <c r="H35" s="49" t="s">
        <v>52</v>
      </c>
      <c r="I35" s="15">
        <v>0</v>
      </c>
      <c r="J35" s="15">
        <v>0</v>
      </c>
      <c r="K35" s="14">
        <v>0</v>
      </c>
      <c r="L35" s="14">
        <v>0</v>
      </c>
      <c r="M35" s="14">
        <v>0</v>
      </c>
      <c r="N35" s="14">
        <v>0</v>
      </c>
      <c r="O35" s="14">
        <v>0</v>
      </c>
      <c r="P35" s="15">
        <v>0</v>
      </c>
      <c r="Q35" s="14">
        <v>0</v>
      </c>
      <c r="R35" s="49" t="s">
        <v>52</v>
      </c>
      <c r="S35" s="15">
        <v>0</v>
      </c>
      <c r="T35" s="15">
        <v>0</v>
      </c>
      <c r="U35" s="14">
        <v>0</v>
      </c>
      <c r="V35" s="14">
        <v>0</v>
      </c>
      <c r="W35" s="14">
        <v>0</v>
      </c>
      <c r="X35" s="14">
        <v>0</v>
      </c>
      <c r="Y35" s="14">
        <v>0</v>
      </c>
      <c r="Z35" s="15">
        <v>0</v>
      </c>
      <c r="AA35" s="14">
        <v>0</v>
      </c>
      <c r="AB35" s="49" t="s">
        <v>52</v>
      </c>
      <c r="AC35" s="15">
        <v>0</v>
      </c>
      <c r="AD35" s="15">
        <v>0</v>
      </c>
      <c r="AE35" s="14">
        <v>0</v>
      </c>
      <c r="AF35" s="14">
        <v>0</v>
      </c>
      <c r="AG35" s="14">
        <v>0</v>
      </c>
      <c r="AH35" s="14">
        <v>0</v>
      </c>
      <c r="AI35" s="14">
        <v>0</v>
      </c>
      <c r="AJ35" s="15">
        <v>0</v>
      </c>
      <c r="AK35" s="14">
        <v>0</v>
      </c>
      <c r="AL35" s="49" t="s">
        <v>52</v>
      </c>
      <c r="AM35" s="15">
        <v>0</v>
      </c>
      <c r="AN35" s="15">
        <v>0</v>
      </c>
      <c r="AO35" s="14">
        <v>0</v>
      </c>
      <c r="AP35" s="14">
        <v>0</v>
      </c>
      <c r="AQ35" s="14">
        <v>0</v>
      </c>
      <c r="AR35" s="14">
        <v>0</v>
      </c>
      <c r="AS35" s="14">
        <v>0</v>
      </c>
      <c r="AT35" s="15">
        <v>0</v>
      </c>
      <c r="AU35" s="14">
        <v>0</v>
      </c>
      <c r="AV35" s="49" t="s">
        <v>52</v>
      </c>
      <c r="AW35" s="15">
        <v>0</v>
      </c>
      <c r="AX35" s="15">
        <v>0</v>
      </c>
      <c r="AY35" s="14">
        <v>0</v>
      </c>
      <c r="AZ35" s="14">
        <v>0</v>
      </c>
      <c r="BA35" s="14">
        <v>0</v>
      </c>
      <c r="BB35" s="14">
        <v>0</v>
      </c>
      <c r="BC35" s="14">
        <v>0</v>
      </c>
      <c r="BD35" s="15">
        <v>0</v>
      </c>
      <c r="BE35" s="14">
        <v>0</v>
      </c>
      <c r="BF35" s="49" t="s">
        <v>52</v>
      </c>
      <c r="BG35" s="15">
        <v>0</v>
      </c>
      <c r="BH35" s="15">
        <v>0</v>
      </c>
      <c r="BI35" s="14">
        <v>0</v>
      </c>
      <c r="BJ35" s="14">
        <v>0</v>
      </c>
      <c r="BK35" s="14">
        <v>0</v>
      </c>
      <c r="BL35" s="14">
        <v>0</v>
      </c>
      <c r="BM35" s="14">
        <v>0</v>
      </c>
      <c r="BN35" s="18">
        <v>0</v>
      </c>
      <c r="BO35" s="19">
        <v>0</v>
      </c>
      <c r="BP35" s="49" t="s">
        <v>52</v>
      </c>
      <c r="BQ35" s="15">
        <v>0</v>
      </c>
      <c r="BR35" s="15">
        <v>0</v>
      </c>
      <c r="BS35" s="14">
        <v>0</v>
      </c>
      <c r="BT35" s="14">
        <v>0</v>
      </c>
      <c r="BU35" s="14">
        <v>0</v>
      </c>
      <c r="BV35" s="14">
        <v>0</v>
      </c>
      <c r="BW35" s="14">
        <v>0</v>
      </c>
      <c r="BX35" s="18">
        <v>0</v>
      </c>
      <c r="BY35" s="19">
        <v>0</v>
      </c>
      <c r="BZ35" s="49" t="s">
        <v>52</v>
      </c>
      <c r="CA35" s="15">
        <v>0</v>
      </c>
      <c r="CB35" s="15">
        <v>0</v>
      </c>
      <c r="CC35" s="14">
        <v>0</v>
      </c>
      <c r="CD35" s="14">
        <v>0</v>
      </c>
      <c r="CE35" s="14">
        <v>0</v>
      </c>
      <c r="CF35" s="14">
        <v>0</v>
      </c>
      <c r="CG35" s="14">
        <v>0</v>
      </c>
      <c r="CH35" s="18">
        <v>0</v>
      </c>
      <c r="CI35" s="14">
        <v>0</v>
      </c>
      <c r="CJ35" s="49" t="s">
        <v>52</v>
      </c>
      <c r="CK35" s="15">
        <v>0</v>
      </c>
      <c r="CL35" s="15">
        <v>0</v>
      </c>
      <c r="CM35" s="14">
        <v>0</v>
      </c>
      <c r="CN35" s="14">
        <v>0</v>
      </c>
      <c r="CO35" s="14">
        <v>0</v>
      </c>
      <c r="CP35" s="14">
        <v>0</v>
      </c>
      <c r="CQ35" s="14">
        <v>0</v>
      </c>
      <c r="CR35" s="15">
        <v>0</v>
      </c>
      <c r="CS35" s="14">
        <v>0</v>
      </c>
      <c r="CT35" s="2" t="s">
        <v>52</v>
      </c>
      <c r="CU35" s="87">
        <v>0</v>
      </c>
      <c r="CV35" s="87">
        <v>0</v>
      </c>
      <c r="CW35" s="88">
        <v>0</v>
      </c>
      <c r="CX35" s="88">
        <v>0</v>
      </c>
      <c r="CY35" s="88">
        <v>0</v>
      </c>
      <c r="CZ35" s="88">
        <v>0</v>
      </c>
      <c r="DA35" s="88">
        <v>0</v>
      </c>
      <c r="DB35" s="87">
        <v>0</v>
      </c>
      <c r="DC35" s="88">
        <v>0</v>
      </c>
      <c r="DD35" s="2" t="s">
        <v>52</v>
      </c>
      <c r="DE35" s="171">
        <f t="shared" si="0"/>
        <v>0</v>
      </c>
      <c r="DF35" s="165">
        <f t="shared" si="1"/>
        <v>0</v>
      </c>
      <c r="DG35" s="2" t="s">
        <v>52</v>
      </c>
      <c r="DH35" s="172">
        <v>0</v>
      </c>
      <c r="DI35" s="166">
        <v>0</v>
      </c>
      <c r="DJ35" s="158">
        <v>0</v>
      </c>
      <c r="DK35" s="155">
        <v>0</v>
      </c>
      <c r="DL35" s="155">
        <v>0</v>
      </c>
      <c r="DM35" s="155">
        <v>0</v>
      </c>
      <c r="DN35" s="155">
        <v>0</v>
      </c>
      <c r="DO35" s="155">
        <v>0</v>
      </c>
      <c r="DP35" s="155">
        <v>0</v>
      </c>
      <c r="DQ35" s="155">
        <v>0</v>
      </c>
      <c r="DR35" s="155">
        <v>0</v>
      </c>
      <c r="DS35" s="155">
        <v>0</v>
      </c>
      <c r="DT35" s="2" t="s">
        <v>52</v>
      </c>
      <c r="DU35" s="171">
        <f t="shared" si="5"/>
        <v>0</v>
      </c>
      <c r="DV35" s="165">
        <f t="shared" si="6"/>
        <v>0</v>
      </c>
      <c r="DW35" s="2" t="s">
        <v>52</v>
      </c>
      <c r="DX35" s="174" t="e">
        <f t="shared" si="7"/>
        <v>#DIV/0!</v>
      </c>
      <c r="DY35" s="169" t="e">
        <f t="shared" si="8"/>
        <v>#DIV/0!</v>
      </c>
      <c r="DZ35" s="158" t="e">
        <f t="shared" si="9"/>
        <v>#DIV/0!</v>
      </c>
      <c r="EA35" s="2" t="s">
        <v>52</v>
      </c>
      <c r="EB35" s="155">
        <v>0</v>
      </c>
      <c r="EC35" s="155">
        <v>0</v>
      </c>
      <c r="ED35" s="155">
        <v>0</v>
      </c>
      <c r="EE35" s="155">
        <v>0</v>
      </c>
      <c r="EF35" s="155">
        <v>0</v>
      </c>
      <c r="EG35" s="155">
        <v>0</v>
      </c>
      <c r="EH35" s="155">
        <v>0</v>
      </c>
      <c r="EI35" s="155">
        <v>0</v>
      </c>
      <c r="EJ35" s="155">
        <v>0</v>
      </c>
      <c r="EK35" s="2" t="s">
        <v>52</v>
      </c>
      <c r="EL35" s="171">
        <f t="shared" si="10"/>
        <v>0</v>
      </c>
      <c r="EM35" s="165">
        <f t="shared" si="11"/>
        <v>0</v>
      </c>
      <c r="EN35" s="2" t="s">
        <v>52</v>
      </c>
      <c r="EO35" s="174" t="e">
        <f t="shared" si="12"/>
        <v>#DIV/0!</v>
      </c>
      <c r="EP35" s="169" t="e">
        <f t="shared" si="13"/>
        <v>#DIV/0!</v>
      </c>
      <c r="EQ35" s="158" t="e">
        <f t="shared" si="14"/>
        <v>#DIV/0!</v>
      </c>
    </row>
    <row r="36" spans="1:147" ht="13" x14ac:dyDescent="0.5">
      <c r="A36" s="16" t="s">
        <v>85</v>
      </c>
      <c r="B36" s="16" t="s">
        <v>90</v>
      </c>
      <c r="C36" s="16" t="s">
        <v>52</v>
      </c>
      <c r="D36" s="16" t="s">
        <v>52</v>
      </c>
      <c r="E36" s="16" t="s">
        <v>52</v>
      </c>
      <c r="F36" s="177">
        <v>0</v>
      </c>
      <c r="G36" s="177">
        <v>0</v>
      </c>
      <c r="H36" s="49" t="s">
        <v>52</v>
      </c>
      <c r="I36" s="15">
        <v>0</v>
      </c>
      <c r="J36" s="15">
        <v>0</v>
      </c>
      <c r="K36" s="14">
        <v>0</v>
      </c>
      <c r="L36" s="14">
        <v>0</v>
      </c>
      <c r="M36" s="14">
        <v>0</v>
      </c>
      <c r="N36" s="14">
        <v>0</v>
      </c>
      <c r="O36" s="14">
        <v>0</v>
      </c>
      <c r="P36" s="15">
        <v>0</v>
      </c>
      <c r="Q36" s="14">
        <v>0</v>
      </c>
      <c r="R36" s="49" t="s">
        <v>52</v>
      </c>
      <c r="S36" s="15">
        <v>0</v>
      </c>
      <c r="T36" s="15">
        <v>0</v>
      </c>
      <c r="U36" s="14">
        <v>0</v>
      </c>
      <c r="V36" s="14">
        <v>0</v>
      </c>
      <c r="W36" s="14">
        <v>0</v>
      </c>
      <c r="X36" s="14">
        <v>0</v>
      </c>
      <c r="Y36" s="14">
        <v>0</v>
      </c>
      <c r="Z36" s="15">
        <v>0</v>
      </c>
      <c r="AA36" s="14">
        <v>0</v>
      </c>
      <c r="AB36" s="49" t="s">
        <v>52</v>
      </c>
      <c r="AC36" s="15">
        <v>0</v>
      </c>
      <c r="AD36" s="15">
        <v>0</v>
      </c>
      <c r="AE36" s="14">
        <v>0</v>
      </c>
      <c r="AF36" s="14">
        <v>0</v>
      </c>
      <c r="AG36" s="14">
        <v>0</v>
      </c>
      <c r="AH36" s="14">
        <v>0</v>
      </c>
      <c r="AI36" s="14">
        <v>0</v>
      </c>
      <c r="AJ36" s="15">
        <v>0</v>
      </c>
      <c r="AK36" s="14">
        <v>0</v>
      </c>
      <c r="AL36" s="49" t="s">
        <v>52</v>
      </c>
      <c r="AM36" s="15">
        <v>0</v>
      </c>
      <c r="AN36" s="15">
        <v>0</v>
      </c>
      <c r="AO36" s="14">
        <v>0</v>
      </c>
      <c r="AP36" s="14">
        <v>0</v>
      </c>
      <c r="AQ36" s="14">
        <v>0</v>
      </c>
      <c r="AR36" s="14">
        <v>0</v>
      </c>
      <c r="AS36" s="14">
        <v>0</v>
      </c>
      <c r="AT36" s="15">
        <v>0</v>
      </c>
      <c r="AU36" s="14">
        <v>0</v>
      </c>
      <c r="AV36" s="49" t="s">
        <v>52</v>
      </c>
      <c r="AW36" s="15">
        <v>0</v>
      </c>
      <c r="AX36" s="15">
        <v>0</v>
      </c>
      <c r="AY36" s="14">
        <v>0</v>
      </c>
      <c r="AZ36" s="14">
        <v>0</v>
      </c>
      <c r="BA36" s="14">
        <v>0</v>
      </c>
      <c r="BB36" s="14">
        <v>0</v>
      </c>
      <c r="BC36" s="14">
        <v>0</v>
      </c>
      <c r="BD36" s="15">
        <v>0</v>
      </c>
      <c r="BE36" s="14">
        <v>0</v>
      </c>
      <c r="BF36" s="49" t="s">
        <v>52</v>
      </c>
      <c r="BG36" s="15">
        <v>0</v>
      </c>
      <c r="BH36" s="15">
        <v>0</v>
      </c>
      <c r="BI36" s="14">
        <v>0</v>
      </c>
      <c r="BJ36" s="14">
        <v>0</v>
      </c>
      <c r="BK36" s="14">
        <v>0</v>
      </c>
      <c r="BL36" s="14">
        <v>0</v>
      </c>
      <c r="BM36" s="14">
        <v>0</v>
      </c>
      <c r="BN36" s="18">
        <v>0</v>
      </c>
      <c r="BO36" s="19">
        <v>0</v>
      </c>
      <c r="BP36" s="49" t="s">
        <v>52</v>
      </c>
      <c r="BQ36" s="15">
        <v>0</v>
      </c>
      <c r="BR36" s="15">
        <v>0</v>
      </c>
      <c r="BS36" s="14">
        <v>0</v>
      </c>
      <c r="BT36" s="14">
        <v>0</v>
      </c>
      <c r="BU36" s="14">
        <v>0</v>
      </c>
      <c r="BV36" s="14">
        <v>0</v>
      </c>
      <c r="BW36" s="14">
        <v>0</v>
      </c>
      <c r="BX36" s="18">
        <v>0</v>
      </c>
      <c r="BY36" s="19">
        <v>0</v>
      </c>
      <c r="BZ36" s="49" t="s">
        <v>52</v>
      </c>
      <c r="CA36" s="15">
        <v>0</v>
      </c>
      <c r="CB36" s="15">
        <v>0</v>
      </c>
      <c r="CC36" s="14">
        <v>0</v>
      </c>
      <c r="CD36" s="14">
        <v>0</v>
      </c>
      <c r="CE36" s="14">
        <v>0</v>
      </c>
      <c r="CF36" s="14">
        <v>0</v>
      </c>
      <c r="CG36" s="14">
        <v>0</v>
      </c>
      <c r="CH36" s="18">
        <v>0</v>
      </c>
      <c r="CI36" s="14">
        <v>0</v>
      </c>
      <c r="CJ36" s="49" t="s">
        <v>52</v>
      </c>
      <c r="CK36" s="15">
        <v>0</v>
      </c>
      <c r="CL36" s="15">
        <v>0</v>
      </c>
      <c r="CM36" s="14">
        <v>0</v>
      </c>
      <c r="CN36" s="14">
        <v>0</v>
      </c>
      <c r="CO36" s="14">
        <v>0</v>
      </c>
      <c r="CP36" s="14">
        <v>0</v>
      </c>
      <c r="CQ36" s="14">
        <v>0</v>
      </c>
      <c r="CR36" s="15">
        <v>0</v>
      </c>
      <c r="CS36" s="14">
        <v>0</v>
      </c>
      <c r="CT36" s="2" t="s">
        <v>52</v>
      </c>
      <c r="CU36" s="87">
        <v>0</v>
      </c>
      <c r="CV36" s="87">
        <v>0</v>
      </c>
      <c r="CW36" s="88">
        <v>0</v>
      </c>
      <c r="CX36" s="88">
        <v>0</v>
      </c>
      <c r="CY36" s="88">
        <v>0</v>
      </c>
      <c r="CZ36" s="88">
        <v>0</v>
      </c>
      <c r="DA36" s="88">
        <v>0</v>
      </c>
      <c r="DB36" s="87">
        <v>0</v>
      </c>
      <c r="DC36" s="88">
        <v>0</v>
      </c>
      <c r="DD36" s="2" t="s">
        <v>52</v>
      </c>
      <c r="DE36" s="171">
        <f t="shared" ref="DE36:DE52" si="16">K36+U36+AE36+AO36+AY36+BI36+BS36+CC36+CM36+CW36</f>
        <v>0</v>
      </c>
      <c r="DF36" s="165">
        <f t="shared" ref="DF36:DF52" si="17">M36+W36+AG36+AQ36+BA36+BK36+BU36+CE36+CO36+CY36</f>
        <v>0</v>
      </c>
      <c r="DG36" s="2" t="s">
        <v>52</v>
      </c>
      <c r="DH36" s="172">
        <v>0</v>
      </c>
      <c r="DI36" s="166">
        <v>0</v>
      </c>
      <c r="DJ36" s="158">
        <v>0</v>
      </c>
      <c r="DK36" s="155">
        <v>0</v>
      </c>
      <c r="DL36" s="155">
        <v>0</v>
      </c>
      <c r="DM36" s="155">
        <v>0</v>
      </c>
      <c r="DN36" s="155">
        <v>0</v>
      </c>
      <c r="DO36" s="155">
        <v>0</v>
      </c>
      <c r="DP36" s="155">
        <v>0</v>
      </c>
      <c r="DQ36" s="155">
        <v>0</v>
      </c>
      <c r="DR36" s="155">
        <v>0</v>
      </c>
      <c r="DS36" s="155">
        <v>0</v>
      </c>
      <c r="DT36" s="2" t="s">
        <v>52</v>
      </c>
      <c r="DU36" s="171">
        <f t="shared" ref="DU36:DU52" si="18">K36+U36+AE36+AO36+AY36+BI36+BS36+CC36+CM36+CW36+DM36</f>
        <v>0</v>
      </c>
      <c r="DV36" s="165">
        <f t="shared" ref="DV36:DV52" si="19">M36+W36+AG36+AQ36+BA36+BK36+BU36+CE36+CO36+CY36+DO36</f>
        <v>0</v>
      </c>
      <c r="DW36" s="2" t="s">
        <v>52</v>
      </c>
      <c r="DX36" s="174" t="e">
        <f t="shared" ref="DX36:DX52" si="20">(DM36-CW36)/CW36</f>
        <v>#DIV/0!</v>
      </c>
      <c r="DY36" s="169" t="e">
        <f t="shared" ref="DY36:DY52" si="21">(DO36-CY36)/CY36</f>
        <v>#DIV/0!</v>
      </c>
      <c r="DZ36" s="158" t="e">
        <f t="shared" ref="DZ36:DZ52" si="22">(DP36-CZ36)/CZ36</f>
        <v>#DIV/0!</v>
      </c>
      <c r="EA36" s="2" t="s">
        <v>52</v>
      </c>
      <c r="EB36" s="155">
        <v>0</v>
      </c>
      <c r="EC36" s="155">
        <v>0</v>
      </c>
      <c r="ED36" s="155">
        <v>0</v>
      </c>
      <c r="EE36" s="155">
        <v>0</v>
      </c>
      <c r="EF36" s="155">
        <v>0</v>
      </c>
      <c r="EG36" s="155">
        <v>0</v>
      </c>
      <c r="EH36" s="155">
        <v>0</v>
      </c>
      <c r="EI36" s="155">
        <v>0</v>
      </c>
      <c r="EJ36" s="155">
        <v>0</v>
      </c>
      <c r="EK36" s="2" t="s">
        <v>52</v>
      </c>
      <c r="EL36" s="171">
        <f t="shared" si="10"/>
        <v>0</v>
      </c>
      <c r="EM36" s="165">
        <f t="shared" si="11"/>
        <v>0</v>
      </c>
      <c r="EN36" s="2" t="s">
        <v>52</v>
      </c>
      <c r="EO36" s="174" t="e">
        <f t="shared" si="12"/>
        <v>#DIV/0!</v>
      </c>
      <c r="EP36" s="169" t="e">
        <f t="shared" si="13"/>
        <v>#DIV/0!</v>
      </c>
      <c r="EQ36" s="158" t="e">
        <f t="shared" si="14"/>
        <v>#DIV/0!</v>
      </c>
    </row>
    <row r="37" spans="1:147" ht="13" x14ac:dyDescent="0.5">
      <c r="A37" s="16" t="s">
        <v>24</v>
      </c>
      <c r="B37" s="16" t="s">
        <v>90</v>
      </c>
      <c r="C37" s="16" t="s">
        <v>52</v>
      </c>
      <c r="D37" s="16" t="s">
        <v>6</v>
      </c>
      <c r="E37" s="16" t="s">
        <v>18</v>
      </c>
      <c r="F37" s="177">
        <v>97.342399999999998</v>
      </c>
      <c r="G37" s="177">
        <v>114.2623</v>
      </c>
      <c r="H37" s="49" t="s">
        <v>52</v>
      </c>
      <c r="I37" s="15">
        <v>4</v>
      </c>
      <c r="J37" s="15">
        <v>1007</v>
      </c>
      <c r="K37" s="14">
        <v>2.9999999999999997E-4</v>
      </c>
      <c r="L37" s="14">
        <v>5.33E-2</v>
      </c>
      <c r="M37" s="14">
        <v>-5.2999999999999999E-2</v>
      </c>
      <c r="N37" s="14">
        <v>66.193600000000004</v>
      </c>
      <c r="O37" s="14">
        <v>94.262100000000004</v>
      </c>
      <c r="P37" s="15">
        <v>0</v>
      </c>
      <c r="Q37" s="14">
        <v>0</v>
      </c>
      <c r="R37" s="49" t="s">
        <v>52</v>
      </c>
      <c r="S37" s="15">
        <v>4</v>
      </c>
      <c r="T37" s="15">
        <v>998</v>
      </c>
      <c r="U37" s="14">
        <v>0</v>
      </c>
      <c r="V37" s="14">
        <v>27.270099999999999</v>
      </c>
      <c r="W37" s="14">
        <v>-27.270099999999999</v>
      </c>
      <c r="X37" s="14">
        <v>43.863700000000001</v>
      </c>
      <c r="Y37" s="14">
        <v>78.4893</v>
      </c>
      <c r="Z37" s="15">
        <v>0</v>
      </c>
      <c r="AA37" s="14">
        <v>0</v>
      </c>
      <c r="AB37" s="49" t="s">
        <v>52</v>
      </c>
      <c r="AC37" s="15">
        <v>4</v>
      </c>
      <c r="AD37" s="15">
        <v>998</v>
      </c>
      <c r="AE37" s="14">
        <v>0</v>
      </c>
      <c r="AF37" s="14">
        <v>0</v>
      </c>
      <c r="AG37" s="14">
        <v>0</v>
      </c>
      <c r="AH37" s="14">
        <v>44.071800000000003</v>
      </c>
      <c r="AI37" s="14">
        <v>60.078099999999999</v>
      </c>
      <c r="AJ37" s="15">
        <v>0</v>
      </c>
      <c r="AK37" s="14">
        <v>0</v>
      </c>
      <c r="AL37" s="49" t="s">
        <v>52</v>
      </c>
      <c r="AM37" s="15">
        <v>4</v>
      </c>
      <c r="AN37" s="15">
        <v>998</v>
      </c>
      <c r="AO37" s="14">
        <v>0</v>
      </c>
      <c r="AP37" s="14">
        <v>0</v>
      </c>
      <c r="AQ37" s="14">
        <v>0</v>
      </c>
      <c r="AR37" s="14">
        <v>44.266300000000001</v>
      </c>
      <c r="AS37" s="14">
        <v>60.3538</v>
      </c>
      <c r="AT37" s="15">
        <v>0</v>
      </c>
      <c r="AU37" s="14">
        <v>0</v>
      </c>
      <c r="AV37" s="49" t="s">
        <v>52</v>
      </c>
      <c r="AW37" s="15">
        <v>4</v>
      </c>
      <c r="AX37" s="15">
        <v>989</v>
      </c>
      <c r="AY37" s="14">
        <v>0</v>
      </c>
      <c r="AZ37" s="14">
        <v>11.437900000000001</v>
      </c>
      <c r="BA37" s="14">
        <v>-11.437900000000001</v>
      </c>
      <c r="BB37" s="14">
        <v>40.711599999999997</v>
      </c>
      <c r="BC37" s="14">
        <v>51.773200000000003</v>
      </c>
      <c r="BD37" s="15">
        <v>0</v>
      </c>
      <c r="BE37" s="14">
        <v>0</v>
      </c>
      <c r="BF37" s="49" t="s">
        <v>52</v>
      </c>
      <c r="BG37" s="15">
        <v>4</v>
      </c>
      <c r="BH37" s="15">
        <v>939</v>
      </c>
      <c r="BI37" s="14">
        <v>0</v>
      </c>
      <c r="BJ37" s="14">
        <v>2.52</v>
      </c>
      <c r="BK37" s="14">
        <v>-2.52</v>
      </c>
      <c r="BL37" s="14">
        <v>38.377699999999997</v>
      </c>
      <c r="BM37" s="14">
        <v>47.593800000000002</v>
      </c>
      <c r="BN37" s="18">
        <v>0</v>
      </c>
      <c r="BO37" s="19">
        <v>0</v>
      </c>
      <c r="BP37" s="49" t="s">
        <v>52</v>
      </c>
      <c r="BQ37" s="15">
        <v>4</v>
      </c>
      <c r="BR37" s="15">
        <v>938</v>
      </c>
      <c r="BS37" s="14">
        <v>0</v>
      </c>
      <c r="BT37" s="14">
        <v>0</v>
      </c>
      <c r="BU37" s="14">
        <v>0</v>
      </c>
      <c r="BV37" s="14">
        <v>38.559800000000003</v>
      </c>
      <c r="BW37" s="14">
        <v>47.108899999999998</v>
      </c>
      <c r="BX37" s="18">
        <v>0</v>
      </c>
      <c r="BY37" s="19">
        <v>0</v>
      </c>
      <c r="BZ37" s="49" t="s">
        <v>52</v>
      </c>
      <c r="CA37" s="15">
        <v>3</v>
      </c>
      <c r="CB37" s="15">
        <v>914</v>
      </c>
      <c r="CC37" s="14">
        <v>0</v>
      </c>
      <c r="CD37" s="14">
        <v>3.0000000000001099E-2</v>
      </c>
      <c r="CE37" s="14">
        <v>-3.0000000000001099E-2</v>
      </c>
      <c r="CF37" s="14">
        <v>30.018599999999999</v>
      </c>
      <c r="CG37" s="14">
        <v>45.6389</v>
      </c>
      <c r="CH37" s="18">
        <v>0</v>
      </c>
      <c r="CI37" s="14">
        <v>0</v>
      </c>
      <c r="CJ37" s="49" t="s">
        <v>52</v>
      </c>
      <c r="CK37" s="15">
        <v>3</v>
      </c>
      <c r="CL37" s="15">
        <v>914</v>
      </c>
      <c r="CM37" s="14">
        <v>0</v>
      </c>
      <c r="CN37" s="14">
        <v>0</v>
      </c>
      <c r="CO37" s="14">
        <v>0</v>
      </c>
      <c r="CP37" s="14">
        <v>30.163699999999999</v>
      </c>
      <c r="CQ37" s="14">
        <v>39.150700000000001</v>
      </c>
      <c r="CR37" s="15">
        <v>0</v>
      </c>
      <c r="CS37" s="14">
        <v>0</v>
      </c>
      <c r="CT37" s="2" t="s">
        <v>52</v>
      </c>
      <c r="CU37" s="87">
        <v>3</v>
      </c>
      <c r="CV37" s="87">
        <v>914</v>
      </c>
      <c r="CW37" s="88">
        <v>0</v>
      </c>
      <c r="CX37" s="88">
        <v>0</v>
      </c>
      <c r="CY37" s="88">
        <v>0</v>
      </c>
      <c r="CZ37" s="88">
        <v>30.163699999999999</v>
      </c>
      <c r="DA37" s="88">
        <v>39.150700000000001</v>
      </c>
      <c r="DB37" s="87">
        <v>0</v>
      </c>
      <c r="DC37" s="88">
        <v>0</v>
      </c>
      <c r="DD37" s="2" t="s">
        <v>52</v>
      </c>
      <c r="DE37" s="171">
        <f t="shared" si="16"/>
        <v>2.9999999999999997E-4</v>
      </c>
      <c r="DF37" s="165">
        <f t="shared" si="17"/>
        <v>-41.311000000000007</v>
      </c>
      <c r="DG37" s="2" t="s">
        <v>52</v>
      </c>
      <c r="DH37" s="172">
        <v>0</v>
      </c>
      <c r="DI37" s="166">
        <v>0</v>
      </c>
      <c r="DJ37" s="158">
        <f t="shared" ref="DJ37:DJ52" si="23">(CZ37-CP37)/CP37</f>
        <v>0</v>
      </c>
      <c r="DK37" s="155">
        <v>3</v>
      </c>
      <c r="DL37" s="155">
        <v>911</v>
      </c>
      <c r="DM37" s="155">
        <v>0</v>
      </c>
      <c r="DN37" s="155">
        <v>0.20049999999999801</v>
      </c>
      <c r="DO37" s="155">
        <v>-0.20049999999999801</v>
      </c>
      <c r="DP37" s="155">
        <v>30.3325</v>
      </c>
      <c r="DQ37" s="155">
        <v>39.342599999999997</v>
      </c>
      <c r="DR37" s="155">
        <v>0</v>
      </c>
      <c r="DS37" s="155">
        <v>0</v>
      </c>
      <c r="DT37" s="2" t="s">
        <v>52</v>
      </c>
      <c r="DU37" s="171">
        <f t="shared" si="18"/>
        <v>2.9999999999999997E-4</v>
      </c>
      <c r="DV37" s="165">
        <f t="shared" si="19"/>
        <v>-41.511500000000005</v>
      </c>
      <c r="DW37" s="2" t="s">
        <v>52</v>
      </c>
      <c r="DX37" s="174" t="e">
        <f t="shared" si="20"/>
        <v>#DIV/0!</v>
      </c>
      <c r="DY37" s="169" t="e">
        <f t="shared" si="21"/>
        <v>#DIV/0!</v>
      </c>
      <c r="DZ37" s="158">
        <f t="shared" si="22"/>
        <v>5.5961304481877538E-3</v>
      </c>
      <c r="EA37" s="2" t="s">
        <v>52</v>
      </c>
      <c r="EB37" s="155">
        <v>0</v>
      </c>
      <c r="EC37" s="155">
        <v>0</v>
      </c>
      <c r="ED37" s="155">
        <v>0</v>
      </c>
      <c r="EE37" s="155">
        <v>0</v>
      </c>
      <c r="EF37" s="155">
        <v>0</v>
      </c>
      <c r="EG37" s="155">
        <v>0</v>
      </c>
      <c r="EH37" s="155">
        <v>0</v>
      </c>
      <c r="EI37" s="155">
        <v>0</v>
      </c>
      <c r="EJ37" s="155">
        <v>0</v>
      </c>
      <c r="EK37" s="2" t="s">
        <v>52</v>
      </c>
      <c r="EL37" s="171">
        <f t="shared" si="10"/>
        <v>2.9999999999999997E-4</v>
      </c>
      <c r="EM37" s="165">
        <f t="shared" si="11"/>
        <v>-41.511500000000005</v>
      </c>
      <c r="EN37" s="2" t="s">
        <v>52</v>
      </c>
      <c r="EO37" s="174" t="e">
        <f t="shared" si="12"/>
        <v>#DIV/0!</v>
      </c>
      <c r="EP37" s="169">
        <f t="shared" si="13"/>
        <v>-1</v>
      </c>
      <c r="EQ37" s="158">
        <f t="shared" si="14"/>
        <v>-1</v>
      </c>
    </row>
    <row r="38" spans="1:147" ht="13" x14ac:dyDescent="0.5">
      <c r="A38" s="16" t="s">
        <v>22</v>
      </c>
      <c r="B38" s="16" t="s">
        <v>24</v>
      </c>
      <c r="C38" s="16" t="s">
        <v>131</v>
      </c>
      <c r="D38" s="16" t="s">
        <v>6</v>
      </c>
      <c r="E38" s="16" t="s">
        <v>7</v>
      </c>
      <c r="F38" s="177">
        <v>40989.936324479997</v>
      </c>
      <c r="G38" s="177">
        <v>40630.627890340002</v>
      </c>
      <c r="H38" s="49" t="s">
        <v>52</v>
      </c>
      <c r="I38" s="15">
        <v>22</v>
      </c>
      <c r="J38" s="15">
        <v>223026</v>
      </c>
      <c r="K38" s="14">
        <v>2544.9732879799999</v>
      </c>
      <c r="L38" s="14">
        <v>2970.0229979300002</v>
      </c>
      <c r="M38" s="14">
        <v>-425.04970995000002</v>
      </c>
      <c r="N38" s="14">
        <v>41428.661825590003</v>
      </c>
      <c r="O38" s="14">
        <v>41038.384031380003</v>
      </c>
      <c r="P38" s="15">
        <v>0</v>
      </c>
      <c r="Q38" s="14">
        <v>0</v>
      </c>
      <c r="R38" s="49" t="s">
        <v>52</v>
      </c>
      <c r="S38" s="15">
        <v>23</v>
      </c>
      <c r="T38" s="15">
        <v>232237</v>
      </c>
      <c r="U38" s="14">
        <v>2738.6611528200001</v>
      </c>
      <c r="V38" s="14">
        <v>1352.7321447700001</v>
      </c>
      <c r="W38" s="14">
        <v>1385.92900805</v>
      </c>
      <c r="X38" s="14">
        <v>43000.141136300001</v>
      </c>
      <c r="Y38" s="14">
        <v>42256.263815760001</v>
      </c>
      <c r="Z38" s="15">
        <v>0</v>
      </c>
      <c r="AA38" s="14">
        <v>0</v>
      </c>
      <c r="AB38" s="49" t="s">
        <v>52</v>
      </c>
      <c r="AC38" s="15">
        <v>23</v>
      </c>
      <c r="AD38" s="15">
        <v>232057</v>
      </c>
      <c r="AE38" s="14">
        <v>1562.0074013200001</v>
      </c>
      <c r="AF38" s="14">
        <v>2519.3305023600001</v>
      </c>
      <c r="AG38" s="14">
        <v>-957.32310104000101</v>
      </c>
      <c r="AH38" s="14">
        <v>41449.723214209997</v>
      </c>
      <c r="AI38" s="14">
        <v>42294.944257950003</v>
      </c>
      <c r="AJ38" s="15">
        <v>0</v>
      </c>
      <c r="AK38" s="14">
        <v>0</v>
      </c>
      <c r="AL38" s="49" t="s">
        <v>52</v>
      </c>
      <c r="AM38" s="15">
        <v>23</v>
      </c>
      <c r="AN38" s="15">
        <v>232098</v>
      </c>
      <c r="AO38" s="14">
        <v>1929.8525707900001</v>
      </c>
      <c r="AP38" s="14">
        <v>1769.80230155</v>
      </c>
      <c r="AQ38" s="14">
        <v>160.05026924000001</v>
      </c>
      <c r="AR38" s="14">
        <v>41789.563127690002</v>
      </c>
      <c r="AS38" s="14">
        <v>42149.902633589998</v>
      </c>
      <c r="AT38" s="15">
        <v>0</v>
      </c>
      <c r="AU38" s="14">
        <v>0</v>
      </c>
      <c r="AV38" s="49" t="s">
        <v>52</v>
      </c>
      <c r="AW38" s="15">
        <v>23</v>
      </c>
      <c r="AX38" s="15">
        <v>229584</v>
      </c>
      <c r="AY38" s="14">
        <v>2330.7549784900002</v>
      </c>
      <c r="AZ38" s="14">
        <v>3259.1759061500002</v>
      </c>
      <c r="BA38" s="14">
        <v>-928.42092765999996</v>
      </c>
      <c r="BB38" s="14">
        <v>40089.9709945</v>
      </c>
      <c r="BC38" s="14">
        <v>40439.257301029997</v>
      </c>
      <c r="BD38" s="15">
        <v>0</v>
      </c>
      <c r="BE38" s="14">
        <v>0</v>
      </c>
      <c r="BF38" s="49" t="s">
        <v>52</v>
      </c>
      <c r="BG38" s="15">
        <v>23</v>
      </c>
      <c r="BH38" s="15">
        <v>225769</v>
      </c>
      <c r="BI38" s="14">
        <v>2178.0677479000001</v>
      </c>
      <c r="BJ38" s="14">
        <v>2793.0571030800002</v>
      </c>
      <c r="BK38" s="14">
        <v>-614.98935518000098</v>
      </c>
      <c r="BL38" s="14">
        <v>40055.16841898</v>
      </c>
      <c r="BM38" s="14">
        <v>40635.104292999997</v>
      </c>
      <c r="BN38" s="18">
        <v>0</v>
      </c>
      <c r="BO38" s="19">
        <v>0</v>
      </c>
      <c r="BP38" s="49" t="s">
        <v>52</v>
      </c>
      <c r="BQ38" s="15">
        <v>23</v>
      </c>
      <c r="BR38" s="15">
        <v>222590</v>
      </c>
      <c r="BS38" s="14">
        <v>507.683404230002</v>
      </c>
      <c r="BT38" s="14">
        <v>1438.6709867100001</v>
      </c>
      <c r="BU38" s="14">
        <v>-930.98758247999797</v>
      </c>
      <c r="BV38" s="14">
        <v>39325.017492179999</v>
      </c>
      <c r="BW38" s="14">
        <v>39916.684943200002</v>
      </c>
      <c r="BX38" s="18">
        <v>0</v>
      </c>
      <c r="BY38" s="19">
        <v>0</v>
      </c>
      <c r="BZ38" s="49" t="s">
        <v>52</v>
      </c>
      <c r="CA38" s="15">
        <v>23</v>
      </c>
      <c r="CB38" s="15">
        <v>219637</v>
      </c>
      <c r="CC38" s="14">
        <v>499.72912670999898</v>
      </c>
      <c r="CD38" s="14">
        <v>676.27553085999898</v>
      </c>
      <c r="CE38" s="14">
        <v>-176.54640415</v>
      </c>
      <c r="CF38" s="14">
        <v>39160.962742479998</v>
      </c>
      <c r="CG38" s="14">
        <v>39290.82877819</v>
      </c>
      <c r="CH38" s="18">
        <v>0</v>
      </c>
      <c r="CI38" s="14">
        <v>0</v>
      </c>
      <c r="CJ38" s="49" t="s">
        <v>52</v>
      </c>
      <c r="CK38" s="15">
        <v>23</v>
      </c>
      <c r="CL38" s="15">
        <v>215424</v>
      </c>
      <c r="CM38" s="14">
        <v>516.58775362999995</v>
      </c>
      <c r="CN38" s="14">
        <v>1312.78189638</v>
      </c>
      <c r="CO38" s="14">
        <v>-796.19414275000202</v>
      </c>
      <c r="CP38" s="112">
        <v>38514.724595710002</v>
      </c>
      <c r="CQ38" s="14">
        <v>38808.925002850003</v>
      </c>
      <c r="CR38" s="15">
        <v>0</v>
      </c>
      <c r="CS38" s="14">
        <v>0</v>
      </c>
      <c r="CT38" s="2" t="s">
        <v>52</v>
      </c>
      <c r="CU38" s="87">
        <v>23</v>
      </c>
      <c r="CV38" s="87">
        <v>211129</v>
      </c>
      <c r="CW38" s="88">
        <v>459.22893424</v>
      </c>
      <c r="CX38" s="88">
        <v>1887.72175606</v>
      </c>
      <c r="CY38" s="88">
        <v>-1428.49282182</v>
      </c>
      <c r="CZ38" s="111">
        <v>37115.927019919996</v>
      </c>
      <c r="DA38" s="88">
        <v>37810.512963590001</v>
      </c>
      <c r="DB38" s="87">
        <v>0</v>
      </c>
      <c r="DC38" s="88">
        <v>0</v>
      </c>
      <c r="DD38" s="2" t="s">
        <v>52</v>
      </c>
      <c r="DE38" s="171">
        <f t="shared" si="16"/>
        <v>15267.546358110001</v>
      </c>
      <c r="DF38" s="165">
        <f t="shared" si="17"/>
        <v>-4712.0247677400021</v>
      </c>
      <c r="DG38" s="2" t="s">
        <v>52</v>
      </c>
      <c r="DH38" s="172">
        <f>(CW38-CM38)/CM38</f>
        <v>-0.11103402855941984</v>
      </c>
      <c r="DI38" s="166">
        <f t="shared" ref="DI38:DI52" si="24">(CY38-CO38)/CO38</f>
        <v>0.79415138233255533</v>
      </c>
      <c r="DJ38" s="158">
        <f t="shared" si="23"/>
        <v>-3.6318514294811081E-2</v>
      </c>
      <c r="DK38" s="155">
        <v>23</v>
      </c>
      <c r="DL38" s="155">
        <v>208248</v>
      </c>
      <c r="DM38" s="155">
        <v>1263.95710399</v>
      </c>
      <c r="DN38" s="155">
        <v>1272.86277245</v>
      </c>
      <c r="DO38" s="155">
        <v>-8.9056684599981999</v>
      </c>
      <c r="DP38" s="155">
        <v>37363.216568529999</v>
      </c>
      <c r="DQ38" s="155">
        <v>36854.200964739997</v>
      </c>
      <c r="DR38" s="155">
        <v>0</v>
      </c>
      <c r="DS38" s="155">
        <v>0</v>
      </c>
      <c r="DT38" s="2" t="s">
        <v>52</v>
      </c>
      <c r="DU38" s="171">
        <f t="shared" si="18"/>
        <v>16531.503462100001</v>
      </c>
      <c r="DV38" s="165">
        <f t="shared" si="19"/>
        <v>-4720.9304362000003</v>
      </c>
      <c r="DW38" s="2" t="s">
        <v>52</v>
      </c>
      <c r="DX38" s="174">
        <f t="shared" si="20"/>
        <v>1.7523464001278213</v>
      </c>
      <c r="DY38" s="169">
        <f t="shared" si="21"/>
        <v>-0.99376568903674867</v>
      </c>
      <c r="DZ38" s="158">
        <f t="shared" si="22"/>
        <v>6.6626262218180054E-3</v>
      </c>
      <c r="EA38" s="2" t="s">
        <v>52</v>
      </c>
      <c r="EB38" s="155">
        <v>23</v>
      </c>
      <c r="EC38" s="155">
        <v>203580</v>
      </c>
      <c r="ED38" s="155">
        <v>907.17008657999804</v>
      </c>
      <c r="EE38" s="155">
        <v>3985.5693201899999</v>
      </c>
      <c r="EF38" s="155">
        <v>-3078.39923361</v>
      </c>
      <c r="EG38" s="155">
        <v>33620.532147719998</v>
      </c>
      <c r="EH38" s="155">
        <v>35383.492603669998</v>
      </c>
      <c r="EI38" s="155">
        <v>0</v>
      </c>
      <c r="EJ38" s="155">
        <v>0</v>
      </c>
      <c r="EK38" s="2" t="s">
        <v>52</v>
      </c>
      <c r="EL38" s="171">
        <f t="shared" si="10"/>
        <v>17438.673548679999</v>
      </c>
      <c r="EM38" s="165">
        <f t="shared" si="11"/>
        <v>-7799.3296698100003</v>
      </c>
      <c r="EN38" s="2" t="s">
        <v>52</v>
      </c>
      <c r="EO38" s="174">
        <f t="shared" si="12"/>
        <v>-0.28227778955766264</v>
      </c>
      <c r="EP38" s="169">
        <f t="shared" si="13"/>
        <v>344.66739683127867</v>
      </c>
      <c r="EQ38" s="158">
        <f t="shared" si="14"/>
        <v>-0.10017029486595007</v>
      </c>
    </row>
    <row r="39" spans="1:147" ht="13" x14ac:dyDescent="0.5">
      <c r="A39" s="16" t="s">
        <v>323</v>
      </c>
      <c r="B39" s="16" t="s">
        <v>87</v>
      </c>
      <c r="C39" s="16" t="s">
        <v>101</v>
      </c>
      <c r="D39" s="16" t="s">
        <v>2</v>
      </c>
      <c r="E39" s="16" t="s">
        <v>2</v>
      </c>
      <c r="F39" s="177">
        <v>4034.5204710500002</v>
      </c>
      <c r="G39" s="177">
        <v>3977.8897398200002</v>
      </c>
      <c r="H39" s="49" t="s">
        <v>52</v>
      </c>
      <c r="I39" s="15">
        <v>15</v>
      </c>
      <c r="J39" s="15">
        <v>258637</v>
      </c>
      <c r="K39" s="14">
        <v>0</v>
      </c>
      <c r="L39" s="14">
        <v>15.59950497</v>
      </c>
      <c r="M39" s="14">
        <v>-15.59950497</v>
      </c>
      <c r="N39" s="14">
        <v>4174.2776966900001</v>
      </c>
      <c r="O39" s="14">
        <v>4052.9507226800001</v>
      </c>
      <c r="P39" s="15">
        <v>0</v>
      </c>
      <c r="Q39" s="14">
        <v>0</v>
      </c>
      <c r="R39" s="49" t="s">
        <v>52</v>
      </c>
      <c r="S39" s="15">
        <v>15</v>
      </c>
      <c r="T39" s="15">
        <v>257771</v>
      </c>
      <c r="U39" s="14">
        <v>0</v>
      </c>
      <c r="V39" s="14">
        <v>18.563768589999999</v>
      </c>
      <c r="W39" s="14">
        <v>-18.563768589999999</v>
      </c>
      <c r="X39" s="14">
        <v>4272.9352847500004</v>
      </c>
      <c r="Y39" s="14">
        <v>4227.2001689899998</v>
      </c>
      <c r="Z39" s="15">
        <v>0</v>
      </c>
      <c r="AA39" s="14">
        <v>0</v>
      </c>
      <c r="AB39" s="49" t="s">
        <v>52</v>
      </c>
      <c r="AC39" s="15">
        <v>15</v>
      </c>
      <c r="AD39" s="15">
        <v>256846</v>
      </c>
      <c r="AE39" s="14">
        <v>0</v>
      </c>
      <c r="AF39" s="14">
        <v>19.118207330000001</v>
      </c>
      <c r="AG39" s="14">
        <v>-19.118207330000001</v>
      </c>
      <c r="AH39" s="14">
        <v>4398.6399430499996</v>
      </c>
      <c r="AI39" s="14">
        <v>4324.4088412499996</v>
      </c>
      <c r="AJ39" s="15">
        <v>0</v>
      </c>
      <c r="AK39" s="14">
        <v>0</v>
      </c>
      <c r="AL39" s="49" t="s">
        <v>52</v>
      </c>
      <c r="AM39" s="15">
        <v>15</v>
      </c>
      <c r="AN39" s="15">
        <v>255907</v>
      </c>
      <c r="AO39" s="14">
        <v>0</v>
      </c>
      <c r="AP39" s="14">
        <v>29.724394920000002</v>
      </c>
      <c r="AQ39" s="14">
        <v>-29.724394920000002</v>
      </c>
      <c r="AR39" s="14">
        <v>4275.5324295299997</v>
      </c>
      <c r="AS39" s="14">
        <v>4342.1080260299996</v>
      </c>
      <c r="AT39" s="15">
        <v>0</v>
      </c>
      <c r="AU39" s="14">
        <v>0</v>
      </c>
      <c r="AV39" s="49" t="s">
        <v>52</v>
      </c>
      <c r="AW39" s="15">
        <v>15</v>
      </c>
      <c r="AX39" s="15">
        <v>255243</v>
      </c>
      <c r="AY39" s="14">
        <v>0</v>
      </c>
      <c r="AZ39" s="14">
        <v>13.044299649999999</v>
      </c>
      <c r="BA39" s="14">
        <v>-13.044299649999999</v>
      </c>
      <c r="BB39" s="14">
        <v>4219.1555947400002</v>
      </c>
      <c r="BC39" s="14">
        <v>4244.9541176000002</v>
      </c>
      <c r="BD39" s="15">
        <v>0</v>
      </c>
      <c r="BE39" s="14">
        <v>0</v>
      </c>
      <c r="BF39" s="49" t="s">
        <v>52</v>
      </c>
      <c r="BG39" s="15">
        <v>15</v>
      </c>
      <c r="BH39" s="15">
        <v>254488</v>
      </c>
      <c r="BI39" s="14">
        <v>0</v>
      </c>
      <c r="BJ39" s="14">
        <v>16.916785099999998</v>
      </c>
      <c r="BK39" s="14">
        <v>-16.916785099999998</v>
      </c>
      <c r="BL39" s="14">
        <v>4230.7822410799999</v>
      </c>
      <c r="BM39" s="14">
        <v>4297.0678573599998</v>
      </c>
      <c r="BN39" s="18">
        <v>0</v>
      </c>
      <c r="BO39" s="19">
        <v>0</v>
      </c>
      <c r="BP39" s="49" t="s">
        <v>52</v>
      </c>
      <c r="BQ39" s="15">
        <v>15</v>
      </c>
      <c r="BR39" s="15">
        <v>253748</v>
      </c>
      <c r="BS39" s="14">
        <v>0</v>
      </c>
      <c r="BT39" s="14">
        <v>18.71692779</v>
      </c>
      <c r="BU39" s="14">
        <v>-18.71692779</v>
      </c>
      <c r="BV39" s="14">
        <v>4346.9907243300004</v>
      </c>
      <c r="BW39" s="14">
        <v>4332.3777244299999</v>
      </c>
      <c r="BX39" s="18">
        <v>0</v>
      </c>
      <c r="BY39" s="19">
        <v>0</v>
      </c>
      <c r="BZ39" s="49" t="s">
        <v>52</v>
      </c>
      <c r="CA39" s="15">
        <v>15</v>
      </c>
      <c r="CB39" s="15">
        <v>252978</v>
      </c>
      <c r="CC39" s="14">
        <v>0</v>
      </c>
      <c r="CD39" s="14">
        <v>17.437277559999998</v>
      </c>
      <c r="CE39" s="14">
        <v>-17.437277559999998</v>
      </c>
      <c r="CF39" s="14">
        <v>4370.8469719699997</v>
      </c>
      <c r="CG39" s="14">
        <v>4347.75997224</v>
      </c>
      <c r="CH39" s="18">
        <v>0</v>
      </c>
      <c r="CI39" s="14">
        <v>0</v>
      </c>
      <c r="CJ39" s="49" t="s">
        <v>52</v>
      </c>
      <c r="CK39" s="15">
        <v>15</v>
      </c>
      <c r="CL39" s="15">
        <v>252071</v>
      </c>
      <c r="CM39" s="14">
        <v>0</v>
      </c>
      <c r="CN39" s="14">
        <v>19.2519785</v>
      </c>
      <c r="CO39" s="14">
        <v>-19.2519785</v>
      </c>
      <c r="CP39" s="112">
        <v>4342.8818170200002</v>
      </c>
      <c r="CQ39" s="14">
        <v>4334.9311355600003</v>
      </c>
      <c r="CR39" s="15">
        <v>0</v>
      </c>
      <c r="CS39" s="14">
        <v>0</v>
      </c>
      <c r="CT39" s="2" t="s">
        <v>52</v>
      </c>
      <c r="CU39" s="87">
        <v>15</v>
      </c>
      <c r="CV39" s="87">
        <v>251406</v>
      </c>
      <c r="CW39" s="88">
        <v>0</v>
      </c>
      <c r="CX39" s="88">
        <v>15.424994959999999</v>
      </c>
      <c r="CY39" s="88">
        <v>-15.424994959999999</v>
      </c>
      <c r="CZ39" s="111">
        <v>4196.2202251999997</v>
      </c>
      <c r="DA39" s="88">
        <v>4258.50841021</v>
      </c>
      <c r="DB39" s="87">
        <v>0</v>
      </c>
      <c r="DC39" s="88">
        <v>0</v>
      </c>
      <c r="DD39" s="2" t="s">
        <v>52</v>
      </c>
      <c r="DE39" s="171">
        <f t="shared" si="16"/>
        <v>0</v>
      </c>
      <c r="DF39" s="165">
        <f t="shared" si="17"/>
        <v>-183.79813937</v>
      </c>
      <c r="DG39" s="2" t="s">
        <v>52</v>
      </c>
      <c r="DH39" s="172">
        <v>0</v>
      </c>
      <c r="DI39" s="166">
        <f t="shared" si="24"/>
        <v>-0.19878390888500111</v>
      </c>
      <c r="DJ39" s="158">
        <f t="shared" si="23"/>
        <v>-3.3770569405141393E-2</v>
      </c>
      <c r="DK39" s="155">
        <v>15</v>
      </c>
      <c r="DL39" s="155">
        <v>250763</v>
      </c>
      <c r="DM39" s="155">
        <v>0</v>
      </c>
      <c r="DN39" s="155">
        <v>12.836447339999999</v>
      </c>
      <c r="DO39" s="155">
        <v>-12.836447339999999</v>
      </c>
      <c r="DP39" s="155">
        <v>4153.9510319600004</v>
      </c>
      <c r="DQ39" s="155">
        <v>4220.3995663799997</v>
      </c>
      <c r="DR39" s="155">
        <v>0</v>
      </c>
      <c r="DS39" s="155">
        <v>0</v>
      </c>
      <c r="DT39" s="2" t="s">
        <v>52</v>
      </c>
      <c r="DU39" s="171">
        <f t="shared" si="18"/>
        <v>0</v>
      </c>
      <c r="DV39" s="165">
        <f t="shared" si="19"/>
        <v>-196.63458671000001</v>
      </c>
      <c r="DW39" s="2" t="s">
        <v>52</v>
      </c>
      <c r="DX39" s="174" t="e">
        <f t="shared" si="20"/>
        <v>#DIV/0!</v>
      </c>
      <c r="DY39" s="169">
        <f t="shared" si="21"/>
        <v>-0.16781513554543165</v>
      </c>
      <c r="DZ39" s="158">
        <f t="shared" si="22"/>
        <v>-1.0073158931496438E-2</v>
      </c>
      <c r="EA39" s="2" t="s">
        <v>52</v>
      </c>
      <c r="EB39" s="155">
        <v>13</v>
      </c>
      <c r="EC39" s="155">
        <v>247165</v>
      </c>
      <c r="ED39" s="155">
        <v>0</v>
      </c>
      <c r="EE39" s="155">
        <v>84.294009189999997</v>
      </c>
      <c r="EF39" s="155">
        <v>-84.294009189999997</v>
      </c>
      <c r="EG39" s="155">
        <v>3558.3565722799999</v>
      </c>
      <c r="EH39" s="155">
        <v>3868.1607545100001</v>
      </c>
      <c r="EI39" s="155" t="s">
        <v>52</v>
      </c>
      <c r="EJ39" s="155" t="s">
        <v>52</v>
      </c>
      <c r="EK39" s="2" t="s">
        <v>52</v>
      </c>
      <c r="EL39" s="171">
        <f t="shared" si="10"/>
        <v>0</v>
      </c>
      <c r="EM39" s="165">
        <f t="shared" si="11"/>
        <v>-280.9285959</v>
      </c>
      <c r="EN39" s="2" t="s">
        <v>52</v>
      </c>
      <c r="EO39" s="174" t="e">
        <f t="shared" si="12"/>
        <v>#DIV/0!</v>
      </c>
      <c r="EP39" s="169">
        <f t="shared" si="13"/>
        <v>5.5667709263550798</v>
      </c>
      <c r="EQ39" s="158">
        <f t="shared" si="14"/>
        <v>-0.14338023127802138</v>
      </c>
    </row>
    <row r="40" spans="1:147" ht="13" x14ac:dyDescent="0.5">
      <c r="A40" s="16" t="s">
        <v>98</v>
      </c>
      <c r="B40" s="16" t="s">
        <v>24</v>
      </c>
      <c r="C40" s="16" t="s">
        <v>101</v>
      </c>
      <c r="D40" s="16" t="s">
        <v>6</v>
      </c>
      <c r="E40" s="16" t="s">
        <v>7</v>
      </c>
      <c r="F40" s="177">
        <v>5319.12</v>
      </c>
      <c r="G40" s="177">
        <v>5265.41</v>
      </c>
      <c r="H40" s="49" t="s">
        <v>52</v>
      </c>
      <c r="I40" s="15">
        <v>1</v>
      </c>
      <c r="J40" s="15">
        <v>190744</v>
      </c>
      <c r="K40" s="14">
        <v>18.399999999999999</v>
      </c>
      <c r="L40" s="14">
        <v>61.28</v>
      </c>
      <c r="M40" s="14">
        <v>-42.88</v>
      </c>
      <c r="N40" s="14">
        <v>5434.4</v>
      </c>
      <c r="O40" s="14">
        <v>5382.59</v>
      </c>
      <c r="P40" s="15">
        <v>0</v>
      </c>
      <c r="Q40" s="14">
        <v>0</v>
      </c>
      <c r="R40" s="49" t="s">
        <v>52</v>
      </c>
      <c r="S40" s="15">
        <v>1</v>
      </c>
      <c r="T40" s="15">
        <v>189044</v>
      </c>
      <c r="U40" s="14">
        <v>15.43</v>
      </c>
      <c r="V40" s="14">
        <v>68.14</v>
      </c>
      <c r="W40" s="14">
        <v>-52.71</v>
      </c>
      <c r="X40" s="14">
        <v>5451.34</v>
      </c>
      <c r="Y40" s="14">
        <v>5457.69</v>
      </c>
      <c r="Z40" s="15">
        <v>0</v>
      </c>
      <c r="AA40" s="14">
        <v>0</v>
      </c>
      <c r="AB40" s="49" t="s">
        <v>52</v>
      </c>
      <c r="AC40" s="15">
        <v>1</v>
      </c>
      <c r="AD40" s="15">
        <v>187506</v>
      </c>
      <c r="AE40" s="14">
        <v>15.55</v>
      </c>
      <c r="AF40" s="14">
        <v>58.91</v>
      </c>
      <c r="AG40" s="14">
        <v>-43.36</v>
      </c>
      <c r="AH40" s="14">
        <v>5472.76</v>
      </c>
      <c r="AI40" s="14">
        <v>5464.72</v>
      </c>
      <c r="AJ40" s="15">
        <v>0</v>
      </c>
      <c r="AK40" s="14">
        <v>0</v>
      </c>
      <c r="AL40" s="49" t="s">
        <v>52</v>
      </c>
      <c r="AM40" s="15">
        <v>1</v>
      </c>
      <c r="AN40" s="15">
        <v>185895</v>
      </c>
      <c r="AO40" s="14">
        <v>15.79</v>
      </c>
      <c r="AP40" s="14">
        <v>68.66</v>
      </c>
      <c r="AQ40" s="14">
        <v>-52.87</v>
      </c>
      <c r="AR40" s="14">
        <v>5361.28</v>
      </c>
      <c r="AS40" s="14">
        <v>5445.48</v>
      </c>
      <c r="AT40" s="15">
        <v>0</v>
      </c>
      <c r="AU40" s="14">
        <v>0</v>
      </c>
      <c r="AV40" s="49" t="s">
        <v>52</v>
      </c>
      <c r="AW40" s="15">
        <v>1</v>
      </c>
      <c r="AX40" s="15">
        <v>184690</v>
      </c>
      <c r="AY40" s="14">
        <v>14.32</v>
      </c>
      <c r="AZ40" s="14">
        <v>48.19</v>
      </c>
      <c r="BA40" s="14">
        <v>-33.869999999999997</v>
      </c>
      <c r="BB40" s="14">
        <v>5287.88</v>
      </c>
      <c r="BC40" s="14">
        <v>5358.01</v>
      </c>
      <c r="BD40" s="15">
        <v>0</v>
      </c>
      <c r="BE40" s="14">
        <v>0</v>
      </c>
      <c r="BF40" s="49" t="s">
        <v>52</v>
      </c>
      <c r="BG40" s="15">
        <v>1</v>
      </c>
      <c r="BH40" s="15">
        <v>183213</v>
      </c>
      <c r="BI40" s="14">
        <v>15.3</v>
      </c>
      <c r="BJ40" s="14">
        <v>57.76</v>
      </c>
      <c r="BK40" s="14">
        <v>-42.46</v>
      </c>
      <c r="BL40" s="14">
        <v>5278.36</v>
      </c>
      <c r="BM40" s="14">
        <v>5363.34</v>
      </c>
      <c r="BN40" s="18">
        <v>0</v>
      </c>
      <c r="BO40" s="19">
        <v>0</v>
      </c>
      <c r="BP40" s="49" t="s">
        <v>52</v>
      </c>
      <c r="BQ40" s="15">
        <v>1</v>
      </c>
      <c r="BR40" s="15">
        <v>181974</v>
      </c>
      <c r="BS40" s="14">
        <v>14.53</v>
      </c>
      <c r="BT40" s="14">
        <v>73.260000000000005</v>
      </c>
      <c r="BU40" s="14">
        <v>-58.73</v>
      </c>
      <c r="BV40" s="14">
        <v>5307.27</v>
      </c>
      <c r="BW40" s="14">
        <v>5349.38</v>
      </c>
      <c r="BX40" s="18">
        <v>0</v>
      </c>
      <c r="BY40" s="19">
        <v>0</v>
      </c>
      <c r="BZ40" s="49" t="s">
        <v>52</v>
      </c>
      <c r="CA40" s="15">
        <v>1</v>
      </c>
      <c r="CB40" s="15">
        <v>180825</v>
      </c>
      <c r="CC40" s="14">
        <v>14.16</v>
      </c>
      <c r="CD40" s="14">
        <v>51.23</v>
      </c>
      <c r="CE40" s="14">
        <v>-37.07</v>
      </c>
      <c r="CF40" s="14">
        <v>5284.85</v>
      </c>
      <c r="CG40" s="14">
        <v>5309.67</v>
      </c>
      <c r="CH40" s="18">
        <v>0</v>
      </c>
      <c r="CI40" s="14">
        <v>0</v>
      </c>
      <c r="CJ40" s="49" t="s">
        <v>52</v>
      </c>
      <c r="CK40" s="15">
        <v>1</v>
      </c>
      <c r="CL40" s="15">
        <v>179801</v>
      </c>
      <c r="CM40" s="14">
        <v>15.74</v>
      </c>
      <c r="CN40" s="14">
        <v>55.01</v>
      </c>
      <c r="CO40" s="14">
        <v>-39.270000000000103</v>
      </c>
      <c r="CP40" s="112">
        <v>5195.84</v>
      </c>
      <c r="CQ40" s="14">
        <v>5243.3</v>
      </c>
      <c r="CR40" s="15">
        <v>0</v>
      </c>
      <c r="CS40" s="14">
        <v>0</v>
      </c>
      <c r="CT40" s="2" t="s">
        <v>52</v>
      </c>
      <c r="CU40" s="87">
        <v>1</v>
      </c>
      <c r="CV40" s="87">
        <v>178857</v>
      </c>
      <c r="CW40" s="88">
        <v>15.41</v>
      </c>
      <c r="CX40" s="88">
        <v>49.469999999999899</v>
      </c>
      <c r="CY40" s="88">
        <v>-34.059999999999903</v>
      </c>
      <c r="CZ40" s="111">
        <v>5067.75</v>
      </c>
      <c r="DA40" s="88">
        <v>5149.78</v>
      </c>
      <c r="DB40" s="87">
        <v>0</v>
      </c>
      <c r="DC40" s="88">
        <v>0</v>
      </c>
      <c r="DD40" s="2" t="s">
        <v>52</v>
      </c>
      <c r="DE40" s="171">
        <f t="shared" si="16"/>
        <v>154.62999999999997</v>
      </c>
      <c r="DF40" s="165">
        <f t="shared" si="17"/>
        <v>-437.28</v>
      </c>
      <c r="DG40" s="2" t="s">
        <v>52</v>
      </c>
      <c r="DH40" s="172">
        <f t="shared" ref="DH40:DH52" si="25">(CW40-CM40)/CM40</f>
        <v>-2.0965692503176623E-2</v>
      </c>
      <c r="DI40" s="166">
        <f t="shared" si="24"/>
        <v>-0.13267125031831389</v>
      </c>
      <c r="DJ40" s="158">
        <f t="shared" si="23"/>
        <v>-2.4652414239083601E-2</v>
      </c>
      <c r="DK40" s="155">
        <v>1</v>
      </c>
      <c r="DL40" s="155">
        <v>177809</v>
      </c>
      <c r="DM40" s="155">
        <v>14.99</v>
      </c>
      <c r="DN40" s="155">
        <v>44.27</v>
      </c>
      <c r="DO40" s="155">
        <v>-29.28</v>
      </c>
      <c r="DP40" s="155">
        <v>5019.12</v>
      </c>
      <c r="DQ40" s="155">
        <v>5088.88</v>
      </c>
      <c r="DR40" s="155">
        <v>0</v>
      </c>
      <c r="DS40" s="155">
        <v>0</v>
      </c>
      <c r="DT40" s="2" t="s">
        <v>52</v>
      </c>
      <c r="DU40" s="171">
        <f t="shared" si="18"/>
        <v>169.61999999999998</v>
      </c>
      <c r="DV40" s="165">
        <f t="shared" si="19"/>
        <v>-466.55999999999995</v>
      </c>
      <c r="DW40" s="2" t="s">
        <v>52</v>
      </c>
      <c r="DX40" s="174">
        <f t="shared" si="20"/>
        <v>-2.7255029201816997E-2</v>
      </c>
      <c r="DY40" s="169">
        <f t="shared" si="21"/>
        <v>-0.14034057545507678</v>
      </c>
      <c r="DZ40" s="158">
        <f t="shared" si="22"/>
        <v>-9.5959745449164038E-3</v>
      </c>
      <c r="EA40" s="2" t="s">
        <v>52</v>
      </c>
      <c r="EB40" s="155">
        <v>1</v>
      </c>
      <c r="EC40" s="155">
        <v>176949</v>
      </c>
      <c r="ED40" s="155">
        <v>19.47</v>
      </c>
      <c r="EE40" s="155">
        <v>35.910000000000103</v>
      </c>
      <c r="EF40" s="155">
        <v>-16.440000000000101</v>
      </c>
      <c r="EG40" s="155">
        <v>4748.07</v>
      </c>
      <c r="EH40" s="155">
        <v>4891.4399999999996</v>
      </c>
      <c r="EI40" s="155">
        <v>0</v>
      </c>
      <c r="EJ40" s="155">
        <v>0</v>
      </c>
      <c r="EK40" s="2" t="s">
        <v>52</v>
      </c>
      <c r="EL40" s="171">
        <f t="shared" si="10"/>
        <v>189.08999999999997</v>
      </c>
      <c r="EM40" s="165">
        <f t="shared" si="11"/>
        <v>-483.00000000000006</v>
      </c>
      <c r="EN40" s="2" t="s">
        <v>52</v>
      </c>
      <c r="EO40" s="174">
        <f t="shared" si="12"/>
        <v>0.29886591060707129</v>
      </c>
      <c r="EP40" s="169">
        <f t="shared" si="13"/>
        <v>-0.43852459016393103</v>
      </c>
      <c r="EQ40" s="158">
        <f t="shared" si="14"/>
        <v>-5.4003490651747754E-2</v>
      </c>
    </row>
    <row r="41" spans="1:147" ht="13" x14ac:dyDescent="0.5">
      <c r="A41" s="16" t="s">
        <v>10</v>
      </c>
      <c r="B41" s="16" t="s">
        <v>118</v>
      </c>
      <c r="C41" s="16" t="s">
        <v>131</v>
      </c>
      <c r="D41" s="16" t="s">
        <v>6</v>
      </c>
      <c r="E41" s="16" t="s">
        <v>7</v>
      </c>
      <c r="F41" s="177">
        <v>28124.485527500001</v>
      </c>
      <c r="G41" s="177">
        <v>27918.752722019999</v>
      </c>
      <c r="H41" s="49" t="s">
        <v>52</v>
      </c>
      <c r="I41" s="15">
        <v>18</v>
      </c>
      <c r="J41" s="15">
        <v>550659</v>
      </c>
      <c r="K41" s="14">
        <v>311.47520924000003</v>
      </c>
      <c r="L41" s="14">
        <v>547.87967493999997</v>
      </c>
      <c r="M41" s="14">
        <v>-236.4044657</v>
      </c>
      <c r="N41" s="14">
        <v>28359.40550768</v>
      </c>
      <c r="O41" s="14">
        <v>28180.96931756</v>
      </c>
      <c r="P41" s="15">
        <v>1</v>
      </c>
      <c r="Q41" s="14">
        <v>0</v>
      </c>
      <c r="R41" s="49" t="s">
        <v>52</v>
      </c>
      <c r="S41" s="15">
        <v>18</v>
      </c>
      <c r="T41" s="15">
        <v>555080</v>
      </c>
      <c r="U41" s="14">
        <v>470.82032982999999</v>
      </c>
      <c r="V41" s="14">
        <v>381.51204806999999</v>
      </c>
      <c r="W41" s="14">
        <v>89.30828176</v>
      </c>
      <c r="X41" s="14">
        <v>28825.347928700001</v>
      </c>
      <c r="Y41" s="14">
        <v>28579.257698630001</v>
      </c>
      <c r="Z41" s="15">
        <v>1</v>
      </c>
      <c r="AA41" s="14">
        <v>0</v>
      </c>
      <c r="AB41" s="49" t="s">
        <v>52</v>
      </c>
      <c r="AC41" s="15">
        <v>18</v>
      </c>
      <c r="AD41" s="15">
        <v>560827</v>
      </c>
      <c r="AE41" s="14">
        <v>496.84869965000001</v>
      </c>
      <c r="AF41" s="14">
        <v>358.67259825999997</v>
      </c>
      <c r="AG41" s="14">
        <v>138.17610139000001</v>
      </c>
      <c r="AH41" s="14">
        <v>29084.828810790001</v>
      </c>
      <c r="AI41" s="14">
        <v>28953.164998119999</v>
      </c>
      <c r="AJ41" s="15">
        <v>1</v>
      </c>
      <c r="AK41" s="14">
        <v>0</v>
      </c>
      <c r="AL41" s="49" t="s">
        <v>52</v>
      </c>
      <c r="AM41" s="15">
        <v>18</v>
      </c>
      <c r="AN41" s="15">
        <v>566649</v>
      </c>
      <c r="AO41" s="14">
        <v>738.40746181999998</v>
      </c>
      <c r="AP41" s="14">
        <v>430.23692901999999</v>
      </c>
      <c r="AQ41" s="14">
        <v>308.17053279999999</v>
      </c>
      <c r="AR41" s="14">
        <v>29421.042467989999</v>
      </c>
      <c r="AS41" s="14">
        <v>29335.745267530001</v>
      </c>
      <c r="AT41" s="15">
        <v>1</v>
      </c>
      <c r="AU41" s="14">
        <v>0</v>
      </c>
      <c r="AV41" s="49" t="s">
        <v>52</v>
      </c>
      <c r="AW41" s="15">
        <v>18</v>
      </c>
      <c r="AX41" s="15">
        <v>570583</v>
      </c>
      <c r="AY41" s="14">
        <v>390.59679705000002</v>
      </c>
      <c r="AZ41" s="14">
        <v>346.97811288999998</v>
      </c>
      <c r="BA41" s="14">
        <v>43.618684159999901</v>
      </c>
      <c r="BB41" s="14">
        <v>29268.177923390002</v>
      </c>
      <c r="BC41" s="14">
        <v>29406.615056160001</v>
      </c>
      <c r="BD41" s="15">
        <v>1</v>
      </c>
      <c r="BE41" s="14">
        <v>0</v>
      </c>
      <c r="BF41" s="49" t="s">
        <v>52</v>
      </c>
      <c r="BG41" s="15">
        <v>18</v>
      </c>
      <c r="BH41" s="15">
        <v>572447</v>
      </c>
      <c r="BI41" s="14">
        <v>400.75326372000001</v>
      </c>
      <c r="BJ41" s="14">
        <v>446.74661541</v>
      </c>
      <c r="BK41" s="14">
        <v>-45.993351689999599</v>
      </c>
      <c r="BL41" s="14">
        <v>29492.114018299999</v>
      </c>
      <c r="BM41" s="14">
        <v>29523.28089088</v>
      </c>
      <c r="BN41" s="18">
        <v>1</v>
      </c>
      <c r="BO41" s="19">
        <v>0</v>
      </c>
      <c r="BP41" s="49" t="s">
        <v>52</v>
      </c>
      <c r="BQ41" s="15">
        <v>18</v>
      </c>
      <c r="BR41" s="15">
        <v>573771</v>
      </c>
      <c r="BS41" s="14">
        <v>479.64238879999999</v>
      </c>
      <c r="BT41" s="14">
        <v>477.80317936</v>
      </c>
      <c r="BU41" s="14">
        <v>1.8392094399996499</v>
      </c>
      <c r="BV41" s="14">
        <v>29877.7012392</v>
      </c>
      <c r="BW41" s="14">
        <v>29834.40377778</v>
      </c>
      <c r="BX41" s="18">
        <v>1</v>
      </c>
      <c r="BY41" s="19">
        <v>0</v>
      </c>
      <c r="BZ41" s="49" t="s">
        <v>52</v>
      </c>
      <c r="CA41" s="15">
        <v>18</v>
      </c>
      <c r="CB41" s="15">
        <v>575592</v>
      </c>
      <c r="CC41" s="14">
        <v>367.15741280999998</v>
      </c>
      <c r="CD41" s="14">
        <v>461.62355572000001</v>
      </c>
      <c r="CE41" s="14">
        <v>-94.466142909999704</v>
      </c>
      <c r="CF41" s="14">
        <v>29936.93840142</v>
      </c>
      <c r="CG41" s="14">
        <v>29947.102159580001</v>
      </c>
      <c r="CH41" s="18">
        <v>1</v>
      </c>
      <c r="CI41" s="14">
        <v>0</v>
      </c>
      <c r="CJ41" s="49" t="s">
        <v>52</v>
      </c>
      <c r="CK41" s="15">
        <v>18</v>
      </c>
      <c r="CL41" s="15">
        <v>575909</v>
      </c>
      <c r="CM41" s="14">
        <v>381.58755112</v>
      </c>
      <c r="CN41" s="14">
        <v>499.98232431000002</v>
      </c>
      <c r="CO41" s="14">
        <v>-118.39477319</v>
      </c>
      <c r="CP41" s="112">
        <v>29769.235507009998</v>
      </c>
      <c r="CQ41" s="14">
        <v>29829.432030380001</v>
      </c>
      <c r="CR41" s="15">
        <v>1</v>
      </c>
      <c r="CS41" s="14">
        <v>0</v>
      </c>
      <c r="CT41" s="2" t="s">
        <v>52</v>
      </c>
      <c r="CU41" s="87">
        <v>18</v>
      </c>
      <c r="CV41" s="87">
        <v>576220</v>
      </c>
      <c r="CW41" s="88">
        <v>424.27986910999999</v>
      </c>
      <c r="CX41" s="88">
        <v>501.49357180000101</v>
      </c>
      <c r="CY41" s="88">
        <v>-77.213702690000403</v>
      </c>
      <c r="CZ41" s="111">
        <v>29527.203774379999</v>
      </c>
      <c r="DA41" s="88">
        <v>29674.296552939999</v>
      </c>
      <c r="DB41" s="87">
        <v>1</v>
      </c>
      <c r="DC41" s="88">
        <v>0</v>
      </c>
      <c r="DD41" s="2" t="s">
        <v>52</v>
      </c>
      <c r="DE41" s="171">
        <f t="shared" si="16"/>
        <v>4461.5689831500003</v>
      </c>
      <c r="DF41" s="165">
        <f t="shared" si="17"/>
        <v>8.6403733699998639</v>
      </c>
      <c r="DG41" s="2" t="s">
        <v>52</v>
      </c>
      <c r="DH41" s="172">
        <f t="shared" si="25"/>
        <v>0.11188079345013616</v>
      </c>
      <c r="DI41" s="166">
        <f t="shared" si="24"/>
        <v>-0.34782845044951594</v>
      </c>
      <c r="DJ41" s="158">
        <f t="shared" si="23"/>
        <v>-8.1302636264544322E-3</v>
      </c>
      <c r="DK41" s="155">
        <v>18</v>
      </c>
      <c r="DL41" s="155">
        <v>579547</v>
      </c>
      <c r="DM41" s="155">
        <v>369.64113142000002</v>
      </c>
      <c r="DN41" s="155">
        <v>437.50883857999997</v>
      </c>
      <c r="DO41" s="155">
        <v>-67.867707160000506</v>
      </c>
      <c r="DP41" s="155">
        <v>29737.157692119999</v>
      </c>
      <c r="DQ41" s="155">
        <v>29744.411809820002</v>
      </c>
      <c r="DR41" s="155">
        <v>1</v>
      </c>
      <c r="DS41" s="155">
        <v>0</v>
      </c>
      <c r="DT41" s="2" t="s">
        <v>52</v>
      </c>
      <c r="DU41" s="171">
        <f t="shared" si="18"/>
        <v>4831.2101145700008</v>
      </c>
      <c r="DV41" s="165">
        <f t="shared" si="19"/>
        <v>-59.227333790000642</v>
      </c>
      <c r="DW41" s="2" t="s">
        <v>52</v>
      </c>
      <c r="DX41" s="174">
        <f t="shared" si="20"/>
        <v>-0.12877994377771004</v>
      </c>
      <c r="DY41" s="169">
        <f t="shared" si="21"/>
        <v>-0.12104063403774903</v>
      </c>
      <c r="DZ41" s="158">
        <f t="shared" si="22"/>
        <v>7.1105249025365498E-3</v>
      </c>
      <c r="EA41" s="2" t="s">
        <v>52</v>
      </c>
      <c r="EB41" s="155">
        <v>18</v>
      </c>
      <c r="EC41" s="155">
        <v>580399</v>
      </c>
      <c r="ED41" s="155">
        <v>354.21965193000102</v>
      </c>
      <c r="EE41" s="155">
        <v>572.56668298999898</v>
      </c>
      <c r="EF41" s="155">
        <v>-218.34703105999901</v>
      </c>
      <c r="EG41" s="155">
        <v>28648.537493930002</v>
      </c>
      <c r="EH41" s="155">
        <v>29226.460053160001</v>
      </c>
      <c r="EI41" s="155">
        <v>1</v>
      </c>
      <c r="EJ41" s="155">
        <v>0</v>
      </c>
      <c r="EK41" s="2" t="s">
        <v>52</v>
      </c>
      <c r="EL41" s="171">
        <f t="shared" si="10"/>
        <v>5185.4297665000022</v>
      </c>
      <c r="EM41" s="165">
        <f t="shared" si="11"/>
        <v>-277.57436484999965</v>
      </c>
      <c r="EN41" s="2" t="s">
        <v>52</v>
      </c>
      <c r="EO41" s="174">
        <f t="shared" si="12"/>
        <v>-4.1720139289576359E-2</v>
      </c>
      <c r="EP41" s="169">
        <f t="shared" si="13"/>
        <v>2.2172448458474987</v>
      </c>
      <c r="EQ41" s="158">
        <f t="shared" si="14"/>
        <v>-3.6608078332868686E-2</v>
      </c>
    </row>
    <row r="42" spans="1:147" ht="13" x14ac:dyDescent="0.5">
      <c r="A42" s="16" t="s">
        <v>32</v>
      </c>
      <c r="B42" s="16" t="s">
        <v>24</v>
      </c>
      <c r="C42" s="16" t="s">
        <v>131</v>
      </c>
      <c r="D42" s="16" t="s">
        <v>6</v>
      </c>
      <c r="E42" s="16" t="s">
        <v>7</v>
      </c>
      <c r="F42" s="177">
        <v>24666.495339190002</v>
      </c>
      <c r="G42" s="177">
        <v>24832.792907939998</v>
      </c>
      <c r="H42" s="49" t="s">
        <v>52</v>
      </c>
      <c r="I42" s="15">
        <v>13</v>
      </c>
      <c r="J42" s="15">
        <v>219285</v>
      </c>
      <c r="K42" s="14">
        <v>665.09613515000001</v>
      </c>
      <c r="L42" s="14">
        <v>530.96891172999995</v>
      </c>
      <c r="M42" s="14">
        <v>134.12722342000001</v>
      </c>
      <c r="N42" s="14">
        <v>25163.718727430001</v>
      </c>
      <c r="O42" s="14">
        <v>25082.7163822</v>
      </c>
      <c r="P42" s="15">
        <v>2</v>
      </c>
      <c r="Q42" s="14">
        <v>0</v>
      </c>
      <c r="R42" s="49" t="s">
        <v>52</v>
      </c>
      <c r="S42" s="15">
        <v>13</v>
      </c>
      <c r="T42" s="15">
        <v>223104</v>
      </c>
      <c r="U42" s="14">
        <v>345.67110336000002</v>
      </c>
      <c r="V42" s="14">
        <v>392.77687370000001</v>
      </c>
      <c r="W42" s="14">
        <v>-47.105770339999999</v>
      </c>
      <c r="X42" s="14">
        <v>25365.584796129999</v>
      </c>
      <c r="Y42" s="14">
        <v>25294.92654737</v>
      </c>
      <c r="Z42" s="15">
        <v>2</v>
      </c>
      <c r="AA42" s="14">
        <v>0</v>
      </c>
      <c r="AB42" s="49" t="s">
        <v>52</v>
      </c>
      <c r="AC42" s="15">
        <v>13</v>
      </c>
      <c r="AD42" s="15">
        <v>226670</v>
      </c>
      <c r="AE42" s="14">
        <v>378.53568203999998</v>
      </c>
      <c r="AF42" s="14">
        <v>439.51407904000001</v>
      </c>
      <c r="AG42" s="14">
        <v>-60.978397000000001</v>
      </c>
      <c r="AH42" s="14">
        <v>25335.97711312</v>
      </c>
      <c r="AI42" s="14">
        <v>25330.049111050001</v>
      </c>
      <c r="AJ42" s="15">
        <v>2</v>
      </c>
      <c r="AK42" s="14">
        <v>0</v>
      </c>
      <c r="AL42" s="49" t="s">
        <v>52</v>
      </c>
      <c r="AM42" s="15">
        <v>13</v>
      </c>
      <c r="AN42" s="15">
        <v>230916</v>
      </c>
      <c r="AO42" s="14">
        <v>582.91793036000001</v>
      </c>
      <c r="AP42" s="14">
        <v>558.94179081000004</v>
      </c>
      <c r="AQ42" s="14">
        <v>23.976139549999999</v>
      </c>
      <c r="AR42" s="14">
        <v>25513.379930139999</v>
      </c>
      <c r="AS42" s="14">
        <v>25549.304250050001</v>
      </c>
      <c r="AT42" s="15">
        <v>2</v>
      </c>
      <c r="AU42" s="14">
        <v>0</v>
      </c>
      <c r="AV42" s="49" t="s">
        <v>52</v>
      </c>
      <c r="AW42" s="15">
        <v>13</v>
      </c>
      <c r="AX42" s="15">
        <v>233423</v>
      </c>
      <c r="AY42" s="14">
        <v>502.31551949999999</v>
      </c>
      <c r="AZ42" s="14">
        <v>390.34261727000001</v>
      </c>
      <c r="BA42" s="14">
        <v>111.97290223</v>
      </c>
      <c r="BB42" s="14">
        <v>25590.072047369998</v>
      </c>
      <c r="BC42" s="14">
        <v>25600.142271569999</v>
      </c>
      <c r="BD42" s="15">
        <v>2</v>
      </c>
      <c r="BE42" s="14">
        <v>0</v>
      </c>
      <c r="BF42" s="49" t="s">
        <v>52</v>
      </c>
      <c r="BG42" s="15">
        <v>13</v>
      </c>
      <c r="BH42" s="15">
        <v>234720</v>
      </c>
      <c r="BI42" s="14">
        <v>794.73203132000003</v>
      </c>
      <c r="BJ42" s="14">
        <v>951.57533254999998</v>
      </c>
      <c r="BK42" s="14">
        <v>-156.84330123000001</v>
      </c>
      <c r="BL42" s="14">
        <v>25661.930725570001</v>
      </c>
      <c r="BM42" s="14">
        <v>25664.17109362</v>
      </c>
      <c r="BN42" s="18">
        <v>2</v>
      </c>
      <c r="BO42" s="19">
        <v>0</v>
      </c>
      <c r="BP42" s="49" t="s">
        <v>52</v>
      </c>
      <c r="BQ42" s="15">
        <v>13</v>
      </c>
      <c r="BR42" s="15">
        <v>236962</v>
      </c>
      <c r="BS42" s="14">
        <v>684.79692091000004</v>
      </c>
      <c r="BT42" s="14">
        <v>295.27872480000002</v>
      </c>
      <c r="BU42" s="14">
        <v>389.51819611000002</v>
      </c>
      <c r="BV42" s="14">
        <v>26254.412438700001</v>
      </c>
      <c r="BW42" s="14">
        <v>26080.473213400001</v>
      </c>
      <c r="BX42" s="18">
        <v>2</v>
      </c>
      <c r="BY42" s="19">
        <v>0</v>
      </c>
      <c r="BZ42" s="49" t="s">
        <v>52</v>
      </c>
      <c r="CA42" s="15">
        <v>13</v>
      </c>
      <c r="CB42" s="15">
        <v>239520</v>
      </c>
      <c r="CC42" s="14">
        <v>385.63070726000001</v>
      </c>
      <c r="CD42" s="14">
        <v>399.25632079000002</v>
      </c>
      <c r="CE42" s="14">
        <v>-13.625613529999599</v>
      </c>
      <c r="CF42" s="14">
        <v>26406.04742476</v>
      </c>
      <c r="CG42" s="14">
        <v>26318.32423957</v>
      </c>
      <c r="CH42" s="18">
        <v>2</v>
      </c>
      <c r="CI42" s="14">
        <v>0</v>
      </c>
      <c r="CJ42" s="49" t="s">
        <v>52</v>
      </c>
      <c r="CK42" s="15">
        <v>13</v>
      </c>
      <c r="CL42" s="15">
        <v>240819</v>
      </c>
      <c r="CM42" s="14">
        <v>412.92306889000002</v>
      </c>
      <c r="CN42" s="14">
        <v>642.23621916000002</v>
      </c>
      <c r="CO42" s="14">
        <v>-229.31315026999999</v>
      </c>
      <c r="CP42" s="14">
        <v>26252.28666523</v>
      </c>
      <c r="CQ42" s="14">
        <v>26375.754192699998</v>
      </c>
      <c r="CR42" s="15">
        <v>2</v>
      </c>
      <c r="CS42" s="14">
        <v>0</v>
      </c>
      <c r="CT42" s="2" t="s">
        <v>52</v>
      </c>
      <c r="CU42" s="87">
        <v>13</v>
      </c>
      <c r="CV42" s="87">
        <v>240538</v>
      </c>
      <c r="CW42" s="88">
        <v>276.48161322999999</v>
      </c>
      <c r="CX42" s="88">
        <v>384.11133748999998</v>
      </c>
      <c r="CY42" s="88">
        <v>-107.62972425999899</v>
      </c>
      <c r="CZ42" s="113">
        <v>26229.007698329999</v>
      </c>
      <c r="DA42" s="88">
        <v>26273.400050799999</v>
      </c>
      <c r="DB42" s="87">
        <v>2</v>
      </c>
      <c r="DC42" s="88">
        <v>0</v>
      </c>
      <c r="DD42" s="2" t="s">
        <v>52</v>
      </c>
      <c r="DE42" s="171">
        <f t="shared" si="16"/>
        <v>5029.1007120200002</v>
      </c>
      <c r="DF42" s="165">
        <f t="shared" si="17"/>
        <v>44.098504680001412</v>
      </c>
      <c r="DG42" s="2" t="s">
        <v>52</v>
      </c>
      <c r="DH42" s="172">
        <f t="shared" si="25"/>
        <v>-0.33042827088051874</v>
      </c>
      <c r="DI42" s="166">
        <f t="shared" si="24"/>
        <v>-0.5306430349359702</v>
      </c>
      <c r="DJ42" s="158">
        <f t="shared" si="23"/>
        <v>-8.8674054176138566E-4</v>
      </c>
      <c r="DK42" s="155">
        <v>13</v>
      </c>
      <c r="DL42" s="155">
        <v>241737</v>
      </c>
      <c r="DM42" s="155">
        <v>387.83614798000002</v>
      </c>
      <c r="DN42" s="155">
        <v>458.09266436000098</v>
      </c>
      <c r="DO42" s="155">
        <v>-70.256516380000903</v>
      </c>
      <c r="DP42" s="155">
        <v>26376.919264609998</v>
      </c>
      <c r="DQ42" s="155">
        <v>26281.138369730001</v>
      </c>
      <c r="DR42" s="155">
        <v>2</v>
      </c>
      <c r="DS42" s="155">
        <v>0</v>
      </c>
      <c r="DT42" s="2" t="s">
        <v>52</v>
      </c>
      <c r="DU42" s="171">
        <f t="shared" si="18"/>
        <v>5416.9368599999998</v>
      </c>
      <c r="DV42" s="165">
        <f t="shared" si="19"/>
        <v>-26.158011699999491</v>
      </c>
      <c r="DW42" s="2" t="s">
        <v>52</v>
      </c>
      <c r="DX42" s="174">
        <f t="shared" si="20"/>
        <v>0.40275566049076195</v>
      </c>
      <c r="DY42" s="169">
        <f t="shared" si="21"/>
        <v>-0.34723872180250481</v>
      </c>
      <c r="DZ42" s="158">
        <f t="shared" si="22"/>
        <v>5.6392360695146342E-3</v>
      </c>
      <c r="EA42" s="2" t="s">
        <v>52</v>
      </c>
      <c r="EB42" s="155">
        <v>13</v>
      </c>
      <c r="EC42" s="155">
        <v>240909</v>
      </c>
      <c r="ED42" s="155">
        <v>1728.8406281</v>
      </c>
      <c r="EE42" s="155">
        <v>2443.1519270700001</v>
      </c>
      <c r="EF42" s="155">
        <v>-714.31129897000005</v>
      </c>
      <c r="EG42" s="155">
        <v>25528.539906049999</v>
      </c>
      <c r="EH42" s="155">
        <v>25990.304513629999</v>
      </c>
      <c r="EI42" s="155">
        <v>2</v>
      </c>
      <c r="EJ42" s="155">
        <v>0</v>
      </c>
      <c r="EK42" s="2" t="s">
        <v>52</v>
      </c>
      <c r="EL42" s="171">
        <f t="shared" si="10"/>
        <v>7145.7774880999996</v>
      </c>
      <c r="EM42" s="165">
        <f t="shared" si="11"/>
        <v>-740.46931066999957</v>
      </c>
      <c r="EN42" s="2" t="s">
        <v>52</v>
      </c>
      <c r="EO42" s="174">
        <f t="shared" si="12"/>
        <v>3.4576572789938935</v>
      </c>
      <c r="EP42" s="169">
        <f t="shared" si="13"/>
        <v>9.1671892626508686</v>
      </c>
      <c r="EQ42" s="158">
        <f t="shared" si="14"/>
        <v>-3.2163701531978117E-2</v>
      </c>
    </row>
    <row r="43" spans="1:147" ht="13" x14ac:dyDescent="0.5">
      <c r="A43" s="16" t="s">
        <v>12</v>
      </c>
      <c r="B43" s="16" t="s">
        <v>24</v>
      </c>
      <c r="C43" s="16" t="s">
        <v>131</v>
      </c>
      <c r="D43" s="16" t="s">
        <v>6</v>
      </c>
      <c r="E43" s="16" t="s">
        <v>7</v>
      </c>
      <c r="F43" s="177">
        <v>20462.727084450002</v>
      </c>
      <c r="G43" s="177">
        <v>20507.46970306</v>
      </c>
      <c r="H43" s="49" t="s">
        <v>52</v>
      </c>
      <c r="I43" s="15">
        <v>14</v>
      </c>
      <c r="J43" s="15">
        <v>181652</v>
      </c>
      <c r="K43" s="14">
        <v>71.228380610000002</v>
      </c>
      <c r="L43" s="14">
        <v>372.91809212999999</v>
      </c>
      <c r="M43" s="14">
        <v>-301.68971152</v>
      </c>
      <c r="N43" s="14">
        <v>20485.355010380001</v>
      </c>
      <c r="O43" s="14">
        <v>20475.683910259999</v>
      </c>
      <c r="P43" s="15">
        <v>4</v>
      </c>
      <c r="Q43" s="14">
        <v>0</v>
      </c>
      <c r="R43" s="49" t="s">
        <v>52</v>
      </c>
      <c r="S43" s="15">
        <v>14</v>
      </c>
      <c r="T43" s="15">
        <v>182494</v>
      </c>
      <c r="U43" s="14">
        <v>59.35996394</v>
      </c>
      <c r="V43" s="14">
        <v>307.29461652999998</v>
      </c>
      <c r="W43" s="14">
        <v>-247.93465259000001</v>
      </c>
      <c r="X43" s="14">
        <v>20437.00065867</v>
      </c>
      <c r="Y43" s="14">
        <v>20457.26921808</v>
      </c>
      <c r="Z43" s="15">
        <v>4</v>
      </c>
      <c r="AA43" s="14">
        <v>0</v>
      </c>
      <c r="AB43" s="49" t="s">
        <v>52</v>
      </c>
      <c r="AC43" s="15">
        <v>14</v>
      </c>
      <c r="AD43" s="15">
        <v>183524</v>
      </c>
      <c r="AE43" s="14">
        <v>103.10758285</v>
      </c>
      <c r="AF43" s="14">
        <v>271.28980701</v>
      </c>
      <c r="AG43" s="14">
        <v>-168.18222416</v>
      </c>
      <c r="AH43" s="14">
        <v>20349.889533609999</v>
      </c>
      <c r="AI43" s="14">
        <v>20396.085659389999</v>
      </c>
      <c r="AJ43" s="15">
        <v>4</v>
      </c>
      <c r="AK43" s="14">
        <v>0</v>
      </c>
      <c r="AL43" s="49" t="s">
        <v>52</v>
      </c>
      <c r="AM43" s="15">
        <v>14</v>
      </c>
      <c r="AN43" s="15">
        <v>185095</v>
      </c>
      <c r="AO43" s="14">
        <v>81.487468280000002</v>
      </c>
      <c r="AP43" s="14">
        <v>353.00244541000001</v>
      </c>
      <c r="AQ43" s="14">
        <v>-271.51497712999998</v>
      </c>
      <c r="AR43" s="14">
        <v>20229.413424539998</v>
      </c>
      <c r="AS43" s="14">
        <v>20304.908265990001</v>
      </c>
      <c r="AT43" s="15">
        <v>4</v>
      </c>
      <c r="AU43" s="14">
        <v>0</v>
      </c>
      <c r="AV43" s="49" t="s">
        <v>52</v>
      </c>
      <c r="AW43" s="15">
        <v>14</v>
      </c>
      <c r="AX43" s="15">
        <v>186961</v>
      </c>
      <c r="AY43" s="14">
        <v>86.343821059999996</v>
      </c>
      <c r="AZ43" s="14">
        <v>329.91117424999999</v>
      </c>
      <c r="BA43" s="14">
        <v>-243.56735319000001</v>
      </c>
      <c r="BB43" s="14">
        <v>20028.426421280001</v>
      </c>
      <c r="BC43" s="14">
        <v>20110.692191490001</v>
      </c>
      <c r="BD43" s="15">
        <v>4</v>
      </c>
      <c r="BE43" s="14">
        <v>0</v>
      </c>
      <c r="BF43" s="49" t="s">
        <v>52</v>
      </c>
      <c r="BG43" s="15">
        <v>14</v>
      </c>
      <c r="BH43" s="15">
        <v>188983</v>
      </c>
      <c r="BI43" s="14">
        <v>95.337440529999995</v>
      </c>
      <c r="BJ43" s="14">
        <v>350.9937802</v>
      </c>
      <c r="BK43" s="14">
        <v>-255.65633966999999</v>
      </c>
      <c r="BL43" s="14">
        <v>19949.78024023</v>
      </c>
      <c r="BM43" s="14">
        <v>20018.726999250001</v>
      </c>
      <c r="BN43" s="18">
        <v>4</v>
      </c>
      <c r="BO43" s="19">
        <v>0</v>
      </c>
      <c r="BP43" s="49" t="s">
        <v>52</v>
      </c>
      <c r="BQ43" s="15">
        <v>14</v>
      </c>
      <c r="BR43" s="15">
        <v>191121</v>
      </c>
      <c r="BS43" s="14">
        <v>254.11933128999999</v>
      </c>
      <c r="BT43" s="14">
        <v>337.90036294999999</v>
      </c>
      <c r="BU43" s="14">
        <v>-83.781031659999897</v>
      </c>
      <c r="BV43" s="14">
        <v>20018.427105179999</v>
      </c>
      <c r="BW43" s="14">
        <v>20050.959038289999</v>
      </c>
      <c r="BX43" s="18">
        <v>4</v>
      </c>
      <c r="BY43" s="19">
        <v>0</v>
      </c>
      <c r="BZ43" s="49" t="s">
        <v>52</v>
      </c>
      <c r="CA43" s="15">
        <v>14</v>
      </c>
      <c r="CB43" s="15">
        <v>193115</v>
      </c>
      <c r="CC43" s="14">
        <v>118.46635634</v>
      </c>
      <c r="CD43" s="14">
        <v>236.33669674999999</v>
      </c>
      <c r="CE43" s="14">
        <v>-117.87034041</v>
      </c>
      <c r="CF43" s="14">
        <v>20028.148745409999</v>
      </c>
      <c r="CG43" s="14">
        <v>20016.61488678</v>
      </c>
      <c r="CH43" s="18">
        <v>4</v>
      </c>
      <c r="CI43" s="14">
        <v>0</v>
      </c>
      <c r="CJ43" s="49" t="s">
        <v>52</v>
      </c>
      <c r="CK43" s="15">
        <v>14</v>
      </c>
      <c r="CL43" s="15">
        <v>194207</v>
      </c>
      <c r="CM43" s="14">
        <v>130.15949037999999</v>
      </c>
      <c r="CN43" s="14">
        <v>302.77148824</v>
      </c>
      <c r="CO43" s="14">
        <v>-172.61199786</v>
      </c>
      <c r="CP43" s="14">
        <v>19929.944865059999</v>
      </c>
      <c r="CQ43" s="14">
        <v>19965.05877096</v>
      </c>
      <c r="CR43" s="15">
        <v>4</v>
      </c>
      <c r="CS43" s="14">
        <v>0</v>
      </c>
      <c r="CT43" s="2" t="s">
        <v>52</v>
      </c>
      <c r="CU43" s="87">
        <v>14</v>
      </c>
      <c r="CV43" s="87">
        <v>196410</v>
      </c>
      <c r="CW43" s="88">
        <v>172.69281473000001</v>
      </c>
      <c r="CX43" s="88">
        <v>298.54252324999999</v>
      </c>
      <c r="CY43" s="88">
        <v>-125.84970851999999</v>
      </c>
      <c r="CZ43" s="88">
        <v>19893.225409800001</v>
      </c>
      <c r="DA43" s="88">
        <v>19933.059258649999</v>
      </c>
      <c r="DB43" s="87">
        <v>4</v>
      </c>
      <c r="DC43" s="88">
        <v>0</v>
      </c>
      <c r="DD43" s="2" t="s">
        <v>52</v>
      </c>
      <c r="DE43" s="171">
        <f t="shared" si="16"/>
        <v>1172.30265001</v>
      </c>
      <c r="DF43" s="165">
        <f t="shared" si="17"/>
        <v>-1988.6583367099997</v>
      </c>
      <c r="DG43" s="2" t="s">
        <v>52</v>
      </c>
      <c r="DH43" s="172">
        <f t="shared" si="25"/>
        <v>0.32677851016337101</v>
      </c>
      <c r="DI43" s="166">
        <f t="shared" si="24"/>
        <v>-0.27090984357835535</v>
      </c>
      <c r="DJ43" s="158">
        <f t="shared" si="23"/>
        <v>-1.8424263342731073E-3</v>
      </c>
      <c r="DK43" s="155">
        <v>14</v>
      </c>
      <c r="DL43" s="155">
        <v>199856</v>
      </c>
      <c r="DM43" s="155">
        <v>167.72830363</v>
      </c>
      <c r="DN43" s="155">
        <v>261.91829231000003</v>
      </c>
      <c r="DO43" s="155">
        <v>-94.189988679999701</v>
      </c>
      <c r="DP43" s="155">
        <v>19966.418479060001</v>
      </c>
      <c r="DQ43" s="155">
        <v>19934.924025889999</v>
      </c>
      <c r="DR43" s="155">
        <v>4</v>
      </c>
      <c r="DS43" s="155">
        <v>0</v>
      </c>
      <c r="DT43" s="2" t="s">
        <v>52</v>
      </c>
      <c r="DU43" s="171">
        <f t="shared" si="18"/>
        <v>1340.03095364</v>
      </c>
      <c r="DV43" s="165">
        <f t="shared" si="19"/>
        <v>-2082.8483253899994</v>
      </c>
      <c r="DW43" s="2" t="s">
        <v>52</v>
      </c>
      <c r="DX43" s="174">
        <f t="shared" si="20"/>
        <v>-2.8747641340850647E-2</v>
      </c>
      <c r="DY43" s="169">
        <f t="shared" si="21"/>
        <v>-0.25156768507706906</v>
      </c>
      <c r="DZ43" s="158">
        <f t="shared" si="22"/>
        <v>3.6792962303610552E-3</v>
      </c>
      <c r="EA43" s="2" t="s">
        <v>52</v>
      </c>
      <c r="EB43" s="155">
        <v>14</v>
      </c>
      <c r="EC43" s="155">
        <v>201026</v>
      </c>
      <c r="ED43" s="155">
        <v>189.65384900000001</v>
      </c>
      <c r="EE43" s="155">
        <v>519.20336287999999</v>
      </c>
      <c r="EF43" s="155">
        <v>-329.54951388000001</v>
      </c>
      <c r="EG43" s="155">
        <v>19611.23562911</v>
      </c>
      <c r="EH43" s="155">
        <v>19769.037694620001</v>
      </c>
      <c r="EI43" s="155">
        <v>4</v>
      </c>
      <c r="EJ43" s="155">
        <v>0</v>
      </c>
      <c r="EK43" s="2" t="s">
        <v>52</v>
      </c>
      <c r="EL43" s="171">
        <f t="shared" si="10"/>
        <v>1529.68480264</v>
      </c>
      <c r="EM43" s="165">
        <f t="shared" si="11"/>
        <v>-2412.3978392699996</v>
      </c>
      <c r="EN43" s="2" t="s">
        <v>52</v>
      </c>
      <c r="EO43" s="174">
        <f t="shared" si="12"/>
        <v>0.1307206052615105</v>
      </c>
      <c r="EP43" s="169">
        <f t="shared" si="13"/>
        <v>2.4987743230292638</v>
      </c>
      <c r="EQ43" s="158">
        <f t="shared" si="14"/>
        <v>-1.7789011600778705E-2</v>
      </c>
    </row>
    <row r="44" spans="1:147" ht="13" x14ac:dyDescent="0.5">
      <c r="A44" s="16" t="s">
        <v>33</v>
      </c>
      <c r="B44" s="16" t="s">
        <v>24</v>
      </c>
      <c r="C44" s="16" t="s">
        <v>131</v>
      </c>
      <c r="D44" s="16" t="s">
        <v>6</v>
      </c>
      <c r="E44" s="16" t="s">
        <v>7</v>
      </c>
      <c r="F44" s="177">
        <v>11553.68474798</v>
      </c>
      <c r="G44" s="177">
        <v>11605.298322230001</v>
      </c>
      <c r="H44" s="49" t="s">
        <v>52</v>
      </c>
      <c r="I44" s="15">
        <v>13</v>
      </c>
      <c r="J44" s="15">
        <v>103165</v>
      </c>
      <c r="K44" s="14">
        <v>310.3820326</v>
      </c>
      <c r="L44" s="14">
        <v>210.34638043999999</v>
      </c>
      <c r="M44" s="14">
        <v>100.03565216</v>
      </c>
      <c r="N44" s="14">
        <v>11859.044013639999</v>
      </c>
      <c r="O44" s="14">
        <v>11767.79070523</v>
      </c>
      <c r="P44" s="15">
        <v>0</v>
      </c>
      <c r="Q44" s="14">
        <v>0</v>
      </c>
      <c r="R44" s="49" t="s">
        <v>52</v>
      </c>
      <c r="S44" s="15">
        <v>13</v>
      </c>
      <c r="T44" s="15">
        <v>104030</v>
      </c>
      <c r="U44" s="14">
        <v>155.87825828000001</v>
      </c>
      <c r="V44" s="14">
        <v>111.74406523</v>
      </c>
      <c r="W44" s="14">
        <v>44.13419305</v>
      </c>
      <c r="X44" s="14">
        <v>11999.016499089999</v>
      </c>
      <c r="Y44" s="14">
        <v>11934.71040623</v>
      </c>
      <c r="Z44" s="15">
        <v>0</v>
      </c>
      <c r="AA44" s="14">
        <v>0</v>
      </c>
      <c r="AB44" s="49" t="s">
        <v>52</v>
      </c>
      <c r="AC44" s="15">
        <v>13</v>
      </c>
      <c r="AD44" s="15">
        <v>104283</v>
      </c>
      <c r="AE44" s="14">
        <v>162.22431699000001</v>
      </c>
      <c r="AF44" s="14">
        <v>227.99318629999999</v>
      </c>
      <c r="AG44" s="14">
        <v>-65.768869310000099</v>
      </c>
      <c r="AH44" s="14">
        <v>11852.051251450001</v>
      </c>
      <c r="AI44" s="14">
        <v>11934.07255038</v>
      </c>
      <c r="AJ44" s="15">
        <v>0</v>
      </c>
      <c r="AK44" s="14">
        <v>0</v>
      </c>
      <c r="AL44" s="49" t="s">
        <v>52</v>
      </c>
      <c r="AM44" s="15">
        <v>13</v>
      </c>
      <c r="AN44" s="15">
        <v>104610</v>
      </c>
      <c r="AO44" s="14">
        <v>119.44429603</v>
      </c>
      <c r="AP44" s="14">
        <v>340.89714733</v>
      </c>
      <c r="AQ44" s="14">
        <v>-221.45285129999999</v>
      </c>
      <c r="AR44" s="14">
        <v>11687.03010382</v>
      </c>
      <c r="AS44" s="14">
        <v>11799.95563986</v>
      </c>
      <c r="AT44" s="15">
        <v>0</v>
      </c>
      <c r="AU44" s="14">
        <v>0</v>
      </c>
      <c r="AV44" s="49" t="s">
        <v>52</v>
      </c>
      <c r="AW44" s="15">
        <v>13</v>
      </c>
      <c r="AX44" s="15">
        <v>104533</v>
      </c>
      <c r="AY44" s="14">
        <v>53.287901459999901</v>
      </c>
      <c r="AZ44" s="14">
        <v>81.174597550000001</v>
      </c>
      <c r="BA44" s="14">
        <v>-27.8866960900001</v>
      </c>
      <c r="BB44" s="14">
        <v>11520.3320989</v>
      </c>
      <c r="BC44" s="14">
        <v>11601.78378949</v>
      </c>
      <c r="BD44" s="15">
        <v>0</v>
      </c>
      <c r="BE44" s="14">
        <v>0</v>
      </c>
      <c r="BF44" s="49" t="s">
        <v>52</v>
      </c>
      <c r="BG44" s="15">
        <v>13</v>
      </c>
      <c r="BH44" s="15">
        <v>103999</v>
      </c>
      <c r="BI44" s="14">
        <v>249.43866316</v>
      </c>
      <c r="BJ44" s="14">
        <v>146.04760880000001</v>
      </c>
      <c r="BK44" s="14">
        <v>103.39105436</v>
      </c>
      <c r="BL44" s="14">
        <v>11734.900850739999</v>
      </c>
      <c r="BM44" s="14">
        <v>11591.96167597</v>
      </c>
      <c r="BN44" s="18">
        <v>0</v>
      </c>
      <c r="BO44" s="19">
        <v>0</v>
      </c>
      <c r="BP44" s="49" t="s">
        <v>52</v>
      </c>
      <c r="BQ44" s="15">
        <v>13</v>
      </c>
      <c r="BR44" s="15">
        <v>103489</v>
      </c>
      <c r="BS44" s="14">
        <v>219.47797972999999</v>
      </c>
      <c r="BT44" s="14">
        <v>202.74744324</v>
      </c>
      <c r="BU44" s="14">
        <v>16.7305364899998</v>
      </c>
      <c r="BV44" s="14">
        <v>11825.915155680001</v>
      </c>
      <c r="BW44" s="14">
        <v>11845.59817005</v>
      </c>
      <c r="BX44" s="18">
        <v>0</v>
      </c>
      <c r="BY44" s="19">
        <v>0</v>
      </c>
      <c r="BZ44" s="49" t="s">
        <v>52</v>
      </c>
      <c r="CA44" s="15">
        <v>13</v>
      </c>
      <c r="CB44" s="15">
        <v>102988</v>
      </c>
      <c r="CC44" s="14">
        <v>107.98126175</v>
      </c>
      <c r="CD44" s="14">
        <v>116.60897934</v>
      </c>
      <c r="CE44" s="14">
        <v>-8.6277175899997491</v>
      </c>
      <c r="CF44" s="14">
        <v>11855.91101534</v>
      </c>
      <c r="CG44" s="14">
        <v>11875.317672650001</v>
      </c>
      <c r="CH44" s="18">
        <v>0</v>
      </c>
      <c r="CI44" s="14">
        <v>0</v>
      </c>
      <c r="CJ44" s="49" t="s">
        <v>52</v>
      </c>
      <c r="CK44" s="15">
        <v>13</v>
      </c>
      <c r="CL44" s="15">
        <v>102111</v>
      </c>
      <c r="CM44" s="14">
        <v>61.09846057</v>
      </c>
      <c r="CN44" s="14">
        <v>249.05716311</v>
      </c>
      <c r="CO44" s="14">
        <v>-187.95870253999999</v>
      </c>
      <c r="CP44" s="112">
        <v>11692.1400837</v>
      </c>
      <c r="CQ44" s="14">
        <v>11771.08877059</v>
      </c>
      <c r="CR44" s="15">
        <v>0</v>
      </c>
      <c r="CS44" s="14">
        <v>0</v>
      </c>
      <c r="CT44" s="2" t="s">
        <v>52</v>
      </c>
      <c r="CU44" s="87">
        <v>13</v>
      </c>
      <c r="CV44" s="87">
        <v>101359</v>
      </c>
      <c r="CW44" s="88">
        <v>41.956200699999997</v>
      </c>
      <c r="CX44" s="88">
        <v>216.33057675000001</v>
      </c>
      <c r="CY44" s="88">
        <v>-174.37437605</v>
      </c>
      <c r="CZ44" s="111">
        <v>11512.90157486</v>
      </c>
      <c r="DA44" s="88">
        <v>11555.98996275</v>
      </c>
      <c r="DB44" s="87">
        <v>0</v>
      </c>
      <c r="DC44" s="88">
        <v>0</v>
      </c>
      <c r="DD44" s="2" t="s">
        <v>52</v>
      </c>
      <c r="DE44" s="171">
        <f t="shared" si="16"/>
        <v>1481.1693712699998</v>
      </c>
      <c r="DF44" s="165">
        <f t="shared" si="17"/>
        <v>-421.7777768200001</v>
      </c>
      <c r="DG44" s="2" t="s">
        <v>52</v>
      </c>
      <c r="DH44" s="172">
        <f t="shared" si="25"/>
        <v>-0.31330183594509514</v>
      </c>
      <c r="DI44" s="166">
        <f t="shared" si="24"/>
        <v>-7.2272931800585707E-2</v>
      </c>
      <c r="DJ44" s="158">
        <f t="shared" si="23"/>
        <v>-1.5329829060966931E-2</v>
      </c>
      <c r="DK44" s="155">
        <v>13</v>
      </c>
      <c r="DL44" s="155">
        <v>101256</v>
      </c>
      <c r="DM44" s="155">
        <v>28.2147922300001</v>
      </c>
      <c r="DN44" s="155">
        <v>299.43258760999998</v>
      </c>
      <c r="DO44" s="155">
        <v>-271.21779537999998</v>
      </c>
      <c r="DP44" s="155">
        <v>11321.514297039999</v>
      </c>
      <c r="DQ44" s="155">
        <v>11432.11758154</v>
      </c>
      <c r="DR44" s="155">
        <v>0</v>
      </c>
      <c r="DS44" s="155">
        <v>0</v>
      </c>
      <c r="DT44" s="2" t="s">
        <v>52</v>
      </c>
      <c r="DU44" s="171">
        <f t="shared" si="18"/>
        <v>1509.3841634999999</v>
      </c>
      <c r="DV44" s="165">
        <f t="shared" si="19"/>
        <v>-692.99557220000008</v>
      </c>
      <c r="DW44" s="2" t="s">
        <v>52</v>
      </c>
      <c r="DX44" s="174">
        <f t="shared" si="20"/>
        <v>-0.32751794110852123</v>
      </c>
      <c r="DY44" s="169">
        <f t="shared" si="21"/>
        <v>0.55537643502294842</v>
      </c>
      <c r="DZ44" s="158">
        <f t="shared" si="22"/>
        <v>-1.6623722228106302E-2</v>
      </c>
      <c r="EA44" s="2" t="s">
        <v>52</v>
      </c>
      <c r="EB44" s="155">
        <v>13</v>
      </c>
      <c r="EC44" s="155">
        <v>100704</v>
      </c>
      <c r="ED44" s="155">
        <v>107.54066105</v>
      </c>
      <c r="EE44" s="155">
        <v>515.15856603999998</v>
      </c>
      <c r="EF44" s="155">
        <v>-407.61790499</v>
      </c>
      <c r="EG44" s="155">
        <v>10769.245154239999</v>
      </c>
      <c r="EH44" s="155">
        <v>11113.12083903</v>
      </c>
      <c r="EI44" s="155">
        <v>0</v>
      </c>
      <c r="EJ44" s="155">
        <v>0</v>
      </c>
      <c r="EK44" s="2" t="s">
        <v>52</v>
      </c>
      <c r="EL44" s="171">
        <f t="shared" si="10"/>
        <v>1616.9248245499998</v>
      </c>
      <c r="EM44" s="165">
        <f t="shared" si="11"/>
        <v>-1100.6134771900001</v>
      </c>
      <c r="EN44" s="2" t="s">
        <v>52</v>
      </c>
      <c r="EO44" s="174">
        <f t="shared" si="12"/>
        <v>2.8114993076452515</v>
      </c>
      <c r="EP44" s="169">
        <f t="shared" si="13"/>
        <v>0.50291725666043208</v>
      </c>
      <c r="EQ44" s="158">
        <f t="shared" si="14"/>
        <v>-4.8780501292516154E-2</v>
      </c>
    </row>
    <row r="45" spans="1:147" ht="13" x14ac:dyDescent="0.5">
      <c r="A45" s="16" t="s">
        <v>14</v>
      </c>
      <c r="B45" s="16" t="s">
        <v>24</v>
      </c>
      <c r="C45" s="16" t="s">
        <v>131</v>
      </c>
      <c r="D45" s="16" t="s">
        <v>6</v>
      </c>
      <c r="E45" s="16" t="s">
        <v>7</v>
      </c>
      <c r="F45" s="177">
        <v>35591.65309906</v>
      </c>
      <c r="G45" s="177">
        <v>35527.224454169998</v>
      </c>
      <c r="H45" s="49" t="s">
        <v>52</v>
      </c>
      <c r="I45" s="15">
        <v>22</v>
      </c>
      <c r="J45" s="15">
        <v>230028</v>
      </c>
      <c r="K45" s="14">
        <v>943.76910243999998</v>
      </c>
      <c r="L45" s="14">
        <v>953.99735949000001</v>
      </c>
      <c r="M45" s="14">
        <v>-10.22825705</v>
      </c>
      <c r="N45" s="14">
        <v>36231.28848032</v>
      </c>
      <c r="O45" s="14">
        <v>35961.974481860001</v>
      </c>
      <c r="P45" s="15">
        <v>0</v>
      </c>
      <c r="Q45" s="14">
        <v>0</v>
      </c>
      <c r="R45" s="49" t="s">
        <v>52</v>
      </c>
      <c r="S45" s="15">
        <v>22</v>
      </c>
      <c r="T45" s="15">
        <v>234872</v>
      </c>
      <c r="U45" s="14">
        <v>1256.2398078599999</v>
      </c>
      <c r="V45" s="14">
        <v>689.50469668000005</v>
      </c>
      <c r="W45" s="14">
        <v>566.73511117999999</v>
      </c>
      <c r="X45" s="14">
        <v>37087.945981509998</v>
      </c>
      <c r="Y45" s="14">
        <v>36676.610972019997</v>
      </c>
      <c r="Z45" s="15">
        <v>0</v>
      </c>
      <c r="AA45" s="14">
        <v>0</v>
      </c>
      <c r="AB45" s="49" t="s">
        <v>52</v>
      </c>
      <c r="AC45" s="15">
        <v>22</v>
      </c>
      <c r="AD45" s="15">
        <v>236833</v>
      </c>
      <c r="AE45" s="14">
        <v>741.05260604</v>
      </c>
      <c r="AF45" s="14">
        <v>697.02166412999998</v>
      </c>
      <c r="AG45" s="14">
        <v>44.030941909999697</v>
      </c>
      <c r="AH45" s="14">
        <v>36912.296308700003</v>
      </c>
      <c r="AI45" s="14">
        <v>37020.314279869999</v>
      </c>
      <c r="AJ45" s="15">
        <v>0</v>
      </c>
      <c r="AK45" s="14">
        <v>0</v>
      </c>
      <c r="AL45" s="49" t="s">
        <v>52</v>
      </c>
      <c r="AM45" s="15">
        <v>22</v>
      </c>
      <c r="AN45" s="15">
        <v>239570</v>
      </c>
      <c r="AO45" s="14">
        <v>729.20336167000005</v>
      </c>
      <c r="AP45" s="14">
        <v>666.65727140000001</v>
      </c>
      <c r="AQ45" s="14">
        <v>62.546090270000199</v>
      </c>
      <c r="AR45" s="14">
        <v>37174.041194739999</v>
      </c>
      <c r="AS45" s="14">
        <v>37095.502510389997</v>
      </c>
      <c r="AT45" s="15">
        <v>0</v>
      </c>
      <c r="AU45" s="14">
        <v>0</v>
      </c>
      <c r="AV45" s="49" t="s">
        <v>52</v>
      </c>
      <c r="AW45" s="15">
        <v>22</v>
      </c>
      <c r="AX45" s="15">
        <v>240006</v>
      </c>
      <c r="AY45" s="14">
        <v>547.09510410999997</v>
      </c>
      <c r="AZ45" s="14">
        <v>941.75012217000005</v>
      </c>
      <c r="BA45" s="14">
        <v>-394.65501805999997</v>
      </c>
      <c r="BB45" s="14">
        <v>36424.155000059996</v>
      </c>
      <c r="BC45" s="14">
        <v>36872.25271226</v>
      </c>
      <c r="BD45" s="15">
        <v>0</v>
      </c>
      <c r="BE45" s="14">
        <v>0</v>
      </c>
      <c r="BF45" s="49" t="s">
        <v>52</v>
      </c>
      <c r="BG45" s="15">
        <v>22</v>
      </c>
      <c r="BH45" s="15">
        <v>239543</v>
      </c>
      <c r="BI45" s="14">
        <v>1364.2719078600001</v>
      </c>
      <c r="BJ45" s="14">
        <v>844.85944598000003</v>
      </c>
      <c r="BK45" s="14">
        <v>519.41246188000002</v>
      </c>
      <c r="BL45" s="14">
        <v>37322.667333669997</v>
      </c>
      <c r="BM45" s="14">
        <v>36649.087259100001</v>
      </c>
      <c r="BN45" s="18">
        <v>0</v>
      </c>
      <c r="BO45" s="19">
        <v>0</v>
      </c>
      <c r="BP45" s="49" t="s">
        <v>52</v>
      </c>
      <c r="BQ45" s="15">
        <v>22</v>
      </c>
      <c r="BR45" s="15">
        <v>237849</v>
      </c>
      <c r="BS45" s="14">
        <v>686.53433994</v>
      </c>
      <c r="BT45" s="14">
        <v>919.22148076999997</v>
      </c>
      <c r="BU45" s="14">
        <v>-232.68714083</v>
      </c>
      <c r="BV45" s="14">
        <v>37333.95936108</v>
      </c>
      <c r="BW45" s="14">
        <v>37527.746410100001</v>
      </c>
      <c r="BX45" s="18">
        <v>0</v>
      </c>
      <c r="BY45" s="19">
        <v>0</v>
      </c>
      <c r="BZ45" s="49" t="s">
        <v>52</v>
      </c>
      <c r="CA45" s="15">
        <v>22</v>
      </c>
      <c r="CB45" s="15">
        <v>235965</v>
      </c>
      <c r="CC45" s="14">
        <v>328.9269678</v>
      </c>
      <c r="CD45" s="14">
        <v>935.48769575999995</v>
      </c>
      <c r="CE45" s="14">
        <v>-606.56072796000001</v>
      </c>
      <c r="CF45" s="14">
        <v>36857.416313239999</v>
      </c>
      <c r="CG45" s="14">
        <v>37067.959356159998</v>
      </c>
      <c r="CH45" s="18">
        <v>0</v>
      </c>
      <c r="CI45" s="14">
        <v>0</v>
      </c>
      <c r="CJ45" s="49" t="s">
        <v>52</v>
      </c>
      <c r="CK45" s="15">
        <v>22</v>
      </c>
      <c r="CL45" s="15">
        <v>232827</v>
      </c>
      <c r="CM45" s="14">
        <v>440.37437005999999</v>
      </c>
      <c r="CN45" s="14">
        <v>1283.4508716600001</v>
      </c>
      <c r="CO45" s="14">
        <v>-843.07650160000003</v>
      </c>
      <c r="CP45" s="112">
        <v>36108.335263840003</v>
      </c>
      <c r="CQ45" s="14">
        <v>36540.311869270001</v>
      </c>
      <c r="CR45" s="15">
        <v>0</v>
      </c>
      <c r="CS45" s="14">
        <v>0</v>
      </c>
      <c r="CT45" s="2" t="s">
        <v>52</v>
      </c>
      <c r="CU45" s="87">
        <v>22</v>
      </c>
      <c r="CV45" s="87">
        <v>229369</v>
      </c>
      <c r="CW45" s="88">
        <v>202.80745060999999</v>
      </c>
      <c r="CX45" s="88">
        <v>1637.7607483899999</v>
      </c>
      <c r="CY45" s="88">
        <v>-1434.95329778</v>
      </c>
      <c r="CZ45" s="111">
        <v>34718.25826871</v>
      </c>
      <c r="DA45" s="88">
        <v>35462.873954299997</v>
      </c>
      <c r="DB45" s="87">
        <v>0</v>
      </c>
      <c r="DC45" s="88">
        <v>0</v>
      </c>
      <c r="DD45" s="2" t="s">
        <v>52</v>
      </c>
      <c r="DE45" s="171">
        <f t="shared" si="16"/>
        <v>7240.2750183899998</v>
      </c>
      <c r="DF45" s="165">
        <f t="shared" si="17"/>
        <v>-2329.43633804</v>
      </c>
      <c r="DG45" s="2" t="s">
        <v>52</v>
      </c>
      <c r="DH45" s="172">
        <f t="shared" si="25"/>
        <v>-0.5394658172718636</v>
      </c>
      <c r="DI45" s="166">
        <f t="shared" si="24"/>
        <v>0.70204399607476842</v>
      </c>
      <c r="DJ45" s="158">
        <f t="shared" si="23"/>
        <v>-3.8497399145456267E-2</v>
      </c>
      <c r="DK45" s="155">
        <v>22</v>
      </c>
      <c r="DL45" s="155">
        <v>227542</v>
      </c>
      <c r="DM45" s="155">
        <v>214.31769872999999</v>
      </c>
      <c r="DN45" s="155">
        <v>765.80626936999897</v>
      </c>
      <c r="DO45" s="155">
        <v>-551.48857063999901</v>
      </c>
      <c r="DP45" s="155">
        <v>34439.093495319998</v>
      </c>
      <c r="DQ45" s="155">
        <v>34448.310405780001</v>
      </c>
      <c r="DR45" s="155">
        <v>0</v>
      </c>
      <c r="DS45" s="155">
        <v>0</v>
      </c>
      <c r="DT45" s="2" t="s">
        <v>52</v>
      </c>
      <c r="DU45" s="171">
        <f t="shared" si="18"/>
        <v>7454.5927171200001</v>
      </c>
      <c r="DV45" s="165">
        <f t="shared" si="19"/>
        <v>-2880.9249086799991</v>
      </c>
      <c r="DW45" s="2" t="s">
        <v>52</v>
      </c>
      <c r="DX45" s="174">
        <f t="shared" si="20"/>
        <v>5.6754562445214499E-2</v>
      </c>
      <c r="DY45" s="169">
        <f t="shared" si="21"/>
        <v>-0.61567489932027697</v>
      </c>
      <c r="DZ45" s="158">
        <f t="shared" si="22"/>
        <v>-8.0408634335669225E-3</v>
      </c>
      <c r="EA45" s="2" t="s">
        <v>52</v>
      </c>
      <c r="EB45" s="155">
        <v>22</v>
      </c>
      <c r="EC45" s="155">
        <v>224312</v>
      </c>
      <c r="ED45" s="155">
        <v>289.84312778999998</v>
      </c>
      <c r="EE45" s="155">
        <v>2030.88769346</v>
      </c>
      <c r="EF45" s="155">
        <v>-1741.0445656700001</v>
      </c>
      <c r="EG45" s="155">
        <v>32385.86606688</v>
      </c>
      <c r="EH45" s="155">
        <v>33601.975150400001</v>
      </c>
      <c r="EI45" s="155">
        <v>0</v>
      </c>
      <c r="EJ45" s="155">
        <v>0</v>
      </c>
      <c r="EK45" s="2" t="s">
        <v>52</v>
      </c>
      <c r="EL45" s="171">
        <f t="shared" si="10"/>
        <v>7744.43584491</v>
      </c>
      <c r="EM45" s="165">
        <f t="shared" si="11"/>
        <v>-4621.9694743499995</v>
      </c>
      <c r="EN45" s="2" t="s">
        <v>52</v>
      </c>
      <c r="EO45" s="174">
        <f t="shared" si="12"/>
        <v>0.3523994028843499</v>
      </c>
      <c r="EP45" s="169">
        <f t="shared" si="13"/>
        <v>2.1569912022828124</v>
      </c>
      <c r="EQ45" s="158">
        <f t="shared" si="14"/>
        <v>-5.9619090401407192E-2</v>
      </c>
    </row>
    <row r="46" spans="1:147" ht="13" x14ac:dyDescent="0.5">
      <c r="A46" s="16" t="s">
        <v>30</v>
      </c>
      <c r="B46" s="16" t="s">
        <v>24</v>
      </c>
      <c r="C46" s="16" t="s">
        <v>131</v>
      </c>
      <c r="D46" s="16" t="s">
        <v>6</v>
      </c>
      <c r="E46" s="16" t="s">
        <v>7</v>
      </c>
      <c r="F46" s="177">
        <v>20344.319956449999</v>
      </c>
      <c r="G46" s="177">
        <v>20342.764397359999</v>
      </c>
      <c r="H46" s="49" t="s">
        <v>52</v>
      </c>
      <c r="I46" s="15">
        <v>11</v>
      </c>
      <c r="J46" s="15">
        <v>94353</v>
      </c>
      <c r="K46" s="14">
        <v>874.43264870999997</v>
      </c>
      <c r="L46" s="14">
        <v>792.44603733999998</v>
      </c>
      <c r="M46" s="14">
        <v>81.986611370000006</v>
      </c>
      <c r="N46" s="14">
        <v>20873.892124860002</v>
      </c>
      <c r="O46" s="14">
        <v>20835.25174</v>
      </c>
      <c r="P46" s="15">
        <v>0</v>
      </c>
      <c r="Q46" s="14">
        <v>0</v>
      </c>
      <c r="R46" s="49" t="s">
        <v>52</v>
      </c>
      <c r="S46" s="15">
        <v>11</v>
      </c>
      <c r="T46" s="15">
        <v>97786</v>
      </c>
      <c r="U46" s="14">
        <v>875.20306722999999</v>
      </c>
      <c r="V46" s="14">
        <v>409.06860669999998</v>
      </c>
      <c r="W46" s="14">
        <v>466.13446053000001</v>
      </c>
      <c r="X46" s="14">
        <v>21415.249448769999</v>
      </c>
      <c r="Y46" s="14">
        <v>21119.185204379999</v>
      </c>
      <c r="Z46" s="15">
        <v>0</v>
      </c>
      <c r="AA46" s="14">
        <v>0</v>
      </c>
      <c r="AB46" s="49" t="s">
        <v>52</v>
      </c>
      <c r="AC46" s="15">
        <v>11</v>
      </c>
      <c r="AD46" s="15">
        <v>96767</v>
      </c>
      <c r="AE46" s="14">
        <v>594.44027104999998</v>
      </c>
      <c r="AF46" s="14">
        <v>1040.3226785700001</v>
      </c>
      <c r="AG46" s="14">
        <v>-445.88240752000002</v>
      </c>
      <c r="AH46" s="14">
        <v>20538.597821300002</v>
      </c>
      <c r="AI46" s="14">
        <v>20907.170715529999</v>
      </c>
      <c r="AJ46" s="15">
        <v>0</v>
      </c>
      <c r="AK46" s="14">
        <v>0</v>
      </c>
      <c r="AL46" s="49" t="s">
        <v>52</v>
      </c>
      <c r="AM46" s="15">
        <v>11</v>
      </c>
      <c r="AN46" s="15">
        <v>96032</v>
      </c>
      <c r="AO46" s="14">
        <v>291.87644555000003</v>
      </c>
      <c r="AP46" s="14">
        <v>708.35910208999996</v>
      </c>
      <c r="AQ46" s="14">
        <v>-416.48265653999999</v>
      </c>
      <c r="AR46" s="14">
        <v>20260.14815533</v>
      </c>
      <c r="AS46" s="14">
        <v>20350.741851819999</v>
      </c>
      <c r="AT46" s="15">
        <v>0</v>
      </c>
      <c r="AU46" s="14">
        <v>0</v>
      </c>
      <c r="AV46" s="49" t="s">
        <v>52</v>
      </c>
      <c r="AW46" s="15">
        <v>11</v>
      </c>
      <c r="AX46" s="15">
        <v>94316</v>
      </c>
      <c r="AY46" s="14">
        <v>697.8757114</v>
      </c>
      <c r="AZ46" s="14">
        <v>760.06026197999995</v>
      </c>
      <c r="BA46" s="14">
        <v>-62.184550579999701</v>
      </c>
      <c r="BB46" s="14">
        <v>19719.61377788</v>
      </c>
      <c r="BC46" s="14">
        <v>19860.45007966</v>
      </c>
      <c r="BD46" s="15">
        <v>0</v>
      </c>
      <c r="BE46" s="14">
        <v>0</v>
      </c>
      <c r="BF46" s="49" t="s">
        <v>52</v>
      </c>
      <c r="BG46" s="15">
        <v>11</v>
      </c>
      <c r="BH46" s="15">
        <v>91968</v>
      </c>
      <c r="BI46" s="14">
        <v>767.11969050000096</v>
      </c>
      <c r="BJ46" s="14">
        <v>705.82627878999995</v>
      </c>
      <c r="BK46" s="14">
        <v>61.293411710000299</v>
      </c>
      <c r="BL46" s="14">
        <v>20069.370361969999</v>
      </c>
      <c r="BM46" s="14">
        <v>20076.980186370001</v>
      </c>
      <c r="BN46" s="18">
        <v>0</v>
      </c>
      <c r="BO46" s="19">
        <v>0</v>
      </c>
      <c r="BP46" s="49" t="s">
        <v>52</v>
      </c>
      <c r="BQ46" s="15">
        <v>11</v>
      </c>
      <c r="BR46" s="15">
        <v>89830</v>
      </c>
      <c r="BS46" s="14">
        <v>99.845843269999904</v>
      </c>
      <c r="BT46" s="14">
        <v>1042.55717648</v>
      </c>
      <c r="BU46" s="14">
        <v>-942.71133321000002</v>
      </c>
      <c r="BV46" s="14">
        <v>19194.202982430001</v>
      </c>
      <c r="BW46" s="14">
        <v>19723.738814460001</v>
      </c>
      <c r="BX46" s="18">
        <v>0</v>
      </c>
      <c r="BY46" s="19">
        <v>0</v>
      </c>
      <c r="BZ46" s="49" t="s">
        <v>52</v>
      </c>
      <c r="CA46" s="15">
        <v>11</v>
      </c>
      <c r="CB46" s="15">
        <v>87932</v>
      </c>
      <c r="CC46" s="14">
        <v>232.059315609999</v>
      </c>
      <c r="CD46" s="14">
        <v>598.50694573999999</v>
      </c>
      <c r="CE46" s="14">
        <v>-366.44763013000102</v>
      </c>
      <c r="CF46" s="14">
        <v>18856.545262520001</v>
      </c>
      <c r="CG46" s="14">
        <v>19028.931284300001</v>
      </c>
      <c r="CH46" s="18">
        <v>0</v>
      </c>
      <c r="CI46" s="14">
        <v>0</v>
      </c>
      <c r="CJ46" s="49" t="s">
        <v>52</v>
      </c>
      <c r="CK46" s="15">
        <v>11</v>
      </c>
      <c r="CL46" s="15">
        <v>85438</v>
      </c>
      <c r="CM46" s="14">
        <v>70.762279180000405</v>
      </c>
      <c r="CN46" s="14">
        <v>1373.92930424</v>
      </c>
      <c r="CO46" s="14">
        <v>-1303.16702506</v>
      </c>
      <c r="CP46" s="112">
        <v>17608.27058688</v>
      </c>
      <c r="CQ46" s="14">
        <v>17965.209763909999</v>
      </c>
      <c r="CR46" s="15">
        <v>0</v>
      </c>
      <c r="CS46" s="14">
        <v>0</v>
      </c>
      <c r="CT46" s="2" t="s">
        <v>52</v>
      </c>
      <c r="CU46" s="87">
        <v>11</v>
      </c>
      <c r="CV46" s="87">
        <v>82999</v>
      </c>
      <c r="CW46" s="88">
        <v>28.911015130000099</v>
      </c>
      <c r="CX46" s="88">
        <v>1365.2405120000001</v>
      </c>
      <c r="CY46" s="88">
        <v>-1336.32949687</v>
      </c>
      <c r="CZ46" s="111">
        <v>16221.17152598</v>
      </c>
      <c r="DA46" s="88">
        <v>16754.337467910002</v>
      </c>
      <c r="DB46" s="87">
        <v>0</v>
      </c>
      <c r="DC46" s="88">
        <v>0</v>
      </c>
      <c r="DD46" s="2" t="s">
        <v>52</v>
      </c>
      <c r="DE46" s="171">
        <f t="shared" si="16"/>
        <v>4532.5262876300003</v>
      </c>
      <c r="DF46" s="165">
        <f t="shared" si="17"/>
        <v>-4263.7906163000007</v>
      </c>
      <c r="DG46" s="2" t="s">
        <v>52</v>
      </c>
      <c r="DH46" s="172">
        <f t="shared" si="25"/>
        <v>-0.5914346532499587</v>
      </c>
      <c r="DI46" s="166">
        <f t="shared" si="24"/>
        <v>2.5447598943407188E-2</v>
      </c>
      <c r="DJ46" s="158">
        <f t="shared" si="23"/>
        <v>-7.8775428515593895E-2</v>
      </c>
      <c r="DK46" s="155">
        <v>11</v>
      </c>
      <c r="DL46" s="155">
        <v>81398</v>
      </c>
      <c r="DM46" s="155">
        <v>153.20960781999901</v>
      </c>
      <c r="DN46" s="155">
        <v>782.13663708000104</v>
      </c>
      <c r="DO46" s="155">
        <v>-628.92702926000095</v>
      </c>
      <c r="DP46" s="155">
        <v>15671.68312661</v>
      </c>
      <c r="DQ46" s="155">
        <v>15806.6977869</v>
      </c>
      <c r="DR46" s="155">
        <v>0</v>
      </c>
      <c r="DS46" s="155">
        <v>0</v>
      </c>
      <c r="DT46" s="2" t="s">
        <v>52</v>
      </c>
      <c r="DU46" s="171">
        <f t="shared" si="18"/>
        <v>4685.7358954499996</v>
      </c>
      <c r="DV46" s="165">
        <f t="shared" si="19"/>
        <v>-4892.717645560002</v>
      </c>
      <c r="DW46" s="2" t="s">
        <v>52</v>
      </c>
      <c r="DX46" s="174">
        <f t="shared" si="20"/>
        <v>4.2993506845429987</v>
      </c>
      <c r="DY46" s="169">
        <f t="shared" si="21"/>
        <v>-0.52936230867230205</v>
      </c>
      <c r="DZ46" s="158">
        <f t="shared" si="22"/>
        <v>-3.3874766596847461E-2</v>
      </c>
      <c r="EA46" s="2" t="s">
        <v>52</v>
      </c>
      <c r="EB46" s="155">
        <v>11</v>
      </c>
      <c r="EC46" s="155">
        <v>79190</v>
      </c>
      <c r="ED46" s="155">
        <v>244.31826516000001</v>
      </c>
      <c r="EE46" s="155">
        <v>1291.67572002</v>
      </c>
      <c r="EF46" s="155">
        <v>-1047.35745486</v>
      </c>
      <c r="EG46" s="155">
        <v>14158.729939999999</v>
      </c>
      <c r="EH46" s="155">
        <v>15132.48102336</v>
      </c>
      <c r="EI46" s="155">
        <v>0</v>
      </c>
      <c r="EJ46" s="155">
        <v>0</v>
      </c>
      <c r="EK46" s="2" t="s">
        <v>52</v>
      </c>
      <c r="EL46" s="171">
        <f t="shared" si="10"/>
        <v>4930.0541606099996</v>
      </c>
      <c r="EM46" s="165">
        <f t="shared" si="11"/>
        <v>-5940.0751004200019</v>
      </c>
      <c r="EN46" s="2" t="s">
        <v>52</v>
      </c>
      <c r="EO46" s="174">
        <f t="shared" si="12"/>
        <v>0.59466673556818717</v>
      </c>
      <c r="EP46" s="169">
        <f t="shared" si="13"/>
        <v>0.66530838417348126</v>
      </c>
      <c r="EQ46" s="158">
        <f t="shared" si="14"/>
        <v>-9.6540567748020376E-2</v>
      </c>
    </row>
    <row r="47" spans="1:147" ht="13" x14ac:dyDescent="0.5">
      <c r="A47" s="16" t="s">
        <v>15</v>
      </c>
      <c r="B47" s="16" t="s">
        <v>87</v>
      </c>
      <c r="C47" s="16" t="s">
        <v>131</v>
      </c>
      <c r="D47" s="16" t="s">
        <v>2</v>
      </c>
      <c r="E47" s="16" t="s">
        <v>2</v>
      </c>
      <c r="F47" s="177">
        <v>232245.47352176</v>
      </c>
      <c r="G47" s="177">
        <v>225225.53399371001</v>
      </c>
      <c r="H47" s="49" t="s">
        <v>52</v>
      </c>
      <c r="I47" s="15">
        <v>43</v>
      </c>
      <c r="J47" s="15">
        <v>16974967</v>
      </c>
      <c r="K47" s="14">
        <v>1642.78456575</v>
      </c>
      <c r="L47" s="14">
        <v>2014.7841411300001</v>
      </c>
      <c r="M47" s="14">
        <v>-371.99957538000001</v>
      </c>
      <c r="N47" s="14">
        <v>239050.61797095</v>
      </c>
      <c r="O47" s="14">
        <v>232312.33257763999</v>
      </c>
      <c r="P47" s="15">
        <v>0</v>
      </c>
      <c r="Q47" s="14">
        <v>0</v>
      </c>
      <c r="R47" s="49" t="s">
        <v>52</v>
      </c>
      <c r="S47" s="15">
        <v>43</v>
      </c>
      <c r="T47" s="15">
        <v>16919934</v>
      </c>
      <c r="U47" s="14">
        <v>1443.58951561</v>
      </c>
      <c r="V47" s="14">
        <v>2121.6951973199998</v>
      </c>
      <c r="W47" s="14">
        <v>-678.10568171</v>
      </c>
      <c r="X47" s="14">
        <v>246293.04875091999</v>
      </c>
      <c r="Y47" s="14">
        <v>242700.54945635001</v>
      </c>
      <c r="Z47" s="15">
        <v>0</v>
      </c>
      <c r="AA47" s="14">
        <v>0</v>
      </c>
      <c r="AB47" s="49" t="s">
        <v>52</v>
      </c>
      <c r="AC47" s="15">
        <v>43</v>
      </c>
      <c r="AD47" s="15">
        <v>16894182</v>
      </c>
      <c r="AE47" s="14">
        <v>1553.64328641</v>
      </c>
      <c r="AF47" s="14">
        <v>2109.7554039199999</v>
      </c>
      <c r="AG47" s="14">
        <v>-556.11211750999996</v>
      </c>
      <c r="AH47" s="14">
        <v>253585.36145215001</v>
      </c>
      <c r="AI47" s="14">
        <v>249033.12964922001</v>
      </c>
      <c r="AJ47" s="15">
        <v>0</v>
      </c>
      <c r="AK47" s="14">
        <v>0</v>
      </c>
      <c r="AL47" s="49" t="s">
        <v>52</v>
      </c>
      <c r="AM47" s="15">
        <v>43</v>
      </c>
      <c r="AN47" s="15">
        <v>16873721</v>
      </c>
      <c r="AO47" s="14">
        <v>1662.7394610599999</v>
      </c>
      <c r="AP47" s="14">
        <v>2030.92329017</v>
      </c>
      <c r="AQ47" s="14">
        <v>-368.18382910999901</v>
      </c>
      <c r="AR47" s="14">
        <v>248202.51751418001</v>
      </c>
      <c r="AS47" s="14">
        <v>251295.46809794</v>
      </c>
      <c r="AT47" s="15">
        <v>0</v>
      </c>
      <c r="AU47" s="14">
        <v>0</v>
      </c>
      <c r="AV47" s="49" t="s">
        <v>52</v>
      </c>
      <c r="AW47" s="15">
        <v>43</v>
      </c>
      <c r="AX47" s="15">
        <v>16859956</v>
      </c>
      <c r="AY47" s="14">
        <v>1522.4070903899999</v>
      </c>
      <c r="AZ47" s="14">
        <v>1463.2531401900001</v>
      </c>
      <c r="BA47" s="14">
        <v>59.153950199998697</v>
      </c>
      <c r="BB47" s="14">
        <v>243981.85512635999</v>
      </c>
      <c r="BC47" s="14">
        <v>246466.97808492999</v>
      </c>
      <c r="BD47" s="15">
        <v>0</v>
      </c>
      <c r="BE47" s="14">
        <v>0</v>
      </c>
      <c r="BF47" s="49" t="s">
        <v>52</v>
      </c>
      <c r="BG47" s="15">
        <v>42</v>
      </c>
      <c r="BH47" s="15">
        <v>16690290</v>
      </c>
      <c r="BI47" s="14">
        <v>1554.0614755500001</v>
      </c>
      <c r="BJ47" s="14">
        <v>1861.9851456900001</v>
      </c>
      <c r="BK47" s="14">
        <v>-307.92367014000001</v>
      </c>
      <c r="BL47" s="14">
        <v>244774.58314408001</v>
      </c>
      <c r="BM47" s="14">
        <v>248332.09422743999</v>
      </c>
      <c r="BN47" s="18">
        <v>0</v>
      </c>
      <c r="BO47" s="19">
        <v>0</v>
      </c>
      <c r="BP47" s="49" t="s">
        <v>52</v>
      </c>
      <c r="BQ47" s="15">
        <v>42</v>
      </c>
      <c r="BR47" s="15">
        <v>16644818</v>
      </c>
      <c r="BS47" s="14">
        <v>1376.3036598799999</v>
      </c>
      <c r="BT47" s="14">
        <v>2041.9604413699999</v>
      </c>
      <c r="BU47" s="14">
        <v>-665.65678148999905</v>
      </c>
      <c r="BV47" s="14">
        <v>253264.08520251</v>
      </c>
      <c r="BW47" s="14">
        <v>251624.33816864999</v>
      </c>
      <c r="BX47" s="18">
        <v>0</v>
      </c>
      <c r="BY47" s="19">
        <v>0</v>
      </c>
      <c r="BZ47" s="49" t="s">
        <v>52</v>
      </c>
      <c r="CA47" s="15">
        <v>42</v>
      </c>
      <c r="CB47" s="15">
        <v>16604897</v>
      </c>
      <c r="CC47" s="14">
        <v>1337.4156421800001</v>
      </c>
      <c r="CD47" s="14">
        <v>1907.5850813100001</v>
      </c>
      <c r="CE47" s="14">
        <v>-570.16943913000102</v>
      </c>
      <c r="CF47" s="14">
        <v>254888.1650797</v>
      </c>
      <c r="CG47" s="14">
        <v>253628.44893611001</v>
      </c>
      <c r="CH47" s="18">
        <v>0</v>
      </c>
      <c r="CI47" s="14">
        <v>0</v>
      </c>
      <c r="CJ47" s="49" t="s">
        <v>52</v>
      </c>
      <c r="CK47" s="15">
        <v>42</v>
      </c>
      <c r="CL47" s="15">
        <v>16556812</v>
      </c>
      <c r="CM47" s="14">
        <v>1431.58915486</v>
      </c>
      <c r="CN47" s="14">
        <v>2149.31924807</v>
      </c>
      <c r="CO47" s="14">
        <v>-717.73009320999904</v>
      </c>
      <c r="CP47" s="112">
        <v>252700.00898265</v>
      </c>
      <c r="CQ47" s="14">
        <v>252252.97371014999</v>
      </c>
      <c r="CR47" s="15">
        <v>0</v>
      </c>
      <c r="CS47" s="14">
        <v>0</v>
      </c>
      <c r="CT47" s="2" t="s">
        <v>52</v>
      </c>
      <c r="CU47" s="87">
        <v>41</v>
      </c>
      <c r="CV47" s="87">
        <v>16501822</v>
      </c>
      <c r="CW47" s="88">
        <v>1479.04627239</v>
      </c>
      <c r="CX47" s="88">
        <v>2072.7387766400002</v>
      </c>
      <c r="CY47" s="88">
        <v>-593.692504250002</v>
      </c>
      <c r="CZ47" s="111">
        <v>244287.63750869001</v>
      </c>
      <c r="DA47" s="88">
        <v>247617.18099026001</v>
      </c>
      <c r="DB47" s="87">
        <v>0</v>
      </c>
      <c r="DC47" s="88">
        <v>0</v>
      </c>
      <c r="DD47" s="2" t="s">
        <v>52</v>
      </c>
      <c r="DE47" s="171">
        <f t="shared" si="16"/>
        <v>15003.580124079999</v>
      </c>
      <c r="DF47" s="165">
        <f t="shared" si="17"/>
        <v>-4770.419741730002</v>
      </c>
      <c r="DG47" s="2" t="s">
        <v>52</v>
      </c>
      <c r="DH47" s="172">
        <f t="shared" si="25"/>
        <v>3.3149956025366092E-2</v>
      </c>
      <c r="DI47" s="166">
        <f t="shared" si="24"/>
        <v>-0.17281926748430926</v>
      </c>
      <c r="DJ47" s="158">
        <f t="shared" si="23"/>
        <v>-3.3289953205096944E-2</v>
      </c>
      <c r="DK47" s="155">
        <v>41</v>
      </c>
      <c r="DL47" s="155">
        <v>16468213</v>
      </c>
      <c r="DM47" s="155">
        <v>1295.0442957</v>
      </c>
      <c r="DN47" s="155">
        <v>1945.0690481399999</v>
      </c>
      <c r="DO47" s="155">
        <v>-650.02475243999697</v>
      </c>
      <c r="DP47" s="155">
        <v>245351.53695810999</v>
      </c>
      <c r="DQ47" s="155">
        <v>248089.14493479001</v>
      </c>
      <c r="DR47" s="155">
        <v>0</v>
      </c>
      <c r="DS47" s="155">
        <v>0</v>
      </c>
      <c r="DT47" s="2" t="s">
        <v>52</v>
      </c>
      <c r="DU47" s="171">
        <f t="shared" si="18"/>
        <v>16298.624419779999</v>
      </c>
      <c r="DV47" s="165">
        <f t="shared" si="19"/>
        <v>-5420.4444941699985</v>
      </c>
      <c r="DW47" s="2" t="s">
        <v>52</v>
      </c>
      <c r="DX47" s="174">
        <f t="shared" si="20"/>
        <v>-0.124405828353612</v>
      </c>
      <c r="DY47" s="169">
        <f t="shared" si="21"/>
        <v>9.488455351336833E-2</v>
      </c>
      <c r="DZ47" s="158">
        <f t="shared" si="22"/>
        <v>4.355109657901297E-3</v>
      </c>
      <c r="EA47" s="2" t="s">
        <v>52</v>
      </c>
      <c r="EB47" s="155">
        <v>41</v>
      </c>
      <c r="EC47" s="155">
        <v>16433567</v>
      </c>
      <c r="ED47" s="155">
        <v>1599.27087106</v>
      </c>
      <c r="EE47" s="155">
        <v>2036.60798894</v>
      </c>
      <c r="EF47" s="155">
        <v>-437.33711788000397</v>
      </c>
      <c r="EG47" s="155">
        <v>217309.84288677</v>
      </c>
      <c r="EH47" s="155">
        <v>229714.69127558</v>
      </c>
      <c r="EI47" s="155">
        <v>0</v>
      </c>
      <c r="EJ47" s="155">
        <v>0</v>
      </c>
      <c r="EK47" s="2" t="s">
        <v>52</v>
      </c>
      <c r="EL47" s="171">
        <f t="shared" si="10"/>
        <v>17897.895290839999</v>
      </c>
      <c r="EM47" s="165">
        <f t="shared" si="11"/>
        <v>-5857.7816120500029</v>
      </c>
      <c r="EN47" s="2" t="s">
        <v>52</v>
      </c>
      <c r="EO47" s="174">
        <f t="shared" si="12"/>
        <v>0.23491596107572427</v>
      </c>
      <c r="EP47" s="169">
        <f t="shared" si="13"/>
        <v>-0.32719928550663302</v>
      </c>
      <c r="EQ47" s="158">
        <f t="shared" si="14"/>
        <v>-0.11429190303432941</v>
      </c>
    </row>
    <row r="48" spans="1:147" ht="13" x14ac:dyDescent="0.5">
      <c r="A48" s="16" t="s">
        <v>5</v>
      </c>
      <c r="B48" s="16" t="s">
        <v>24</v>
      </c>
      <c r="C48" s="16" t="s">
        <v>131</v>
      </c>
      <c r="D48" s="16" t="s">
        <v>6</v>
      </c>
      <c r="E48" s="16" t="s">
        <v>7</v>
      </c>
      <c r="F48" s="177">
        <v>78850.097617630003</v>
      </c>
      <c r="G48" s="177">
        <v>78721.833894850002</v>
      </c>
      <c r="H48" s="49" t="s">
        <v>52</v>
      </c>
      <c r="I48" s="15">
        <v>22</v>
      </c>
      <c r="J48" s="15">
        <v>237042</v>
      </c>
      <c r="K48" s="14">
        <v>2069.1923133800001</v>
      </c>
      <c r="L48" s="14">
        <v>1433.30494587</v>
      </c>
      <c r="M48" s="14">
        <v>635.88736750999999</v>
      </c>
      <c r="N48" s="14">
        <v>80597.862355039993</v>
      </c>
      <c r="O48" s="14">
        <v>79692.997165509994</v>
      </c>
      <c r="P48" s="15">
        <v>0</v>
      </c>
      <c r="Q48" s="14">
        <v>0</v>
      </c>
      <c r="R48" s="49" t="s">
        <v>52</v>
      </c>
      <c r="S48" s="15">
        <v>22</v>
      </c>
      <c r="T48" s="15">
        <v>238455</v>
      </c>
      <c r="U48" s="14">
        <v>1608.1267401499999</v>
      </c>
      <c r="V48" s="14">
        <v>1123.99304065</v>
      </c>
      <c r="W48" s="14">
        <v>484.13369949999998</v>
      </c>
      <c r="X48" s="14">
        <v>81949.602720139999</v>
      </c>
      <c r="Y48" s="14">
        <v>81268.731084719999</v>
      </c>
      <c r="Z48" s="15">
        <v>0</v>
      </c>
      <c r="AA48" s="14">
        <v>0</v>
      </c>
      <c r="AB48" s="49" t="s">
        <v>52</v>
      </c>
      <c r="AC48" s="15">
        <v>22</v>
      </c>
      <c r="AD48" s="15">
        <v>239295</v>
      </c>
      <c r="AE48" s="14">
        <v>1969.78490349</v>
      </c>
      <c r="AF48" s="14">
        <v>1731.18655668</v>
      </c>
      <c r="AG48" s="14">
        <v>238.59834681000001</v>
      </c>
      <c r="AH48" s="14">
        <v>82228.636290580005</v>
      </c>
      <c r="AI48" s="14">
        <v>82588.269987260006</v>
      </c>
      <c r="AJ48" s="15">
        <v>0</v>
      </c>
      <c r="AK48" s="14">
        <v>0</v>
      </c>
      <c r="AL48" s="49" t="s">
        <v>52</v>
      </c>
      <c r="AM48" s="15">
        <v>22</v>
      </c>
      <c r="AN48" s="15">
        <v>240020</v>
      </c>
      <c r="AO48" s="14">
        <v>1295.24290088</v>
      </c>
      <c r="AP48" s="14">
        <v>1956.9730456100001</v>
      </c>
      <c r="AQ48" s="14">
        <v>-661.73014473000001</v>
      </c>
      <c r="AR48" s="14">
        <v>82041.635788109998</v>
      </c>
      <c r="AS48" s="14">
        <v>81868.294215360002</v>
      </c>
      <c r="AT48" s="15">
        <v>0</v>
      </c>
      <c r="AU48" s="14">
        <v>0</v>
      </c>
      <c r="AV48" s="49" t="s">
        <v>52</v>
      </c>
      <c r="AW48" s="15">
        <v>22</v>
      </c>
      <c r="AX48" s="15">
        <v>240524</v>
      </c>
      <c r="AY48" s="14">
        <v>947.25648394999996</v>
      </c>
      <c r="AZ48" s="14">
        <v>1747.70556384</v>
      </c>
      <c r="BA48" s="14">
        <v>-800.44907989000001</v>
      </c>
      <c r="BB48" s="14">
        <v>81161.204004090003</v>
      </c>
      <c r="BC48" s="14">
        <v>81717.485029820004</v>
      </c>
      <c r="BD48" s="15">
        <v>0</v>
      </c>
      <c r="BE48" s="14">
        <v>0</v>
      </c>
      <c r="BF48" s="49" t="s">
        <v>52</v>
      </c>
      <c r="BG48" s="15">
        <v>22</v>
      </c>
      <c r="BH48" s="15">
        <v>239947</v>
      </c>
      <c r="BI48" s="14">
        <v>742.078487039999</v>
      </c>
      <c r="BJ48" s="14">
        <v>2709.38802295</v>
      </c>
      <c r="BK48" s="14">
        <v>-1967.30953591</v>
      </c>
      <c r="BL48" s="14">
        <v>79724.098069400003</v>
      </c>
      <c r="BM48" s="14">
        <v>80533.193292209995</v>
      </c>
      <c r="BN48" s="18">
        <v>0</v>
      </c>
      <c r="BO48" s="19">
        <v>0</v>
      </c>
      <c r="BP48" s="49" t="s">
        <v>52</v>
      </c>
      <c r="BQ48" s="15">
        <v>21</v>
      </c>
      <c r="BR48" s="15">
        <v>239409</v>
      </c>
      <c r="BS48" s="14">
        <v>1534.7932387400001</v>
      </c>
      <c r="BT48" s="14">
        <v>1322.5204569800001</v>
      </c>
      <c r="BU48" s="14">
        <v>212.27278175999899</v>
      </c>
      <c r="BV48" s="14">
        <v>80699.626007049999</v>
      </c>
      <c r="BW48" s="14">
        <v>79815.886957420007</v>
      </c>
      <c r="BX48" s="18">
        <v>0</v>
      </c>
      <c r="BY48" s="19">
        <v>0</v>
      </c>
      <c r="BZ48" s="49" t="s">
        <v>52</v>
      </c>
      <c r="CA48" s="15">
        <v>21</v>
      </c>
      <c r="CB48" s="15">
        <v>240003</v>
      </c>
      <c r="CC48" s="14">
        <v>509.09094116000102</v>
      </c>
      <c r="CD48" s="14">
        <v>1361.18724795</v>
      </c>
      <c r="CE48" s="14">
        <v>-852.09630678999895</v>
      </c>
      <c r="CF48" s="14">
        <v>80299.520193160002</v>
      </c>
      <c r="CG48" s="14">
        <v>80543.606134939997</v>
      </c>
      <c r="CH48" s="18">
        <v>0</v>
      </c>
      <c r="CI48" s="14">
        <v>0</v>
      </c>
      <c r="CJ48" s="49" t="s">
        <v>52</v>
      </c>
      <c r="CK48" s="15">
        <v>21</v>
      </c>
      <c r="CL48" s="15">
        <v>239818</v>
      </c>
      <c r="CM48" s="14">
        <v>769.56581256000004</v>
      </c>
      <c r="CN48" s="14">
        <v>1745.66025281</v>
      </c>
      <c r="CO48" s="14">
        <v>-976.09444024999902</v>
      </c>
      <c r="CP48" s="112">
        <v>79417.258822799995</v>
      </c>
      <c r="CQ48" s="14">
        <v>79512.416525699999</v>
      </c>
      <c r="CR48" s="15">
        <v>0</v>
      </c>
      <c r="CS48" s="14">
        <v>0</v>
      </c>
      <c r="CT48" s="2" t="s">
        <v>52</v>
      </c>
      <c r="CU48" s="87">
        <v>21</v>
      </c>
      <c r="CV48" s="87">
        <v>239116</v>
      </c>
      <c r="CW48" s="88">
        <v>514.35412424000106</v>
      </c>
      <c r="CX48" s="88">
        <v>1733.2348380000001</v>
      </c>
      <c r="CY48" s="88">
        <v>-1218.8807137599999</v>
      </c>
      <c r="CZ48" s="111">
        <v>78169.943957509997</v>
      </c>
      <c r="DA48" s="88">
        <v>78906.717798059995</v>
      </c>
      <c r="DB48" s="87">
        <v>0</v>
      </c>
      <c r="DC48" s="88">
        <v>0</v>
      </c>
      <c r="DD48" s="2" t="s">
        <v>52</v>
      </c>
      <c r="DE48" s="171">
        <f t="shared" si="16"/>
        <v>11959.48594559</v>
      </c>
      <c r="DF48" s="165">
        <f t="shared" si="17"/>
        <v>-4905.6680257499993</v>
      </c>
      <c r="DG48" s="2" t="s">
        <v>52</v>
      </c>
      <c r="DH48" s="181">
        <f t="shared" si="25"/>
        <v>-0.33163075094386568</v>
      </c>
      <c r="DI48" s="183">
        <f t="shared" si="24"/>
        <v>0.24873235979893304</v>
      </c>
      <c r="DJ48" s="158">
        <f t="shared" si="23"/>
        <v>-1.5705841321885378E-2</v>
      </c>
      <c r="DK48" s="155">
        <v>20</v>
      </c>
      <c r="DL48" s="155">
        <v>239763</v>
      </c>
      <c r="DM48" s="155">
        <v>447.09189519</v>
      </c>
      <c r="DN48" s="155">
        <v>1919.85832381</v>
      </c>
      <c r="DO48" s="155">
        <v>-1472.7664286199999</v>
      </c>
      <c r="DP48" s="155">
        <v>77138.936814650006</v>
      </c>
      <c r="DQ48" s="155">
        <v>77708.441936970004</v>
      </c>
      <c r="DR48" s="155">
        <v>0</v>
      </c>
      <c r="DS48" s="155">
        <v>0</v>
      </c>
      <c r="DT48" s="2" t="s">
        <v>52</v>
      </c>
      <c r="DU48" s="171">
        <f t="shared" si="18"/>
        <v>12406.577840780001</v>
      </c>
      <c r="DV48" s="165">
        <f t="shared" si="19"/>
        <v>-6378.434454369999</v>
      </c>
      <c r="DW48" s="2" t="s">
        <v>52</v>
      </c>
      <c r="DX48" s="174">
        <f t="shared" si="20"/>
        <v>-0.13077027261983429</v>
      </c>
      <c r="DY48" s="169">
        <f t="shared" si="21"/>
        <v>0.20829414395836493</v>
      </c>
      <c r="DZ48" s="158">
        <f t="shared" si="22"/>
        <v>-1.318930385085609E-2</v>
      </c>
      <c r="EA48" s="2" t="s">
        <v>52</v>
      </c>
      <c r="EB48" s="155">
        <v>20</v>
      </c>
      <c r="EC48" s="155">
        <v>239277</v>
      </c>
      <c r="ED48" s="155">
        <v>425.15844643999799</v>
      </c>
      <c r="EE48" s="155">
        <v>2699.2349247900002</v>
      </c>
      <c r="EF48" s="155">
        <v>-2274.0764783499999</v>
      </c>
      <c r="EG48" s="155">
        <v>74619.677573909998</v>
      </c>
      <c r="EH48" s="155">
        <v>75970.217998409993</v>
      </c>
      <c r="EI48" s="155">
        <v>0</v>
      </c>
      <c r="EJ48" s="155">
        <v>0</v>
      </c>
      <c r="EK48" s="2" t="s">
        <v>52</v>
      </c>
      <c r="EL48" s="171">
        <f t="shared" si="10"/>
        <v>12831.736287219999</v>
      </c>
      <c r="EM48" s="165">
        <f t="shared" si="11"/>
        <v>-8652.5109327199989</v>
      </c>
      <c r="EN48" s="2" t="s">
        <v>52</v>
      </c>
      <c r="EO48" s="174">
        <f t="shared" si="12"/>
        <v>-4.9058032556553027E-2</v>
      </c>
      <c r="EP48" s="169">
        <f t="shared" si="13"/>
        <v>0.5440849507147153</v>
      </c>
      <c r="EQ48" s="158">
        <f t="shared" si="14"/>
        <v>-3.2658723917770638E-2</v>
      </c>
    </row>
    <row r="49" spans="1:147" ht="13" x14ac:dyDescent="0.5">
      <c r="A49" s="16" t="s">
        <v>40</v>
      </c>
      <c r="B49" s="16" t="s">
        <v>24</v>
      </c>
      <c r="C49" s="16" t="s">
        <v>131</v>
      </c>
      <c r="D49" s="16" t="s">
        <v>6</v>
      </c>
      <c r="E49" s="16" t="s">
        <v>7</v>
      </c>
      <c r="F49" s="177">
        <v>113320.85564314001</v>
      </c>
      <c r="G49" s="177">
        <v>112254.19366911</v>
      </c>
      <c r="H49" s="49" t="s">
        <v>52</v>
      </c>
      <c r="I49" s="15">
        <v>24</v>
      </c>
      <c r="J49" s="15">
        <v>463334</v>
      </c>
      <c r="K49" s="14">
        <v>10139.494741439999</v>
      </c>
      <c r="L49" s="14">
        <v>5376.2797415000005</v>
      </c>
      <c r="M49" s="14">
        <v>4763.2149999399999</v>
      </c>
      <c r="N49" s="14">
        <v>119708.54111172</v>
      </c>
      <c r="O49" s="14">
        <v>118413.30492126</v>
      </c>
      <c r="P49" s="15">
        <v>0</v>
      </c>
      <c r="Q49" s="14">
        <v>0</v>
      </c>
      <c r="R49" s="49" t="s">
        <v>52</v>
      </c>
      <c r="S49" s="15">
        <v>24</v>
      </c>
      <c r="T49" s="15">
        <v>475177</v>
      </c>
      <c r="U49" s="14">
        <v>7633.7643611800004</v>
      </c>
      <c r="V49" s="14">
        <v>5843.97627835</v>
      </c>
      <c r="W49" s="14">
        <v>1789.7880828299999</v>
      </c>
      <c r="X49" s="14">
        <v>122759.56146968</v>
      </c>
      <c r="Y49" s="14">
        <v>121092.00313984</v>
      </c>
      <c r="Z49" s="15">
        <v>0</v>
      </c>
      <c r="AA49" s="14">
        <v>0</v>
      </c>
      <c r="AB49" s="49" t="s">
        <v>52</v>
      </c>
      <c r="AC49" s="15">
        <v>24</v>
      </c>
      <c r="AD49" s="15">
        <v>488358</v>
      </c>
      <c r="AE49" s="14">
        <v>20113.176207280001</v>
      </c>
      <c r="AF49" s="14">
        <v>9836.4277081599994</v>
      </c>
      <c r="AG49" s="14">
        <v>10276.74849912</v>
      </c>
      <c r="AH49" s="14">
        <v>133337.00368256</v>
      </c>
      <c r="AI49" s="14">
        <v>132173.68078331999</v>
      </c>
      <c r="AJ49" s="15">
        <v>0</v>
      </c>
      <c r="AK49" s="14">
        <v>0</v>
      </c>
      <c r="AL49" s="49" t="s">
        <v>52</v>
      </c>
      <c r="AM49" s="15">
        <v>24</v>
      </c>
      <c r="AN49" s="15">
        <v>506036</v>
      </c>
      <c r="AO49" s="14">
        <v>6866.8995789700002</v>
      </c>
      <c r="AP49" s="14">
        <v>5037.5701129700001</v>
      </c>
      <c r="AQ49" s="14">
        <v>1829.3294659999999</v>
      </c>
      <c r="AR49" s="14">
        <v>136020.58462625</v>
      </c>
      <c r="AS49" s="14">
        <v>136121.87865355</v>
      </c>
      <c r="AT49" s="15">
        <v>0</v>
      </c>
      <c r="AU49" s="14">
        <v>0</v>
      </c>
      <c r="AV49" s="49" t="s">
        <v>52</v>
      </c>
      <c r="AW49" s="15">
        <v>24</v>
      </c>
      <c r="AX49" s="15">
        <v>517942</v>
      </c>
      <c r="AY49" s="14">
        <v>4807.2552437499999</v>
      </c>
      <c r="AZ49" s="14">
        <v>4241.9948925899998</v>
      </c>
      <c r="BA49" s="14">
        <v>565.260351159999</v>
      </c>
      <c r="BB49" s="14">
        <v>136582.7493315</v>
      </c>
      <c r="BC49" s="14">
        <v>136154.00157456999</v>
      </c>
      <c r="BD49" s="15">
        <v>0</v>
      </c>
      <c r="BE49" s="14">
        <v>0</v>
      </c>
      <c r="BF49" s="49" t="s">
        <v>52</v>
      </c>
      <c r="BG49" s="15">
        <v>24</v>
      </c>
      <c r="BH49" s="15">
        <v>525052</v>
      </c>
      <c r="BI49" s="14">
        <v>4069.7225290199999</v>
      </c>
      <c r="BJ49" s="14">
        <v>6242.9566608699997</v>
      </c>
      <c r="BK49" s="14">
        <v>-2173.2341318499998</v>
      </c>
      <c r="BL49" s="14">
        <v>135290.95383791</v>
      </c>
      <c r="BM49" s="14">
        <v>136485.12496971001</v>
      </c>
      <c r="BN49" s="18">
        <v>0</v>
      </c>
      <c r="BO49" s="19">
        <v>0</v>
      </c>
      <c r="BP49" s="49" t="s">
        <v>52</v>
      </c>
      <c r="BQ49" s="15">
        <v>24</v>
      </c>
      <c r="BR49" s="15">
        <v>539194</v>
      </c>
      <c r="BS49" s="14">
        <v>6049.2509700999999</v>
      </c>
      <c r="BT49" s="14">
        <v>3279.73606268</v>
      </c>
      <c r="BU49" s="14">
        <v>2769.5149074199999</v>
      </c>
      <c r="BV49" s="14">
        <v>139124.76402025</v>
      </c>
      <c r="BW49" s="14">
        <v>137918.11517653</v>
      </c>
      <c r="BX49" s="18">
        <v>0</v>
      </c>
      <c r="BY49" s="19">
        <v>0</v>
      </c>
      <c r="BZ49" s="49" t="s">
        <v>52</v>
      </c>
      <c r="CA49" s="15">
        <v>24</v>
      </c>
      <c r="CB49" s="15">
        <v>553771</v>
      </c>
      <c r="CC49" s="14">
        <v>4756.0799820399998</v>
      </c>
      <c r="CD49" s="14">
        <v>2650.4557781200001</v>
      </c>
      <c r="CE49" s="14">
        <v>2105.6242039200001</v>
      </c>
      <c r="CF49" s="14">
        <v>142040.83594222</v>
      </c>
      <c r="CG49" s="14">
        <v>140524.53614991999</v>
      </c>
      <c r="CH49" s="18">
        <v>0</v>
      </c>
      <c r="CI49" s="14">
        <v>0</v>
      </c>
      <c r="CJ49" s="49" t="s">
        <v>52</v>
      </c>
      <c r="CK49" s="15">
        <v>24</v>
      </c>
      <c r="CL49" s="15">
        <v>561636</v>
      </c>
      <c r="CM49" s="14">
        <v>3648.42312541001</v>
      </c>
      <c r="CN49" s="14">
        <v>9338.0294120599992</v>
      </c>
      <c r="CO49" s="14">
        <v>-5689.6062866499897</v>
      </c>
      <c r="CP49" s="112">
        <v>136600.71419992999</v>
      </c>
      <c r="CQ49" s="14">
        <v>140221.97763986001</v>
      </c>
      <c r="CR49" s="15">
        <v>0</v>
      </c>
      <c r="CS49" s="14">
        <v>0</v>
      </c>
      <c r="CT49" s="2" t="s">
        <v>52</v>
      </c>
      <c r="CU49" s="87">
        <v>25</v>
      </c>
      <c r="CV49" s="87">
        <v>563688</v>
      </c>
      <c r="CW49" s="88">
        <v>5931.16454951999</v>
      </c>
      <c r="CX49" s="88">
        <v>8819.7131801800006</v>
      </c>
      <c r="CY49" s="88">
        <v>-2888.5486306600101</v>
      </c>
      <c r="CZ49" s="111">
        <v>133810.20838890001</v>
      </c>
      <c r="DA49" s="88">
        <v>136139.32127963001</v>
      </c>
      <c r="DB49" s="87">
        <v>0</v>
      </c>
      <c r="DC49" s="88">
        <v>0</v>
      </c>
      <c r="DD49" s="2" t="s">
        <v>52</v>
      </c>
      <c r="DE49" s="171">
        <f t="shared" si="16"/>
        <v>74015.231288709998</v>
      </c>
      <c r="DF49" s="165">
        <f t="shared" si="17"/>
        <v>13348.091461229997</v>
      </c>
      <c r="DG49" s="2" t="s">
        <v>52</v>
      </c>
      <c r="DH49" s="172">
        <f t="shared" si="25"/>
        <v>0.6256789154227953</v>
      </c>
      <c r="DI49" s="166">
        <f t="shared" si="24"/>
        <v>-0.49231133313430508</v>
      </c>
      <c r="DJ49" s="158">
        <f t="shared" si="23"/>
        <v>-2.0428193420319738E-2</v>
      </c>
      <c r="DK49" s="155">
        <v>25</v>
      </c>
      <c r="DL49" s="155">
        <v>569039</v>
      </c>
      <c r="DM49" s="155">
        <v>2456.4586227700102</v>
      </c>
      <c r="DN49" s="155">
        <v>4373.2681722899997</v>
      </c>
      <c r="DO49" s="155">
        <v>-1916.80954952</v>
      </c>
      <c r="DP49" s="155">
        <v>133399.04416861999</v>
      </c>
      <c r="DQ49" s="155">
        <v>133295.51742003</v>
      </c>
      <c r="DR49" s="155">
        <v>0</v>
      </c>
      <c r="DS49" s="155">
        <v>0</v>
      </c>
      <c r="DT49" s="2" t="s">
        <v>52</v>
      </c>
      <c r="DU49" s="171">
        <f t="shared" si="18"/>
        <v>76471.689911480004</v>
      </c>
      <c r="DV49" s="165">
        <f t="shared" si="19"/>
        <v>11431.281911709997</v>
      </c>
      <c r="DW49" s="2" t="s">
        <v>52</v>
      </c>
      <c r="DX49" s="174">
        <f t="shared" si="20"/>
        <v>-0.58583873331101366</v>
      </c>
      <c r="DY49" s="169">
        <f t="shared" si="21"/>
        <v>-0.33641084343384431</v>
      </c>
      <c r="DZ49" s="158">
        <f t="shared" si="22"/>
        <v>-3.0727417977335831E-3</v>
      </c>
      <c r="EA49" s="2" t="s">
        <v>52</v>
      </c>
      <c r="EB49" s="155">
        <v>25</v>
      </c>
      <c r="EC49" s="155">
        <v>567436</v>
      </c>
      <c r="ED49" s="155">
        <v>13663.23436891</v>
      </c>
      <c r="EE49" s="155">
        <v>35856.735360029998</v>
      </c>
      <c r="EF49" s="155">
        <v>-22193.50099112</v>
      </c>
      <c r="EG49" s="155">
        <v>110851.24663584</v>
      </c>
      <c r="EH49" s="155">
        <v>123966.82131139</v>
      </c>
      <c r="EI49" s="155">
        <v>0</v>
      </c>
      <c r="EJ49" s="155">
        <v>0</v>
      </c>
      <c r="EK49" s="2" t="s">
        <v>52</v>
      </c>
      <c r="EL49" s="171">
        <f t="shared" si="10"/>
        <v>90134.924280389998</v>
      </c>
      <c r="EM49" s="165">
        <f t="shared" si="11"/>
        <v>-10762.219079410002</v>
      </c>
      <c r="EN49" s="2" t="s">
        <v>52</v>
      </c>
      <c r="EO49" s="174">
        <f t="shared" si="12"/>
        <v>4.5621675212679698</v>
      </c>
      <c r="EP49" s="169">
        <f t="shared" si="13"/>
        <v>10.578354770132281</v>
      </c>
      <c r="EQ49" s="158">
        <f t="shared" si="14"/>
        <v>-0.16902518060233601</v>
      </c>
    </row>
    <row r="50" spans="1:147" ht="13" x14ac:dyDescent="0.5">
      <c r="A50" s="16" t="s">
        <v>11</v>
      </c>
      <c r="B50" s="16" t="s">
        <v>24</v>
      </c>
      <c r="C50" s="16" t="s">
        <v>131</v>
      </c>
      <c r="D50" s="16" t="s">
        <v>6</v>
      </c>
      <c r="E50" s="16" t="s">
        <v>7</v>
      </c>
      <c r="F50" s="177">
        <v>175800.18152362999</v>
      </c>
      <c r="G50" s="177">
        <v>172372.73506713001</v>
      </c>
      <c r="H50" s="49" t="s">
        <v>52</v>
      </c>
      <c r="I50" s="15">
        <v>21</v>
      </c>
      <c r="J50" s="15">
        <v>534052</v>
      </c>
      <c r="K50" s="14">
        <v>12529.9635385</v>
      </c>
      <c r="L50" s="14">
        <v>9071.5467191900007</v>
      </c>
      <c r="M50" s="14">
        <v>3458.4168193099999</v>
      </c>
      <c r="N50" s="14">
        <v>181953.76370176999</v>
      </c>
      <c r="O50" s="14">
        <v>181608.56058096999</v>
      </c>
      <c r="P50" s="15">
        <v>0</v>
      </c>
      <c r="Q50" s="14">
        <v>0</v>
      </c>
      <c r="R50" s="49" t="s">
        <v>52</v>
      </c>
      <c r="S50" s="15">
        <v>21</v>
      </c>
      <c r="T50" s="15">
        <v>541227</v>
      </c>
      <c r="U50" s="14">
        <v>15313.76702472</v>
      </c>
      <c r="V50" s="14">
        <v>3330.4126045799999</v>
      </c>
      <c r="W50" s="14">
        <v>11983.35442014</v>
      </c>
      <c r="X50" s="14">
        <v>195987.38581591001</v>
      </c>
      <c r="Y50" s="14">
        <v>188971.46605394999</v>
      </c>
      <c r="Z50" s="15">
        <v>0</v>
      </c>
      <c r="AA50" s="14">
        <v>0</v>
      </c>
      <c r="AB50" s="49" t="s">
        <v>52</v>
      </c>
      <c r="AC50" s="15">
        <v>21</v>
      </c>
      <c r="AD50" s="15">
        <v>546232</v>
      </c>
      <c r="AE50" s="14">
        <v>13196.208925159999</v>
      </c>
      <c r="AF50" s="14">
        <v>6071.7272870699999</v>
      </c>
      <c r="AG50" s="14">
        <v>7124.4816380900002</v>
      </c>
      <c r="AH50" s="14">
        <v>203199.04055810999</v>
      </c>
      <c r="AI50" s="14">
        <v>201197.78849591</v>
      </c>
      <c r="AJ50" s="15">
        <v>0</v>
      </c>
      <c r="AK50" s="14">
        <v>0</v>
      </c>
      <c r="AL50" s="49" t="s">
        <v>52</v>
      </c>
      <c r="AM50" s="15">
        <v>21</v>
      </c>
      <c r="AN50" s="15">
        <v>560211</v>
      </c>
      <c r="AO50" s="14">
        <v>8478.3696819899997</v>
      </c>
      <c r="AP50" s="14">
        <v>7056.8026877900002</v>
      </c>
      <c r="AQ50" s="14">
        <v>1421.5669942</v>
      </c>
      <c r="AR50" s="14">
        <v>205891.35673838999</v>
      </c>
      <c r="AS50" s="14">
        <v>205113.73942273</v>
      </c>
      <c r="AT50" s="15">
        <v>0</v>
      </c>
      <c r="AU50" s="14">
        <v>0</v>
      </c>
      <c r="AV50" s="49" t="s">
        <v>52</v>
      </c>
      <c r="AW50" s="15">
        <v>21</v>
      </c>
      <c r="AX50" s="15">
        <v>565827</v>
      </c>
      <c r="AY50" s="14">
        <v>4102.5744514999997</v>
      </c>
      <c r="AZ50" s="14">
        <v>4927.5728550599997</v>
      </c>
      <c r="BA50" s="14">
        <v>-824.99840355999595</v>
      </c>
      <c r="BB50" s="14">
        <v>204712.23180295</v>
      </c>
      <c r="BC50" s="14">
        <v>205196.62008399999</v>
      </c>
      <c r="BD50" s="15">
        <v>0</v>
      </c>
      <c r="BE50" s="14">
        <v>0</v>
      </c>
      <c r="BF50" s="49" t="s">
        <v>52</v>
      </c>
      <c r="BG50" s="15">
        <v>21</v>
      </c>
      <c r="BH50" s="15">
        <v>567992</v>
      </c>
      <c r="BI50" s="14">
        <v>5884.5804170299998</v>
      </c>
      <c r="BJ50" s="14">
        <v>7328.1879842799999</v>
      </c>
      <c r="BK50" s="14">
        <v>-1443.6075672500001</v>
      </c>
      <c r="BL50" s="14">
        <v>204656.55086479001</v>
      </c>
      <c r="BM50" s="14">
        <v>204969.01838108001</v>
      </c>
      <c r="BN50" s="18">
        <v>0</v>
      </c>
      <c r="BO50" s="19">
        <v>0</v>
      </c>
      <c r="BP50" s="49" t="s">
        <v>52</v>
      </c>
      <c r="BQ50" s="15">
        <v>21</v>
      </c>
      <c r="BR50" s="15">
        <v>573717</v>
      </c>
      <c r="BS50" s="14">
        <v>9118.1465731200005</v>
      </c>
      <c r="BT50" s="14">
        <v>3996.2351528999998</v>
      </c>
      <c r="BU50" s="14">
        <v>5121.9114202199999</v>
      </c>
      <c r="BV50" s="14">
        <v>211442.32500573999</v>
      </c>
      <c r="BW50" s="14">
        <v>208944.82320764</v>
      </c>
      <c r="BX50" s="18">
        <v>0</v>
      </c>
      <c r="BY50" s="19">
        <v>0</v>
      </c>
      <c r="BZ50" s="49" t="s">
        <v>52</v>
      </c>
      <c r="CA50" s="15">
        <v>21</v>
      </c>
      <c r="CB50" s="15">
        <v>579465</v>
      </c>
      <c r="CC50" s="14">
        <v>4128.7231194100004</v>
      </c>
      <c r="CD50" s="14">
        <v>2603.5813222300098</v>
      </c>
      <c r="CE50" s="14">
        <v>1525.1417971799999</v>
      </c>
      <c r="CF50" s="14">
        <v>214156.40079623999</v>
      </c>
      <c r="CG50" s="14">
        <v>212838.71248725001</v>
      </c>
      <c r="CH50" s="18">
        <v>0</v>
      </c>
      <c r="CI50" s="14">
        <v>0</v>
      </c>
      <c r="CJ50" s="49" t="s">
        <v>52</v>
      </c>
      <c r="CK50" s="15">
        <v>21</v>
      </c>
      <c r="CL50" s="15">
        <v>580979</v>
      </c>
      <c r="CM50" s="14">
        <v>3723.5861167200101</v>
      </c>
      <c r="CN50" s="14">
        <v>11143.09127583</v>
      </c>
      <c r="CO50" s="14">
        <v>-7419.50515910999</v>
      </c>
      <c r="CP50" s="14">
        <v>207005.94555655</v>
      </c>
      <c r="CQ50" s="14">
        <v>209245.39989184</v>
      </c>
      <c r="CR50" s="15">
        <v>0</v>
      </c>
      <c r="CS50" s="14">
        <v>0</v>
      </c>
      <c r="CT50" s="2" t="s">
        <v>52</v>
      </c>
      <c r="CU50" s="87">
        <v>21</v>
      </c>
      <c r="CV50" s="87">
        <v>577039</v>
      </c>
      <c r="CW50" s="88">
        <v>1626.5983518799901</v>
      </c>
      <c r="CX50" s="88">
        <v>13099.389996559999</v>
      </c>
      <c r="CY50" s="88">
        <v>-11472.791644680001</v>
      </c>
      <c r="CZ50" s="88">
        <v>195400.06888728001</v>
      </c>
      <c r="DA50" s="88">
        <v>201314.95437845</v>
      </c>
      <c r="DB50" s="87">
        <v>0</v>
      </c>
      <c r="DC50" s="88">
        <v>0</v>
      </c>
      <c r="DD50" s="2" t="s">
        <v>52</v>
      </c>
      <c r="DE50" s="171">
        <f t="shared" si="16"/>
        <v>78102.518200029997</v>
      </c>
      <c r="DF50" s="165">
        <f t="shared" si="17"/>
        <v>9473.970314540009</v>
      </c>
      <c r="DG50" s="2" t="s">
        <v>52</v>
      </c>
      <c r="DH50" s="172">
        <f t="shared" si="25"/>
        <v>-0.56316349323140946</v>
      </c>
      <c r="DI50" s="166">
        <f t="shared" si="24"/>
        <v>0.5463014579339176</v>
      </c>
      <c r="DJ50" s="158">
        <f t="shared" si="23"/>
        <v>-5.6065426710652073E-2</v>
      </c>
      <c r="DK50" s="155">
        <v>21</v>
      </c>
      <c r="DL50" s="155">
        <v>573786</v>
      </c>
      <c r="DM50" s="155">
        <v>1673.77810187</v>
      </c>
      <c r="DN50" s="155">
        <v>3975.9205126300099</v>
      </c>
      <c r="DO50" s="155">
        <v>-2302.1424107600001</v>
      </c>
      <c r="DP50" s="155">
        <v>194780.95596255001</v>
      </c>
      <c r="DQ50" s="155">
        <v>194992.93282183999</v>
      </c>
      <c r="DR50" s="155">
        <v>0</v>
      </c>
      <c r="DS50" s="155">
        <v>0</v>
      </c>
      <c r="DT50" s="2" t="s">
        <v>52</v>
      </c>
      <c r="DU50" s="171">
        <f t="shared" si="18"/>
        <v>79776.296301900002</v>
      </c>
      <c r="DV50" s="165">
        <f t="shared" si="19"/>
        <v>7171.8279037800094</v>
      </c>
      <c r="DW50" s="2" t="s">
        <v>52</v>
      </c>
      <c r="DX50" s="174">
        <f t="shared" si="20"/>
        <v>2.900516278986787E-2</v>
      </c>
      <c r="DY50" s="169">
        <f t="shared" si="21"/>
        <v>-0.79933895061822058</v>
      </c>
      <c r="DZ50" s="158">
        <f t="shared" si="22"/>
        <v>-3.1684375970570614E-3</v>
      </c>
      <c r="EA50" s="2" t="s">
        <v>52</v>
      </c>
      <c r="EB50" s="155">
        <v>21</v>
      </c>
      <c r="EC50" s="155">
        <v>573401</v>
      </c>
      <c r="ED50" s="155">
        <v>8680.9529765899897</v>
      </c>
      <c r="EE50" s="155">
        <v>23973.539361110001</v>
      </c>
      <c r="EF50" s="155">
        <v>-15292.58638452</v>
      </c>
      <c r="EG50" s="155">
        <v>178430.60697247001</v>
      </c>
      <c r="EH50" s="155">
        <v>186940.84361134999</v>
      </c>
      <c r="EI50" s="155">
        <v>0</v>
      </c>
      <c r="EJ50" s="155">
        <v>0</v>
      </c>
      <c r="EK50" s="2" t="s">
        <v>52</v>
      </c>
      <c r="EL50" s="171">
        <f t="shared" si="10"/>
        <v>88457.249278489995</v>
      </c>
      <c r="EM50" s="165">
        <f t="shared" si="11"/>
        <v>-8120.7584807399908</v>
      </c>
      <c r="EN50" s="2" t="s">
        <v>52</v>
      </c>
      <c r="EO50" s="174">
        <f>(ED50-DM50)/DM50</f>
        <v>4.1864419584001871</v>
      </c>
      <c r="EP50" s="169">
        <f t="shared" si="13"/>
        <v>5.6427629815791889</v>
      </c>
      <c r="EQ50" s="158">
        <f t="shared" si="14"/>
        <v>-8.3942236084022709E-2</v>
      </c>
    </row>
    <row r="51" spans="1:147" ht="13" x14ac:dyDescent="0.5">
      <c r="A51" s="16" t="s">
        <v>42</v>
      </c>
      <c r="B51" s="16" t="s">
        <v>24</v>
      </c>
      <c r="C51" s="16" t="s">
        <v>131</v>
      </c>
      <c r="D51" s="16" t="s">
        <v>6</v>
      </c>
      <c r="E51" s="16" t="s">
        <v>7</v>
      </c>
      <c r="F51" s="177">
        <v>98541.793920590004</v>
      </c>
      <c r="G51" s="177">
        <v>103614.95456268</v>
      </c>
      <c r="H51" s="49" t="s">
        <v>52</v>
      </c>
      <c r="I51" s="15">
        <v>25</v>
      </c>
      <c r="J51" s="15">
        <v>672543</v>
      </c>
      <c r="K51" s="14">
        <v>41099.83000011</v>
      </c>
      <c r="L51" s="14">
        <v>14366.021699340001</v>
      </c>
      <c r="M51" s="14">
        <v>26733.808300770001</v>
      </c>
      <c r="N51" s="14">
        <v>126436.7044589</v>
      </c>
      <c r="O51" s="14">
        <v>114947.48547227999</v>
      </c>
      <c r="P51" s="15">
        <v>0</v>
      </c>
      <c r="Q51" s="14">
        <v>0</v>
      </c>
      <c r="R51" s="49" t="s">
        <v>52</v>
      </c>
      <c r="S51" s="15">
        <v>25</v>
      </c>
      <c r="T51" s="15">
        <v>695720</v>
      </c>
      <c r="U51" s="14">
        <v>20775.121818</v>
      </c>
      <c r="V51" s="14">
        <v>18927.547476399999</v>
      </c>
      <c r="W51" s="14">
        <v>1847.5743416</v>
      </c>
      <c r="X51" s="14">
        <v>129109.99864275999</v>
      </c>
      <c r="Y51" s="14">
        <v>128267.06667956999</v>
      </c>
      <c r="Z51" s="15">
        <v>0</v>
      </c>
      <c r="AA51" s="14">
        <v>0</v>
      </c>
      <c r="AB51" s="49" t="s">
        <v>52</v>
      </c>
      <c r="AC51" s="15">
        <v>25</v>
      </c>
      <c r="AD51" s="15">
        <v>718333</v>
      </c>
      <c r="AE51" s="14">
        <v>31480.342060520001</v>
      </c>
      <c r="AF51" s="14">
        <v>28536.581002940002</v>
      </c>
      <c r="AG51" s="14">
        <v>2943.7610575799899</v>
      </c>
      <c r="AH51" s="14">
        <v>132827.31502891</v>
      </c>
      <c r="AI51" s="14">
        <v>130140.43332136</v>
      </c>
      <c r="AJ51" s="15">
        <v>0</v>
      </c>
      <c r="AK51" s="14">
        <v>0</v>
      </c>
      <c r="AL51" s="49" t="s">
        <v>52</v>
      </c>
      <c r="AM51" s="15">
        <v>25</v>
      </c>
      <c r="AN51" s="15">
        <v>724730</v>
      </c>
      <c r="AO51" s="14">
        <v>35894.96291432</v>
      </c>
      <c r="AP51" s="14">
        <v>33618.338485029999</v>
      </c>
      <c r="AQ51" s="14">
        <v>2276.6244292900001</v>
      </c>
      <c r="AR51" s="14">
        <v>135868.21758363</v>
      </c>
      <c r="AS51" s="14">
        <v>135111.63352102</v>
      </c>
      <c r="AT51" s="15">
        <v>0</v>
      </c>
      <c r="AU51" s="14">
        <v>0</v>
      </c>
      <c r="AV51" s="49" t="s">
        <v>52</v>
      </c>
      <c r="AW51" s="15">
        <v>25</v>
      </c>
      <c r="AX51" s="15">
        <v>732657</v>
      </c>
      <c r="AY51" s="14">
        <v>22318.352463669999</v>
      </c>
      <c r="AZ51" s="14">
        <v>21944.829326129999</v>
      </c>
      <c r="BA51" s="14">
        <v>373.52313754000397</v>
      </c>
      <c r="BB51" s="14">
        <v>136833.53667691999</v>
      </c>
      <c r="BC51" s="14">
        <v>136704.26724756</v>
      </c>
      <c r="BD51" s="15">
        <v>0</v>
      </c>
      <c r="BE51" s="14">
        <v>0</v>
      </c>
      <c r="BF51" s="49" t="s">
        <v>52</v>
      </c>
      <c r="BG51" s="15">
        <v>25</v>
      </c>
      <c r="BH51" s="15">
        <v>735253</v>
      </c>
      <c r="BI51" s="14">
        <v>22792.097113560001</v>
      </c>
      <c r="BJ51" s="14">
        <v>36397.75862624</v>
      </c>
      <c r="BK51" s="14">
        <v>-13605.661512680001</v>
      </c>
      <c r="BL51" s="14">
        <v>123935.95614186001</v>
      </c>
      <c r="BM51" s="14">
        <v>133900.20358604999</v>
      </c>
      <c r="BN51" s="18">
        <v>0</v>
      </c>
      <c r="BO51" s="19">
        <v>0</v>
      </c>
      <c r="BP51" s="49" t="s">
        <v>52</v>
      </c>
      <c r="BQ51" s="15">
        <v>25</v>
      </c>
      <c r="BR51" s="15">
        <v>744239</v>
      </c>
      <c r="BS51" s="14">
        <v>37282.72590895</v>
      </c>
      <c r="BT51" s="14">
        <v>22216.089070800001</v>
      </c>
      <c r="BU51" s="14">
        <v>15066.63683815</v>
      </c>
      <c r="BV51" s="14">
        <v>139715.14575925001</v>
      </c>
      <c r="BW51" s="14">
        <v>134716.34386194</v>
      </c>
      <c r="BX51" s="18">
        <v>0</v>
      </c>
      <c r="BY51" s="19">
        <v>0</v>
      </c>
      <c r="BZ51" s="49" t="s">
        <v>52</v>
      </c>
      <c r="CA51" s="15">
        <v>25</v>
      </c>
      <c r="CB51" s="15">
        <v>763342</v>
      </c>
      <c r="CC51" s="14">
        <v>30363.097172270001</v>
      </c>
      <c r="CD51" s="14">
        <v>22002.187672190001</v>
      </c>
      <c r="CE51" s="14">
        <v>8360.9095000800207</v>
      </c>
      <c r="CF51" s="14">
        <v>148782.98307931999</v>
      </c>
      <c r="CG51" s="14">
        <v>143671.9780919</v>
      </c>
      <c r="CH51" s="18">
        <v>0</v>
      </c>
      <c r="CI51" s="14">
        <v>0</v>
      </c>
      <c r="CJ51" s="49" t="s">
        <v>52</v>
      </c>
      <c r="CK51" s="15">
        <v>25</v>
      </c>
      <c r="CL51" s="15">
        <v>766379</v>
      </c>
      <c r="CM51" s="14">
        <v>24881.026387540001</v>
      </c>
      <c r="CN51" s="14">
        <v>42529.181591070002</v>
      </c>
      <c r="CO51" s="103">
        <v>-17648.155203530001</v>
      </c>
      <c r="CP51" s="14">
        <v>131827.25616552</v>
      </c>
      <c r="CQ51" s="14">
        <v>146522.95734219</v>
      </c>
      <c r="CR51" s="15">
        <v>0</v>
      </c>
      <c r="CS51" s="14">
        <v>0</v>
      </c>
      <c r="CT51" s="2" t="s">
        <v>52</v>
      </c>
      <c r="CU51" s="87">
        <v>25</v>
      </c>
      <c r="CV51" s="87">
        <v>768654</v>
      </c>
      <c r="CW51" s="88">
        <v>29442.04454707</v>
      </c>
      <c r="CX51" s="88">
        <v>29186.675889120001</v>
      </c>
      <c r="CY51" s="104">
        <v>255.36865794996299</v>
      </c>
      <c r="CZ51" s="88">
        <v>132482.34510576</v>
      </c>
      <c r="DA51" s="88">
        <v>136859.04170286999</v>
      </c>
      <c r="DB51" s="87">
        <v>0</v>
      </c>
      <c r="DC51" s="88">
        <v>0</v>
      </c>
      <c r="DD51" s="2" t="s">
        <v>52</v>
      </c>
      <c r="DE51" s="171">
        <f t="shared" si="16"/>
        <v>296329.60038601002</v>
      </c>
      <c r="DF51" s="165">
        <f t="shared" si="17"/>
        <v>26604.389546749979</v>
      </c>
      <c r="DG51" s="2" t="s">
        <v>52</v>
      </c>
      <c r="DH51" s="172">
        <f t="shared" si="25"/>
        <v>0.18331310326546976</v>
      </c>
      <c r="DI51" s="166">
        <f t="shared" si="24"/>
        <v>-1.0144699916226305</v>
      </c>
      <c r="DJ51" s="158">
        <f t="shared" si="23"/>
        <v>4.9692981504332306E-3</v>
      </c>
      <c r="DK51" s="155">
        <v>25</v>
      </c>
      <c r="DL51" s="155">
        <v>778455</v>
      </c>
      <c r="DM51" s="155">
        <v>20712.480797529999</v>
      </c>
      <c r="DN51" s="155">
        <v>25086.40842353</v>
      </c>
      <c r="DO51" s="155">
        <v>-4373.9276260000197</v>
      </c>
      <c r="DP51" s="155">
        <v>127759.88080884999</v>
      </c>
      <c r="DQ51" s="155">
        <v>130179.26957475999</v>
      </c>
      <c r="DR51" s="155">
        <v>0</v>
      </c>
      <c r="DS51" s="155">
        <v>0</v>
      </c>
      <c r="DT51" s="2" t="s">
        <v>52</v>
      </c>
      <c r="DU51" s="171">
        <f t="shared" si="18"/>
        <v>317042.08118353999</v>
      </c>
      <c r="DV51" s="165">
        <f t="shared" si="19"/>
        <v>22230.46192074996</v>
      </c>
      <c r="DW51" s="2" t="s">
        <v>52</v>
      </c>
      <c r="DX51" s="174">
        <f t="shared" si="20"/>
        <v>-0.29649991649132074</v>
      </c>
      <c r="DY51" s="169">
        <f t="shared" si="21"/>
        <v>-18.127895259789664</v>
      </c>
      <c r="DZ51" s="158">
        <f t="shared" si="22"/>
        <v>-3.5645989608200923E-2</v>
      </c>
      <c r="EA51" s="2" t="s">
        <v>52</v>
      </c>
      <c r="EB51" s="155">
        <v>25</v>
      </c>
      <c r="EC51" s="155">
        <v>777807</v>
      </c>
      <c r="ED51" s="155">
        <v>20523.246345169999</v>
      </c>
      <c r="EE51" s="155">
        <v>36610.500946729997</v>
      </c>
      <c r="EF51" s="155">
        <v>-16087.25460156</v>
      </c>
      <c r="EG51" s="155">
        <v>113339.57713626001</v>
      </c>
      <c r="EH51" s="155">
        <v>121687.24605050001</v>
      </c>
      <c r="EI51" s="155">
        <v>0</v>
      </c>
      <c r="EJ51" s="155">
        <v>0</v>
      </c>
      <c r="EK51" s="2" t="s">
        <v>52</v>
      </c>
      <c r="EL51" s="171">
        <f t="shared" si="10"/>
        <v>337565.32752871001</v>
      </c>
      <c r="EM51" s="165">
        <f t="shared" si="11"/>
        <v>6143.2073191899599</v>
      </c>
      <c r="EN51" s="2" t="s">
        <v>52</v>
      </c>
      <c r="EO51" s="174">
        <f>(ED51-DM51)/DM51</f>
        <v>-9.1362523982432362E-3</v>
      </c>
      <c r="EP51" s="169">
        <f t="shared" si="13"/>
        <v>2.6779882927033887</v>
      </c>
      <c r="EQ51" s="158">
        <f t="shared" si="14"/>
        <v>-0.11287035946883167</v>
      </c>
    </row>
    <row r="52" spans="1:147" ht="13" x14ac:dyDescent="0.5">
      <c r="A52" s="16" t="s">
        <v>37</v>
      </c>
      <c r="B52" s="16" t="s">
        <v>24</v>
      </c>
      <c r="C52" s="16" t="s">
        <v>131</v>
      </c>
      <c r="D52" s="16" t="s">
        <v>6</v>
      </c>
      <c r="E52" s="16" t="s">
        <v>29</v>
      </c>
      <c r="F52" s="177">
        <v>62458.42580651</v>
      </c>
      <c r="G52" s="177">
        <v>106086.49886455</v>
      </c>
      <c r="H52" s="49" t="s">
        <v>52</v>
      </c>
      <c r="I52" s="15">
        <v>35</v>
      </c>
      <c r="J52" s="15">
        <v>651034</v>
      </c>
      <c r="K52" s="14">
        <v>452346.87828470999</v>
      </c>
      <c r="L52" s="14">
        <v>428446.89943271998</v>
      </c>
      <c r="M52" s="14">
        <v>23899.978851989999</v>
      </c>
      <c r="N52" s="14">
        <v>86833.815596379995</v>
      </c>
      <c r="O52" s="14">
        <v>99610.678787130004</v>
      </c>
      <c r="P52" s="15">
        <v>0</v>
      </c>
      <c r="Q52" s="14">
        <v>0</v>
      </c>
      <c r="R52" s="49" t="s">
        <v>52</v>
      </c>
      <c r="S52" s="15">
        <v>35</v>
      </c>
      <c r="T52" s="15">
        <v>659424</v>
      </c>
      <c r="U52" s="14">
        <v>452387.85098329</v>
      </c>
      <c r="V52" s="14">
        <v>460507.88064892002</v>
      </c>
      <c r="W52" s="14">
        <v>-8120.0296656300197</v>
      </c>
      <c r="X52" s="14">
        <v>79184.256122399995</v>
      </c>
      <c r="Y52" s="14">
        <v>97396.639526929997</v>
      </c>
      <c r="Z52" s="15">
        <v>0</v>
      </c>
      <c r="AA52" s="14">
        <v>0</v>
      </c>
      <c r="AB52" s="49" t="s">
        <v>52</v>
      </c>
      <c r="AC52" s="15">
        <v>35</v>
      </c>
      <c r="AD52" s="15">
        <v>663083</v>
      </c>
      <c r="AE52" s="14">
        <v>569989.96423607005</v>
      </c>
      <c r="AF52" s="14">
        <v>578144.45800097997</v>
      </c>
      <c r="AG52" s="14">
        <v>-8154.4937649101503</v>
      </c>
      <c r="AH52" s="14">
        <v>71480.929780370003</v>
      </c>
      <c r="AI52" s="14">
        <v>104237.28277392</v>
      </c>
      <c r="AJ52" s="15">
        <v>0</v>
      </c>
      <c r="AK52" s="14">
        <v>0</v>
      </c>
      <c r="AL52" s="49" t="s">
        <v>52</v>
      </c>
      <c r="AM52" s="15">
        <v>37</v>
      </c>
      <c r="AN52" s="15">
        <v>706888</v>
      </c>
      <c r="AO52" s="14">
        <v>602367.86494319001</v>
      </c>
      <c r="AP52" s="14">
        <v>593502.26741673006</v>
      </c>
      <c r="AQ52" s="14">
        <v>8865.5975264601893</v>
      </c>
      <c r="AR52" s="14">
        <v>80835.239826039993</v>
      </c>
      <c r="AS52" s="14">
        <v>108422.78047143</v>
      </c>
      <c r="AT52" s="15">
        <v>0</v>
      </c>
      <c r="AU52" s="14">
        <v>0</v>
      </c>
      <c r="AV52" s="49" t="s">
        <v>52</v>
      </c>
      <c r="AW52" s="15">
        <v>37</v>
      </c>
      <c r="AX52" s="15">
        <v>716620</v>
      </c>
      <c r="AY52" s="14">
        <v>514292.57849879999</v>
      </c>
      <c r="AZ52" s="14">
        <v>509341.73620695999</v>
      </c>
      <c r="BA52" s="14">
        <v>4950.8422918403503</v>
      </c>
      <c r="BB52" s="14">
        <v>86296.880292260001</v>
      </c>
      <c r="BC52" s="14">
        <v>113153.73656351</v>
      </c>
      <c r="BD52" s="15">
        <v>0</v>
      </c>
      <c r="BE52" s="14">
        <v>0</v>
      </c>
      <c r="BF52" s="49" t="s">
        <v>52</v>
      </c>
      <c r="BG52" s="15">
        <v>37</v>
      </c>
      <c r="BH52" s="15">
        <v>714717</v>
      </c>
      <c r="BI52" s="14">
        <v>622708.80279544997</v>
      </c>
      <c r="BJ52" s="14">
        <v>618429.80339505</v>
      </c>
      <c r="BK52" s="14">
        <v>4278.9994003996298</v>
      </c>
      <c r="BL52" s="14">
        <v>91096.033763359999</v>
      </c>
      <c r="BM52" s="14">
        <v>117432.17587027</v>
      </c>
      <c r="BN52" s="18">
        <v>0</v>
      </c>
      <c r="BO52" s="19">
        <v>0</v>
      </c>
      <c r="BP52" s="49" t="s">
        <v>52</v>
      </c>
      <c r="BQ52" s="15">
        <v>37</v>
      </c>
      <c r="BR52" s="15">
        <v>717799</v>
      </c>
      <c r="BS52" s="14">
        <v>540213.20016898005</v>
      </c>
      <c r="BT52" s="14">
        <v>516162.62973972003</v>
      </c>
      <c r="BU52" s="14">
        <v>24050.5704292599</v>
      </c>
      <c r="BV52" s="14">
        <v>115714.41874918</v>
      </c>
      <c r="BW52" s="14">
        <v>124242.74008349</v>
      </c>
      <c r="BX52" s="18">
        <v>0</v>
      </c>
      <c r="BY52" s="19">
        <v>0</v>
      </c>
      <c r="BZ52" s="49" t="s">
        <v>52</v>
      </c>
      <c r="CA52" s="15">
        <v>37</v>
      </c>
      <c r="CB52" s="15">
        <v>718743</v>
      </c>
      <c r="CC52" s="14">
        <v>490785.80569493998</v>
      </c>
      <c r="CD52" s="14">
        <v>528410.33219356998</v>
      </c>
      <c r="CE52" s="14">
        <v>-37624.526498630199</v>
      </c>
      <c r="CF52" s="14">
        <v>78584.320667049993</v>
      </c>
      <c r="CG52" s="14">
        <v>113503.26993687</v>
      </c>
      <c r="CH52" s="18">
        <v>0</v>
      </c>
      <c r="CI52" s="14">
        <v>0</v>
      </c>
      <c r="CJ52" s="49" t="s">
        <v>52</v>
      </c>
      <c r="CK52" s="15">
        <v>37</v>
      </c>
      <c r="CL52" s="15">
        <v>728222</v>
      </c>
      <c r="CM52" s="14">
        <v>699780.55665508995</v>
      </c>
      <c r="CN52" s="14">
        <v>699526.30653444002</v>
      </c>
      <c r="CO52" s="103">
        <v>254.250120650046</v>
      </c>
      <c r="CP52" s="14">
        <v>79367.825127570002</v>
      </c>
      <c r="CQ52" s="14">
        <v>117317.69078183</v>
      </c>
      <c r="CR52" s="15">
        <v>0</v>
      </c>
      <c r="CS52" s="14">
        <v>0</v>
      </c>
      <c r="CT52" s="2" t="s">
        <v>52</v>
      </c>
      <c r="CU52" s="87">
        <v>37</v>
      </c>
      <c r="CV52" s="87">
        <v>734569</v>
      </c>
      <c r="CW52" s="88">
        <v>657098.13697124994</v>
      </c>
      <c r="CX52" s="88">
        <v>610818.08783476998</v>
      </c>
      <c r="CY52" s="104">
        <v>46280.049136480302</v>
      </c>
      <c r="CZ52" s="88">
        <v>126200.24577556</v>
      </c>
      <c r="DA52" s="88">
        <v>125565.39536273001</v>
      </c>
      <c r="DB52" s="87">
        <v>0</v>
      </c>
      <c r="DC52" s="88">
        <v>0</v>
      </c>
      <c r="DD52" s="2" t="s">
        <v>52</v>
      </c>
      <c r="DE52" s="171">
        <f t="shared" si="16"/>
        <v>5601971.6392317703</v>
      </c>
      <c r="DF52" s="165">
        <f t="shared" si="17"/>
        <v>58681.237827910045</v>
      </c>
      <c r="DG52" s="2" t="s">
        <v>52</v>
      </c>
      <c r="DH52" s="172">
        <f t="shared" si="25"/>
        <v>-6.0994006303718235E-2</v>
      </c>
      <c r="DI52" s="166">
        <f t="shared" si="24"/>
        <v>181.02567227167972</v>
      </c>
      <c r="DJ52" s="158">
        <f t="shared" si="23"/>
        <v>0.59006808581078052</v>
      </c>
      <c r="DK52" s="155">
        <v>37</v>
      </c>
      <c r="DL52" s="155">
        <v>739107</v>
      </c>
      <c r="DM52" s="155">
        <v>620852.89341490006</v>
      </c>
      <c r="DN52" s="155">
        <v>634859.10032515996</v>
      </c>
      <c r="DO52" s="155">
        <v>-14006.20691026</v>
      </c>
      <c r="DP52" s="155">
        <v>112665.89510124001</v>
      </c>
      <c r="DQ52" s="155">
        <v>129717.2656173</v>
      </c>
      <c r="DR52" s="155">
        <v>0</v>
      </c>
      <c r="DS52" s="155">
        <v>0</v>
      </c>
      <c r="DT52" s="2" t="s">
        <v>52</v>
      </c>
      <c r="DU52" s="171">
        <f t="shared" si="18"/>
        <v>6222824.53264667</v>
      </c>
      <c r="DV52" s="165">
        <f t="shared" si="19"/>
        <v>44675.030917650045</v>
      </c>
      <c r="DW52" s="2" t="s">
        <v>52</v>
      </c>
      <c r="DX52" s="174">
        <f t="shared" si="20"/>
        <v>-5.5159559154153756E-2</v>
      </c>
      <c r="DY52" s="169">
        <f t="shared" si="21"/>
        <v>-1.3026402774326269</v>
      </c>
      <c r="DZ52" s="158">
        <f t="shared" si="22"/>
        <v>-0.10724504212448266</v>
      </c>
      <c r="EA52" s="2" t="s">
        <v>52</v>
      </c>
      <c r="EB52" s="155">
        <v>37</v>
      </c>
      <c r="EC52" s="155">
        <v>744346</v>
      </c>
      <c r="ED52" s="155">
        <v>764530.50141539995</v>
      </c>
      <c r="EE52" s="155">
        <v>804758.40072508005</v>
      </c>
      <c r="EF52" s="155">
        <v>-40227.899309679902</v>
      </c>
      <c r="EG52" s="155">
        <v>73020.692625740005</v>
      </c>
      <c r="EH52" s="155">
        <v>132873.15526105999</v>
      </c>
      <c r="EI52" s="155">
        <v>0</v>
      </c>
      <c r="EJ52" s="155">
        <v>0</v>
      </c>
      <c r="EK52" s="2" t="s">
        <v>52</v>
      </c>
      <c r="EL52" s="171">
        <f t="shared" si="10"/>
        <v>6987355.0340620698</v>
      </c>
      <c r="EM52" s="165">
        <f t="shared" si="11"/>
        <v>4447.1316079701428</v>
      </c>
      <c r="EN52" s="2" t="s">
        <v>52</v>
      </c>
      <c r="EO52" s="174">
        <f t="shared" ref="EO52" si="26">(ED52-DM52)/DM52</f>
        <v>0.2314197284484327</v>
      </c>
      <c r="EP52" s="169">
        <f t="shared" si="13"/>
        <v>1.8721480103375929</v>
      </c>
      <c r="EQ52" s="158">
        <f t="shared" si="14"/>
        <v>-0.35188290511405756</v>
      </c>
    </row>
    <row r="53" spans="1:147" ht="13" x14ac:dyDescent="0.5">
      <c r="A53" s="16"/>
      <c r="B53" s="16"/>
      <c r="C53" s="16"/>
      <c r="D53" s="16"/>
      <c r="E53" s="16"/>
      <c r="F53" s="178"/>
      <c r="G53" s="178"/>
      <c r="H53" s="49"/>
      <c r="I53" s="15"/>
      <c r="J53" s="15"/>
      <c r="K53" s="14"/>
      <c r="L53" s="14"/>
      <c r="M53" s="14"/>
      <c r="N53" s="14"/>
      <c r="O53" s="14"/>
      <c r="P53" s="15"/>
      <c r="Q53" s="14"/>
      <c r="R53" s="49"/>
      <c r="S53" s="15"/>
      <c r="T53" s="15"/>
      <c r="U53" s="14"/>
      <c r="V53" s="14"/>
      <c r="W53" s="14"/>
      <c r="X53" s="14"/>
      <c r="Y53" s="14"/>
      <c r="Z53" s="15"/>
      <c r="AA53" s="14"/>
      <c r="AB53" s="49"/>
      <c r="AC53" s="15"/>
      <c r="AD53" s="15"/>
      <c r="AE53" s="14"/>
      <c r="AF53" s="14"/>
      <c r="AG53" s="14"/>
      <c r="AH53" s="14"/>
      <c r="AI53" s="14"/>
      <c r="AJ53" s="15"/>
      <c r="AK53" s="14"/>
      <c r="AL53" s="49"/>
      <c r="AM53" s="15"/>
      <c r="AN53" s="15"/>
      <c r="AO53" s="14"/>
      <c r="AP53" s="14"/>
      <c r="AQ53" s="14"/>
      <c r="AR53" s="14"/>
      <c r="AS53" s="14"/>
      <c r="AT53" s="15"/>
      <c r="AU53" s="14"/>
      <c r="AV53" s="49"/>
      <c r="AW53" s="15"/>
      <c r="AX53" s="15"/>
      <c r="AY53" s="14"/>
      <c r="AZ53" s="14"/>
      <c r="BA53" s="14"/>
      <c r="BB53" s="14"/>
      <c r="BC53" s="14"/>
      <c r="BD53" s="15"/>
      <c r="BE53" s="14"/>
      <c r="BF53" s="49"/>
      <c r="BG53" s="15"/>
      <c r="BH53" s="15"/>
      <c r="BI53" s="14"/>
      <c r="BJ53" s="14"/>
      <c r="BK53" s="14"/>
      <c r="BL53" s="14"/>
      <c r="BM53" s="14"/>
      <c r="BN53" s="18"/>
      <c r="BO53" s="142"/>
      <c r="BP53" s="49"/>
      <c r="BQ53" s="15"/>
      <c r="BR53" s="15"/>
      <c r="BS53" s="14"/>
      <c r="BT53" s="14"/>
      <c r="BU53" s="14"/>
      <c r="BV53" s="14"/>
      <c r="BW53" s="14"/>
      <c r="BX53" s="18"/>
      <c r="BY53" s="142"/>
      <c r="BZ53" s="49"/>
      <c r="CA53" s="15"/>
      <c r="CB53" s="15"/>
      <c r="CC53" s="14"/>
      <c r="CD53" s="14"/>
      <c r="CE53" s="14"/>
      <c r="CF53" s="14"/>
      <c r="CG53" s="14"/>
      <c r="CH53" s="18"/>
      <c r="CI53" s="14"/>
      <c r="CJ53" s="49"/>
      <c r="CK53" s="15"/>
      <c r="CL53" s="15"/>
      <c r="CM53" s="14"/>
      <c r="CN53" s="14"/>
      <c r="CO53" s="14"/>
      <c r="CP53" s="14"/>
      <c r="CQ53" s="14"/>
      <c r="CR53" s="15"/>
      <c r="CS53" s="14"/>
      <c r="CT53" s="2"/>
      <c r="CU53" s="87"/>
      <c r="CV53" s="87"/>
      <c r="CW53" s="88"/>
      <c r="CX53" s="88"/>
      <c r="CY53" s="88"/>
      <c r="CZ53" s="88"/>
      <c r="DA53" s="88"/>
      <c r="DB53" s="87"/>
      <c r="DC53" s="88"/>
      <c r="DD53" s="2"/>
      <c r="DE53" s="172"/>
      <c r="DF53" s="166"/>
      <c r="DG53" s="2"/>
      <c r="DH53" s="172"/>
      <c r="DI53" s="166"/>
      <c r="DJ53" s="138"/>
      <c r="DK53" s="87"/>
      <c r="DL53" s="87"/>
      <c r="DM53" s="88"/>
      <c r="DN53" s="88"/>
      <c r="DO53" s="88"/>
      <c r="DP53" s="88"/>
      <c r="DQ53" s="88"/>
      <c r="DR53" s="87"/>
      <c r="DS53" s="88"/>
      <c r="DT53" s="2"/>
      <c r="DU53" s="172"/>
      <c r="DV53" s="166"/>
      <c r="DW53" s="2"/>
      <c r="DX53" s="172"/>
      <c r="DY53" s="166"/>
      <c r="DZ53" s="138"/>
      <c r="EA53" s="2"/>
      <c r="EB53" s="87"/>
      <c r="EC53" s="87"/>
      <c r="ED53" s="88"/>
      <c r="EE53" s="88"/>
      <c r="EF53" s="88"/>
      <c r="EG53" s="88"/>
      <c r="EH53" s="88"/>
      <c r="EI53" s="87"/>
      <c r="EJ53" s="88"/>
      <c r="EK53" s="2"/>
      <c r="EL53" s="172"/>
      <c r="EM53" s="166"/>
      <c r="EN53" s="2"/>
      <c r="EO53" s="172"/>
      <c r="EP53" s="166"/>
      <c r="EQ53" s="138"/>
    </row>
    <row r="54" spans="1:147" x14ac:dyDescent="0.5">
      <c r="A54" s="13" t="s">
        <v>44</v>
      </c>
      <c r="B54" s="13" t="s">
        <v>52</v>
      </c>
      <c r="C54" s="13" t="s">
        <v>52</v>
      </c>
      <c r="D54" s="13" t="s">
        <v>52</v>
      </c>
      <c r="E54" s="13" t="s">
        <v>52</v>
      </c>
      <c r="F54" s="78">
        <f>SUBTOTAL(9,F4:F52)</f>
        <v>6574287.2034216905</v>
      </c>
      <c r="G54" s="12">
        <f>SUBTOTAL(9,G4:G52)</f>
        <v>6670186.2660515979</v>
      </c>
      <c r="H54" s="49" t="s">
        <v>52</v>
      </c>
      <c r="I54" s="12">
        <f t="shared" ref="I54:Q54" si="27">SUBTOTAL(9,I4:I52)</f>
        <v>1758</v>
      </c>
      <c r="J54" s="12">
        <f t="shared" si="27"/>
        <v>236295024</v>
      </c>
      <c r="K54" s="146">
        <f t="shared" si="27"/>
        <v>1277154.8269097796</v>
      </c>
      <c r="L54" s="12">
        <f t="shared" si="27"/>
        <v>1000327.64151994</v>
      </c>
      <c r="M54" s="145">
        <f t="shared" si="27"/>
        <v>276827.18538983993</v>
      </c>
      <c r="N54" s="78">
        <f t="shared" si="27"/>
        <v>6999837.9374676803</v>
      </c>
      <c r="O54" s="12">
        <f t="shared" si="27"/>
        <v>6949894.2927762521</v>
      </c>
      <c r="P54" s="12">
        <f t="shared" si="27"/>
        <v>10</v>
      </c>
      <c r="Q54" s="12">
        <f t="shared" si="27"/>
        <v>0</v>
      </c>
      <c r="R54" s="49" t="s">
        <v>52</v>
      </c>
      <c r="S54" s="12">
        <f t="shared" ref="S54:AA54" si="28">SUBTOTAL(9,S4:S52)</f>
        <v>1774</v>
      </c>
      <c r="T54" s="12">
        <f t="shared" si="28"/>
        <v>238312770</v>
      </c>
      <c r="U54" s="146">
        <f t="shared" si="28"/>
        <v>1056702.08424382</v>
      </c>
      <c r="V54" s="12">
        <f t="shared" si="28"/>
        <v>1027593.7511361302</v>
      </c>
      <c r="W54" s="145">
        <f t="shared" si="28"/>
        <v>29108.333107689985</v>
      </c>
      <c r="X54" s="78">
        <f t="shared" si="28"/>
        <v>7219610.6927988967</v>
      </c>
      <c r="Y54" s="12">
        <f t="shared" si="28"/>
        <v>7218274.1231773393</v>
      </c>
      <c r="Z54" s="12">
        <f t="shared" si="28"/>
        <v>10</v>
      </c>
      <c r="AA54" s="12">
        <f t="shared" si="28"/>
        <v>0</v>
      </c>
      <c r="AB54" s="49" t="s">
        <v>52</v>
      </c>
      <c r="AC54" s="12">
        <f t="shared" ref="AC54:AK54" si="29">SUBTOTAL(9,AC4:AC52)</f>
        <v>1791</v>
      </c>
      <c r="AD54" s="12">
        <f t="shared" si="29"/>
        <v>241344556</v>
      </c>
      <c r="AE54" s="146">
        <f t="shared" si="29"/>
        <v>1395995.6071801004</v>
      </c>
      <c r="AF54" s="12">
        <f t="shared" si="29"/>
        <v>1346900.9955411502</v>
      </c>
      <c r="AG54" s="145">
        <f t="shared" si="29"/>
        <v>49094.611638949718</v>
      </c>
      <c r="AH54" s="78">
        <f t="shared" si="29"/>
        <v>7440670.8410202703</v>
      </c>
      <c r="AI54" s="12">
        <f t="shared" si="29"/>
        <v>7479155.514720561</v>
      </c>
      <c r="AJ54" s="12">
        <f t="shared" si="29"/>
        <v>10</v>
      </c>
      <c r="AK54" s="12">
        <f t="shared" si="29"/>
        <v>0</v>
      </c>
      <c r="AL54" s="49" t="s">
        <v>52</v>
      </c>
      <c r="AM54" s="12">
        <f t="shared" ref="AM54:AU54" si="30">SUBTOTAL(9,AM4:AM52)</f>
        <v>1819</v>
      </c>
      <c r="AN54" s="12">
        <f t="shared" si="30"/>
        <v>245724339</v>
      </c>
      <c r="AO54" s="146">
        <f t="shared" si="30"/>
        <v>1438343.41054671</v>
      </c>
      <c r="AP54" s="12">
        <f t="shared" si="30"/>
        <v>1259549.1013270803</v>
      </c>
      <c r="AQ54" s="145">
        <f t="shared" si="30"/>
        <v>178794.30921963006</v>
      </c>
      <c r="AR54" s="78">
        <f t="shared" si="30"/>
        <v>7535970.6829943433</v>
      </c>
      <c r="AS54" s="12">
        <f t="shared" si="30"/>
        <v>7700420.4608553303</v>
      </c>
      <c r="AT54" s="12">
        <f t="shared" si="30"/>
        <v>10</v>
      </c>
      <c r="AU54" s="12">
        <f t="shared" si="30"/>
        <v>0</v>
      </c>
      <c r="AV54" s="49" t="s">
        <v>52</v>
      </c>
      <c r="AW54" s="12">
        <f t="shared" ref="AW54:BE54" si="31">SUBTOTAL(9,AW4:AW52)</f>
        <v>1843</v>
      </c>
      <c r="AX54" s="12">
        <f t="shared" si="31"/>
        <v>248909424</v>
      </c>
      <c r="AY54" s="146">
        <f t="shared" si="31"/>
        <v>1111997.8263416097</v>
      </c>
      <c r="AZ54" s="12">
        <f t="shared" si="31"/>
        <v>1059555.0437505599</v>
      </c>
      <c r="BA54" s="145">
        <f t="shared" si="31"/>
        <v>52442.782591050644</v>
      </c>
      <c r="BB54" s="78">
        <f t="shared" si="31"/>
        <v>7518702.5017515384</v>
      </c>
      <c r="BC54" s="12">
        <f t="shared" si="31"/>
        <v>7671481.895068421</v>
      </c>
      <c r="BD54" s="12">
        <f t="shared" si="31"/>
        <v>10</v>
      </c>
      <c r="BE54" s="12">
        <f t="shared" si="31"/>
        <v>0</v>
      </c>
      <c r="BF54" s="49" t="s">
        <v>52</v>
      </c>
      <c r="BG54" s="12">
        <f t="shared" ref="BG54:BO54" si="32">SUBTOTAL(9,BG4:BG52)</f>
        <v>1849</v>
      </c>
      <c r="BH54" s="12">
        <f t="shared" si="32"/>
        <v>251923162</v>
      </c>
      <c r="BI54" s="146">
        <f t="shared" si="32"/>
        <v>1356255.2106862303</v>
      </c>
      <c r="BJ54" s="12">
        <f t="shared" si="32"/>
        <v>1399401.5267503301</v>
      </c>
      <c r="BK54" s="145">
        <f t="shared" si="32"/>
        <v>-43146.316064100392</v>
      </c>
      <c r="BL54" s="78">
        <f t="shared" si="32"/>
        <v>7561309.2884243382</v>
      </c>
      <c r="BM54" s="12">
        <f t="shared" si="32"/>
        <v>7777801.6991374698</v>
      </c>
      <c r="BN54" s="12">
        <f t="shared" si="32"/>
        <v>10</v>
      </c>
      <c r="BO54" s="12">
        <f t="shared" si="32"/>
        <v>0</v>
      </c>
      <c r="BP54" s="49" t="s">
        <v>52</v>
      </c>
      <c r="BQ54" s="12">
        <f t="shared" ref="BQ54:BY54" si="33">SUBTOTAL(9,BQ4:BQ52)</f>
        <v>1865</v>
      </c>
      <c r="BR54" s="12">
        <f t="shared" si="33"/>
        <v>256003815</v>
      </c>
      <c r="BS54" s="146">
        <f t="shared" si="33"/>
        <v>1284795.7758885599</v>
      </c>
      <c r="BT54" s="12">
        <f t="shared" si="33"/>
        <v>1069139.0982659501</v>
      </c>
      <c r="BU54" s="145">
        <f t="shared" si="33"/>
        <v>215656.67762260986</v>
      </c>
      <c r="BV54" s="78">
        <f t="shared" si="33"/>
        <v>7987939.9371946398</v>
      </c>
      <c r="BW54" s="12">
        <f t="shared" si="33"/>
        <v>7979397.5260281907</v>
      </c>
      <c r="BX54" s="12">
        <f t="shared" si="33"/>
        <v>10</v>
      </c>
      <c r="BY54" s="12">
        <f t="shared" si="33"/>
        <v>0</v>
      </c>
      <c r="BZ54" s="49" t="s">
        <v>52</v>
      </c>
      <c r="CA54" s="12">
        <f t="shared" ref="CA54:CI54" si="34">SUBTOTAL(9,CA4:CA52)</f>
        <v>1886</v>
      </c>
      <c r="CB54" s="12">
        <f t="shared" si="34"/>
        <v>258614320</v>
      </c>
      <c r="CC54" s="146">
        <f t="shared" si="34"/>
        <v>1060406.3421410897</v>
      </c>
      <c r="CD54" s="12">
        <f t="shared" si="34"/>
        <v>1027650.9863932501</v>
      </c>
      <c r="CE54" s="145">
        <f t="shared" si="34"/>
        <v>32755.355747839836</v>
      </c>
      <c r="CF54" s="78">
        <f t="shared" si="34"/>
        <v>8080369.5215099808</v>
      </c>
      <c r="CG54" s="12">
        <f t="shared" si="34"/>
        <v>8131763.6712122699</v>
      </c>
      <c r="CH54" s="12">
        <f t="shared" si="34"/>
        <v>10</v>
      </c>
      <c r="CI54" s="12">
        <f t="shared" si="34"/>
        <v>0</v>
      </c>
      <c r="CJ54" s="49" t="s">
        <v>52</v>
      </c>
      <c r="CK54" s="12">
        <f t="shared" ref="CK54:CS54" si="35">SUBTOTAL(9,CK4:CK52)</f>
        <v>1908</v>
      </c>
      <c r="CL54" s="12">
        <f t="shared" si="35"/>
        <v>261253836</v>
      </c>
      <c r="CM54" s="146">
        <f t="shared" si="35"/>
        <v>1466374.9882513601</v>
      </c>
      <c r="CN54" s="12">
        <f t="shared" si="35"/>
        <v>1532965.68800828</v>
      </c>
      <c r="CO54" s="145">
        <f t="shared" si="35"/>
        <v>-66590.699756920163</v>
      </c>
      <c r="CP54" s="78">
        <f t="shared" si="35"/>
        <v>8023378.9941126974</v>
      </c>
      <c r="CQ54" s="12">
        <f t="shared" si="35"/>
        <v>8199191.2128050914</v>
      </c>
      <c r="CR54" s="12">
        <f t="shared" si="35"/>
        <v>10</v>
      </c>
      <c r="CS54" s="12">
        <f t="shared" si="35"/>
        <v>0</v>
      </c>
      <c r="CT54" s="49" t="s">
        <v>52</v>
      </c>
      <c r="CU54" s="12">
        <f t="shared" ref="CU54:DF54" si="36">SUBTOTAL(9,CU4:CU52)</f>
        <v>1919</v>
      </c>
      <c r="CV54" s="12">
        <f t="shared" si="36"/>
        <v>266313561</v>
      </c>
      <c r="CW54" s="146">
        <f t="shared" si="36"/>
        <v>1384940.6775328298</v>
      </c>
      <c r="CX54" s="12">
        <f t="shared" si="36"/>
        <v>1228482.0454760403</v>
      </c>
      <c r="CY54" s="145">
        <f t="shared" si="36"/>
        <v>156458.63205679</v>
      </c>
      <c r="CZ54" s="78">
        <f t="shared" si="36"/>
        <v>8101305.577570783</v>
      </c>
      <c r="DA54" s="12">
        <f t="shared" si="36"/>
        <v>8201174.6177598927</v>
      </c>
      <c r="DB54" s="12">
        <f t="shared" si="36"/>
        <v>10</v>
      </c>
      <c r="DC54" s="12">
        <f t="shared" si="36"/>
        <v>0</v>
      </c>
      <c r="DD54" s="49" t="s">
        <v>52</v>
      </c>
      <c r="DE54" s="171">
        <f t="shared" si="36"/>
        <v>12832966.74972209</v>
      </c>
      <c r="DF54" s="165">
        <f t="shared" si="36"/>
        <v>881400.87155337969</v>
      </c>
      <c r="DG54" s="49" t="s">
        <v>52</v>
      </c>
      <c r="DH54" s="172">
        <f>(CW54-CM54)/CM54</f>
        <v>-5.5534437896843876E-2</v>
      </c>
      <c r="DI54" s="166">
        <f>(CY54-CO54)/CO54</f>
        <v>-3.3495568094031132</v>
      </c>
      <c r="DJ54" s="179">
        <f>(DA54-CQ54)/CQ54</f>
        <v>2.4190251249461408E-4</v>
      </c>
      <c r="DK54" s="12">
        <f t="shared" ref="DK54:DS54" si="37">SUBTOTAL(9,DK4:DK52)</f>
        <v>1937</v>
      </c>
      <c r="DL54" s="12">
        <f t="shared" si="37"/>
        <v>270571455</v>
      </c>
      <c r="DM54" s="146">
        <f t="shared" si="37"/>
        <v>1355085.4695160112</v>
      </c>
      <c r="DN54" s="12">
        <f t="shared" si="37"/>
        <v>1260555.46859517</v>
      </c>
      <c r="DO54" s="145">
        <f t="shared" si="37"/>
        <v>94530.000920840917</v>
      </c>
      <c r="DP54" s="78">
        <f t="shared" si="37"/>
        <v>8202956.3501719562</v>
      </c>
      <c r="DQ54" s="12">
        <f t="shared" si="37"/>
        <v>8342616.5713379178</v>
      </c>
      <c r="DR54" s="12">
        <f t="shared" si="37"/>
        <v>10</v>
      </c>
      <c r="DS54" s="12">
        <f t="shared" si="37"/>
        <v>0</v>
      </c>
      <c r="DT54" s="49" t="s">
        <v>52</v>
      </c>
      <c r="DU54" s="171">
        <f t="shared" ref="DU54:DV54" si="38">SUBTOTAL(9,DU4:DU52)</f>
        <v>14188052.219238104</v>
      </c>
      <c r="DV54" s="165">
        <f t="shared" si="38"/>
        <v>975930.87247422035</v>
      </c>
      <c r="DW54" s="49" t="s">
        <v>52</v>
      </c>
      <c r="DX54" s="172" t="e">
        <f>(DM54-DD54)/DD54</f>
        <v>#VALUE!</v>
      </c>
      <c r="DY54" s="166">
        <f>(DO54-DF54)/DF54</f>
        <v>-0.89275027519062766</v>
      </c>
      <c r="DZ54" s="179">
        <f>(DQ54-DH54)/DH54</f>
        <v>-150224202.18547818</v>
      </c>
      <c r="EA54" s="49" t="s">
        <v>52</v>
      </c>
      <c r="EB54" s="12">
        <f t="shared" ref="EB54:EJ54" si="39">SUBTOTAL(9,EB4:EB52)</f>
        <v>1955</v>
      </c>
      <c r="EC54" s="12">
        <f t="shared" si="39"/>
        <v>273933348</v>
      </c>
      <c r="ED54" s="146">
        <f t="shared" si="39"/>
        <v>1561578.9603334984</v>
      </c>
      <c r="EE54" s="12">
        <f t="shared" si="39"/>
        <v>1801488.9585599599</v>
      </c>
      <c r="EF54" s="145">
        <f t="shared" si="39"/>
        <v>-239909.9982264608</v>
      </c>
      <c r="EG54" s="78">
        <f t="shared" si="39"/>
        <v>7373346.6137568606</v>
      </c>
      <c r="EH54" s="12">
        <f t="shared" si="39"/>
        <v>7945988.4829479307</v>
      </c>
      <c r="EI54" s="12">
        <f t="shared" si="39"/>
        <v>10</v>
      </c>
      <c r="EJ54" s="12">
        <f t="shared" si="39"/>
        <v>0</v>
      </c>
      <c r="EK54" s="49" t="s">
        <v>52</v>
      </c>
      <c r="EL54" s="171">
        <f t="shared" ref="EL54:EM54" si="40">SUBTOTAL(9,EL4:EL52)</f>
        <v>15749631.179571602</v>
      </c>
      <c r="EM54" s="165">
        <f t="shared" si="40"/>
        <v>736020.87424775946</v>
      </c>
      <c r="EN54" s="49" t="s">
        <v>52</v>
      </c>
      <c r="EO54" s="172">
        <f>(ED54-DU54)/DU54</f>
        <v>-0.88993704447915012</v>
      </c>
      <c r="EP54" s="169">
        <f t="shared" si="13"/>
        <v>-3.5379244249384971</v>
      </c>
      <c r="EQ54" s="158">
        <f t="shared" si="14"/>
        <v>-0.10113545665736777</v>
      </c>
    </row>
    <row r="55" spans="1:147" ht="13" x14ac:dyDescent="0.5">
      <c r="A55" s="7" t="s">
        <v>74</v>
      </c>
      <c r="B55" s="7"/>
      <c r="C55" s="7"/>
      <c r="D55" s="7"/>
      <c r="E55" s="7"/>
      <c r="F55" s="9">
        <v>97260.961551179993</v>
      </c>
      <c r="G55" s="9">
        <v>95165.312489300006</v>
      </c>
      <c r="H55" s="49" t="s">
        <v>52</v>
      </c>
      <c r="I55" s="6" t="s">
        <v>82</v>
      </c>
      <c r="J55" s="6">
        <v>3647098</v>
      </c>
      <c r="K55" s="5">
        <v>4475.9275210400001</v>
      </c>
      <c r="L55" s="5">
        <v>3335.9397657</v>
      </c>
      <c r="M55" s="5">
        <v>1139.9877553399999</v>
      </c>
      <c r="N55" s="5">
        <v>100335.13529345</v>
      </c>
      <c r="O55" s="5">
        <v>98868.024475280006</v>
      </c>
      <c r="P55" s="6">
        <v>0</v>
      </c>
      <c r="Q55" s="5">
        <v>0</v>
      </c>
      <c r="R55" s="49" t="s">
        <v>52</v>
      </c>
      <c r="S55" s="6" t="s">
        <v>81</v>
      </c>
      <c r="T55" s="6">
        <v>3854287</v>
      </c>
      <c r="U55" s="5">
        <v>7281.7311193799997</v>
      </c>
      <c r="V55" s="5">
        <v>1452.4143561599999</v>
      </c>
      <c r="W55" s="5">
        <v>5829.3167632200002</v>
      </c>
      <c r="X55" s="5">
        <v>108136.90455787</v>
      </c>
      <c r="Y55" s="5">
        <v>104870.21255876</v>
      </c>
      <c r="Z55" s="6">
        <v>0</v>
      </c>
      <c r="AA55" s="5">
        <v>0</v>
      </c>
      <c r="AB55" s="49" t="s">
        <v>52</v>
      </c>
      <c r="AC55" s="6" t="s">
        <v>80</v>
      </c>
      <c r="AD55" s="6">
        <v>4085861</v>
      </c>
      <c r="AE55" s="5">
        <v>10188.22992365</v>
      </c>
      <c r="AF55" s="5">
        <v>1540.6594501899999</v>
      </c>
      <c r="AG55" s="5">
        <v>8647.5704734600004</v>
      </c>
      <c r="AH55" s="5">
        <v>118077.41366797</v>
      </c>
      <c r="AI55" s="5">
        <v>114607.7982872</v>
      </c>
      <c r="AJ55" s="6">
        <v>0</v>
      </c>
      <c r="AK55" s="5">
        <v>0</v>
      </c>
      <c r="AL55" s="49" t="s">
        <v>52</v>
      </c>
      <c r="AM55" s="6" t="s">
        <v>79</v>
      </c>
      <c r="AN55" s="6">
        <v>4342221</v>
      </c>
      <c r="AO55" s="5">
        <v>8880.8008201600005</v>
      </c>
      <c r="AP55" s="5">
        <v>1846.6492191</v>
      </c>
      <c r="AQ55" s="5">
        <v>7034.1516010599998</v>
      </c>
      <c r="AR55" s="5">
        <v>125750.77390494999</v>
      </c>
      <c r="AS55" s="5">
        <v>123742.51600792</v>
      </c>
      <c r="AT55" s="6">
        <v>0</v>
      </c>
      <c r="AU55" s="5">
        <v>0</v>
      </c>
      <c r="AV55" s="49" t="s">
        <v>52</v>
      </c>
      <c r="AW55" s="6">
        <v>114</v>
      </c>
      <c r="AX55" s="6">
        <v>4612682</v>
      </c>
      <c r="AY55" s="5">
        <v>7070.6394579099997</v>
      </c>
      <c r="AZ55" s="5">
        <v>1654.1926681</v>
      </c>
      <c r="BA55" s="5">
        <v>5416.4467898100002</v>
      </c>
      <c r="BB55" s="5">
        <v>131767.03484553</v>
      </c>
      <c r="BC55" s="5">
        <v>130681.263404</v>
      </c>
      <c r="BD55" s="6">
        <v>0</v>
      </c>
      <c r="BE55" s="5">
        <v>0</v>
      </c>
      <c r="BF55" s="49" t="s">
        <v>52</v>
      </c>
      <c r="BG55" s="6" t="s">
        <v>77</v>
      </c>
      <c r="BH55" s="6">
        <v>5435446</v>
      </c>
      <c r="BI55" s="5">
        <v>14691.199752099999</v>
      </c>
      <c r="BJ55" s="5">
        <v>2295.2370397700001</v>
      </c>
      <c r="BK55" s="5">
        <v>12395.96271233</v>
      </c>
      <c r="BL55" s="5">
        <v>150121.81499627</v>
      </c>
      <c r="BM55" s="5">
        <v>143230.53612634999</v>
      </c>
      <c r="BN55" s="6">
        <v>0</v>
      </c>
      <c r="BO55" s="8">
        <v>0</v>
      </c>
      <c r="BP55" s="49" t="s">
        <v>52</v>
      </c>
      <c r="BQ55" s="6" t="s">
        <v>75</v>
      </c>
      <c r="BR55" s="6">
        <v>6563721</v>
      </c>
      <c r="BS55" s="5">
        <v>14053.691434890001</v>
      </c>
      <c r="BT55" s="5">
        <v>6283.0049286699996</v>
      </c>
      <c r="BU55" s="5">
        <v>7770.6865062199904</v>
      </c>
      <c r="BV55" s="5">
        <v>161978.18403373999</v>
      </c>
      <c r="BW55" s="5">
        <v>162168.21317676001</v>
      </c>
      <c r="BX55" s="6">
        <v>0</v>
      </c>
      <c r="BY55" s="8">
        <v>0</v>
      </c>
      <c r="BZ55" s="49" t="s">
        <v>52</v>
      </c>
      <c r="CA55" s="6" t="s">
        <v>73</v>
      </c>
      <c r="CB55" s="6">
        <v>7116095</v>
      </c>
      <c r="CC55" s="5">
        <v>7641.5342740100004</v>
      </c>
      <c r="CD55" s="5">
        <v>2559.7269577799998</v>
      </c>
      <c r="CE55" s="5">
        <v>5081.8073162299997</v>
      </c>
      <c r="CF55" s="5">
        <v>170138.67063003001</v>
      </c>
      <c r="CG55" s="5">
        <v>168529.18254543</v>
      </c>
      <c r="CH55" s="6">
        <v>0</v>
      </c>
      <c r="CI55" s="5">
        <v>0</v>
      </c>
      <c r="CJ55" s="49" t="s">
        <v>52</v>
      </c>
      <c r="CK55" s="6" t="s">
        <v>71</v>
      </c>
      <c r="CL55" s="6">
        <v>8432466</v>
      </c>
      <c r="CM55" s="5">
        <v>15431.294947889999</v>
      </c>
      <c r="CN55" s="5">
        <v>5181.0288381600003</v>
      </c>
      <c r="CO55" s="5">
        <v>10250.266109730001</v>
      </c>
      <c r="CP55" s="79">
        <v>188244.46176161</v>
      </c>
      <c r="CQ55" s="5">
        <v>183180.67023995999</v>
      </c>
      <c r="CR55" s="6">
        <v>0</v>
      </c>
      <c r="CS55" s="5">
        <v>0</v>
      </c>
      <c r="CT55" s="49" t="s">
        <v>52</v>
      </c>
      <c r="CU55" s="93" t="s">
        <v>275</v>
      </c>
      <c r="CV55" s="93">
        <v>10633970</v>
      </c>
      <c r="CW55" s="94">
        <v>23858.544834330001</v>
      </c>
      <c r="CX55" s="94">
        <v>12607.941150680001</v>
      </c>
      <c r="CY55" s="94">
        <v>11250.603683650001</v>
      </c>
      <c r="CZ55" s="94">
        <v>216823.63326598</v>
      </c>
      <c r="DA55" s="94">
        <v>207522.03446600001</v>
      </c>
      <c r="DB55" s="93">
        <v>0</v>
      </c>
      <c r="DC55" s="94">
        <v>0</v>
      </c>
      <c r="DD55" s="49" t="s">
        <v>52</v>
      </c>
      <c r="DE55" s="93">
        <v>0</v>
      </c>
      <c r="DF55" s="94">
        <v>0</v>
      </c>
      <c r="DG55" s="49" t="s">
        <v>52</v>
      </c>
      <c r="DH55" s="164">
        <f>(CW55-CM55)/CM55</f>
        <v>0.546114238299379</v>
      </c>
      <c r="DI55" s="164">
        <f>(CY55-CO55)/CO55</f>
        <v>9.7591375990759496E-2</v>
      </c>
      <c r="DJ55" s="164">
        <f>(DA55-CQ55)/CQ55</f>
        <v>0.13288172924661606</v>
      </c>
      <c r="DK55" s="93" t="s">
        <v>322</v>
      </c>
      <c r="DL55" s="93">
        <v>11519870</v>
      </c>
      <c r="DM55" s="94">
        <v>12564.52162906</v>
      </c>
      <c r="DN55" s="94">
        <v>8995.7146820000107</v>
      </c>
      <c r="DO55" s="94">
        <v>3568.8069470599899</v>
      </c>
      <c r="DP55" s="94">
        <v>214642.07255767999</v>
      </c>
      <c r="DQ55" s="94">
        <v>212743.79826153</v>
      </c>
      <c r="DR55" s="93">
        <v>0</v>
      </c>
      <c r="DS55" s="94">
        <v>0</v>
      </c>
      <c r="DT55" s="49" t="s">
        <v>52</v>
      </c>
      <c r="DU55" s="93">
        <v>0</v>
      </c>
      <c r="DV55" s="94">
        <v>0</v>
      </c>
      <c r="DW55" s="49" t="s">
        <v>52</v>
      </c>
      <c r="DX55" s="164"/>
      <c r="DY55" s="164"/>
      <c r="DZ55" s="164"/>
      <c r="EA55" s="49" t="s">
        <v>52</v>
      </c>
      <c r="EB55" s="93" t="s">
        <v>334</v>
      </c>
      <c r="EC55" s="93">
        <v>12096585</v>
      </c>
      <c r="ED55" s="94">
        <v>10358.33351832</v>
      </c>
      <c r="EE55" s="94">
        <v>6622.0403980399997</v>
      </c>
      <c r="EF55" s="94">
        <v>3736.29312028001</v>
      </c>
      <c r="EG55" s="94">
        <v>202965.08436830001</v>
      </c>
      <c r="EH55" s="94">
        <v>212377.23628973999</v>
      </c>
      <c r="EI55" s="93">
        <v>0</v>
      </c>
      <c r="EJ55" s="94">
        <v>0</v>
      </c>
      <c r="EK55" s="49" t="s">
        <v>52</v>
      </c>
      <c r="EL55" s="93">
        <v>0</v>
      </c>
      <c r="EM55" s="94">
        <v>0</v>
      </c>
      <c r="EN55" s="49" t="s">
        <v>52</v>
      </c>
      <c r="EO55" s="164"/>
      <c r="EP55" s="164"/>
      <c r="EQ55" s="164"/>
    </row>
    <row r="56" spans="1:147" ht="12" customHeight="1" x14ac:dyDescent="0.5">
      <c r="A56" s="147" t="s">
        <v>65</v>
      </c>
      <c r="B56" s="147"/>
      <c r="C56" s="147"/>
      <c r="D56" s="147"/>
      <c r="E56" s="147"/>
      <c r="F56" s="147"/>
      <c r="G56" s="147"/>
      <c r="H56" s="49"/>
      <c r="I56" s="123"/>
      <c r="J56" s="123"/>
      <c r="K56" s="123"/>
      <c r="L56" s="123"/>
      <c r="M56" s="123"/>
      <c r="N56" s="123"/>
      <c r="O56" s="123"/>
      <c r="P56" s="123"/>
      <c r="Q56" s="123"/>
      <c r="R56" s="49"/>
      <c r="S56" s="123"/>
      <c r="T56" s="123"/>
      <c r="U56" s="123"/>
      <c r="V56" s="123"/>
      <c r="W56" s="123"/>
      <c r="X56" s="123"/>
      <c r="Y56" s="123"/>
      <c r="Z56" s="123"/>
      <c r="AA56" s="123"/>
      <c r="AB56" s="49"/>
      <c r="AC56" s="123"/>
      <c r="AD56" s="123"/>
      <c r="AE56" s="123"/>
      <c r="AF56" s="123"/>
      <c r="AG56" s="123"/>
      <c r="AH56" s="123"/>
      <c r="AI56" s="123"/>
      <c r="AJ56" s="123"/>
      <c r="AK56" s="123"/>
      <c r="AL56" s="49"/>
      <c r="AM56" s="123"/>
      <c r="AN56" s="123"/>
      <c r="AO56" s="123"/>
      <c r="AP56" s="123"/>
      <c r="AQ56" s="123"/>
      <c r="AR56" s="123"/>
      <c r="AS56" s="123"/>
      <c r="AT56" s="123"/>
      <c r="AU56" s="123"/>
      <c r="AV56" s="49"/>
      <c r="AW56" s="123"/>
      <c r="AX56" s="123"/>
      <c r="AY56" s="123"/>
      <c r="AZ56" s="123"/>
      <c r="BA56" s="123"/>
      <c r="BB56" s="123"/>
      <c r="BC56" s="123"/>
      <c r="BD56" s="123"/>
      <c r="BE56" s="123"/>
      <c r="BF56" s="49"/>
      <c r="BG56" s="123"/>
      <c r="BH56" s="123"/>
      <c r="BI56" s="123"/>
      <c r="BJ56" s="123"/>
      <c r="BK56" s="123"/>
      <c r="BL56" s="123"/>
      <c r="BM56" s="123"/>
      <c r="BN56" s="123"/>
      <c r="BO56" s="123"/>
      <c r="BP56" s="49"/>
      <c r="BQ56" s="123"/>
      <c r="BR56" s="123"/>
      <c r="BS56" s="123"/>
      <c r="BT56" s="123"/>
      <c r="BU56" s="123"/>
      <c r="BV56" s="123"/>
      <c r="BW56" s="123"/>
      <c r="BX56" s="123"/>
      <c r="BY56" s="123"/>
      <c r="BZ56" s="49"/>
      <c r="CA56" s="123"/>
      <c r="CB56" s="123"/>
      <c r="CC56" s="123"/>
      <c r="CD56" s="123"/>
      <c r="CE56" s="123"/>
      <c r="CF56" s="123"/>
      <c r="CG56" s="123"/>
      <c r="CH56" s="123"/>
      <c r="CI56" s="123"/>
      <c r="CJ56" s="49"/>
      <c r="CK56" s="123"/>
      <c r="CL56" s="123"/>
      <c r="CM56" s="123"/>
      <c r="CN56" s="123"/>
      <c r="CO56" s="123"/>
      <c r="CP56" s="123"/>
      <c r="CQ56" s="123"/>
      <c r="CR56" s="123"/>
      <c r="CS56" s="123"/>
      <c r="CT56" s="49"/>
      <c r="CU56" s="175"/>
      <c r="CV56" s="123"/>
      <c r="CW56" s="123"/>
      <c r="CX56" s="123"/>
      <c r="CY56" s="123"/>
      <c r="CZ56" s="123"/>
      <c r="DA56" s="123"/>
      <c r="DB56" s="123"/>
      <c r="DC56" s="123"/>
      <c r="DD56" s="49"/>
      <c r="DG56" s="49"/>
      <c r="DH56" s="106"/>
      <c r="DJ56" s="106"/>
      <c r="DK56" s="175"/>
      <c r="DL56" s="123"/>
      <c r="DM56" s="123"/>
      <c r="DN56" s="123"/>
      <c r="DO56" s="123"/>
      <c r="DP56" s="123"/>
      <c r="DQ56" s="123"/>
      <c r="DR56" s="123"/>
      <c r="DS56" s="123"/>
      <c r="DT56" s="49"/>
      <c r="DW56" s="49"/>
      <c r="DX56" s="106"/>
      <c r="DZ56" s="106"/>
      <c r="EA56" s="49"/>
      <c r="EB56" s="175"/>
      <c r="EC56" s="123"/>
      <c r="ED56" s="123"/>
      <c r="EE56" s="123"/>
      <c r="EF56" s="123"/>
      <c r="EG56" s="123"/>
      <c r="EH56" s="123"/>
      <c r="EI56" s="123"/>
      <c r="EJ56" s="123"/>
      <c r="EK56" s="49"/>
      <c r="EN56" s="49"/>
      <c r="EO56" s="106"/>
      <c r="EQ56" s="106"/>
    </row>
    <row r="57" spans="1:147" ht="12" customHeight="1" x14ac:dyDescent="0.5">
      <c r="A57" s="147" t="s">
        <v>64</v>
      </c>
      <c r="B57" s="147"/>
      <c r="C57" s="147"/>
      <c r="D57" s="147"/>
      <c r="E57" s="147"/>
      <c r="F57" s="147"/>
      <c r="G57" s="147"/>
      <c r="H57" s="49"/>
      <c r="I57" s="124"/>
      <c r="J57" s="124"/>
      <c r="K57" s="124"/>
      <c r="L57" s="124"/>
      <c r="M57" s="124"/>
      <c r="N57" s="124"/>
      <c r="O57" s="124"/>
      <c r="P57" s="124"/>
      <c r="Q57" s="125"/>
      <c r="R57" s="49"/>
      <c r="S57" s="124"/>
      <c r="T57" s="124"/>
      <c r="U57" s="124"/>
      <c r="V57" s="124"/>
      <c r="W57" s="124"/>
      <c r="X57" s="124"/>
      <c r="Y57" s="124"/>
      <c r="Z57" s="124"/>
      <c r="AA57" s="125"/>
      <c r="AB57" s="49"/>
      <c r="AC57" s="124"/>
      <c r="AD57" s="124"/>
      <c r="AE57" s="124"/>
      <c r="AF57" s="124"/>
      <c r="AG57" s="124"/>
      <c r="AH57" s="124"/>
      <c r="AI57" s="124"/>
      <c r="AJ57" s="124"/>
      <c r="AK57" s="125"/>
      <c r="AL57" s="49"/>
      <c r="AM57" s="124"/>
      <c r="AN57" s="124"/>
      <c r="AO57" s="124"/>
      <c r="AP57" s="124"/>
      <c r="AQ57" s="124"/>
      <c r="AR57" s="124"/>
      <c r="AS57" s="124"/>
      <c r="AT57" s="124"/>
      <c r="AU57" s="125"/>
      <c r="AV57" s="49"/>
      <c r="AW57" s="124"/>
      <c r="AX57" s="124"/>
      <c r="AY57" s="124"/>
      <c r="AZ57" s="124"/>
      <c r="BA57" s="124"/>
      <c r="BB57" s="124"/>
      <c r="BC57" s="124"/>
      <c r="BD57" s="124"/>
      <c r="BE57" s="125"/>
      <c r="BF57" s="49"/>
      <c r="BG57" s="124"/>
      <c r="BH57" s="124"/>
      <c r="BI57" s="124"/>
      <c r="BJ57" s="124"/>
      <c r="BK57" s="124"/>
      <c r="BL57" s="124"/>
      <c r="BM57" s="124"/>
      <c r="BN57" s="124"/>
      <c r="BO57" s="125"/>
      <c r="BP57" s="49"/>
      <c r="BQ57" s="124"/>
      <c r="BR57" s="124"/>
      <c r="BS57" s="124"/>
      <c r="BT57" s="124"/>
      <c r="BU57" s="124"/>
      <c r="BV57" s="124"/>
      <c r="BW57" s="124"/>
      <c r="BX57" s="124"/>
      <c r="BY57" s="125"/>
      <c r="BZ57" s="49"/>
      <c r="CA57" s="124"/>
      <c r="CB57" s="124"/>
      <c r="CC57" s="124"/>
      <c r="CD57" s="124"/>
      <c r="CE57" s="124"/>
      <c r="CF57" s="124"/>
      <c r="CG57" s="124"/>
      <c r="CH57" s="124"/>
      <c r="CI57" s="125"/>
      <c r="CJ57" s="49"/>
      <c r="CK57" s="123"/>
      <c r="CL57" s="123"/>
      <c r="CM57" s="123"/>
      <c r="CN57" s="123"/>
      <c r="CO57" s="123"/>
      <c r="CP57" s="123"/>
      <c r="CQ57" s="123"/>
      <c r="CR57" s="123"/>
      <c r="CS57" s="123"/>
      <c r="CT57" s="49"/>
      <c r="CU57" s="123"/>
      <c r="CV57" s="123"/>
      <c r="CW57" s="123"/>
      <c r="CX57" s="123"/>
      <c r="CY57" s="123"/>
      <c r="CZ57" s="123"/>
      <c r="DA57" s="123"/>
      <c r="DB57" s="123"/>
      <c r="DC57" s="123"/>
      <c r="DD57" s="49"/>
      <c r="DG57" s="49"/>
      <c r="DH57" s="106"/>
      <c r="DJ57" s="106"/>
      <c r="DK57" s="123"/>
      <c r="DL57" s="123"/>
      <c r="DM57" s="123"/>
      <c r="DN57" s="123"/>
      <c r="DO57" s="123"/>
      <c r="DP57" s="123"/>
      <c r="DQ57" s="123"/>
      <c r="DR57" s="123"/>
      <c r="DS57" s="123"/>
      <c r="DT57" s="49"/>
      <c r="DW57" s="49"/>
      <c r="DX57" s="106"/>
      <c r="DZ57" s="106"/>
      <c r="EA57" s="49"/>
      <c r="EB57" s="123"/>
      <c r="EC57" s="123"/>
      <c r="ED57" s="123"/>
      <c r="EE57" s="123"/>
      <c r="EF57" s="123"/>
      <c r="EG57" s="123"/>
      <c r="EH57" s="123"/>
      <c r="EI57" s="123"/>
      <c r="EJ57" s="123"/>
      <c r="EK57" s="49"/>
      <c r="EN57" s="49"/>
      <c r="EO57" s="106"/>
      <c r="EQ57" s="106"/>
    </row>
    <row r="58" spans="1:147" ht="39" x14ac:dyDescent="0.5">
      <c r="A58" s="81" t="s">
        <v>52</v>
      </c>
      <c r="B58" s="161" t="s">
        <v>52</v>
      </c>
      <c r="C58" s="161" t="s">
        <v>52</v>
      </c>
      <c r="D58" s="161" t="s">
        <v>52</v>
      </c>
      <c r="E58" s="161" t="s">
        <v>52</v>
      </c>
      <c r="F58" s="80" t="s">
        <v>51</v>
      </c>
      <c r="G58" s="80" t="s">
        <v>287</v>
      </c>
      <c r="H58" s="49"/>
      <c r="I58" s="81" t="s">
        <v>282</v>
      </c>
      <c r="J58" s="81" t="s">
        <v>283</v>
      </c>
      <c r="K58" s="80" t="s">
        <v>284</v>
      </c>
      <c r="L58" s="80" t="s">
        <v>285</v>
      </c>
      <c r="M58" s="80" t="s">
        <v>286</v>
      </c>
      <c r="N58" s="80" t="s">
        <v>51</v>
      </c>
      <c r="O58" s="80" t="s">
        <v>287</v>
      </c>
      <c r="P58" s="163" t="s">
        <v>52</v>
      </c>
      <c r="Q58" s="163" t="s">
        <v>52</v>
      </c>
      <c r="R58" s="49"/>
      <c r="S58" s="81" t="s">
        <v>282</v>
      </c>
      <c r="T58" s="81" t="s">
        <v>283</v>
      </c>
      <c r="U58" s="80" t="s">
        <v>284</v>
      </c>
      <c r="V58" s="80" t="s">
        <v>285</v>
      </c>
      <c r="W58" s="80" t="s">
        <v>286</v>
      </c>
      <c r="X58" s="80" t="s">
        <v>51</v>
      </c>
      <c r="Y58" s="80" t="s">
        <v>287</v>
      </c>
      <c r="Z58" s="163" t="s">
        <v>52</v>
      </c>
      <c r="AA58" s="163" t="s">
        <v>52</v>
      </c>
      <c r="AB58" s="49"/>
      <c r="AC58" s="81" t="s">
        <v>282</v>
      </c>
      <c r="AD58" s="81" t="s">
        <v>283</v>
      </c>
      <c r="AE58" s="80" t="s">
        <v>284</v>
      </c>
      <c r="AF58" s="80" t="s">
        <v>285</v>
      </c>
      <c r="AG58" s="80" t="s">
        <v>286</v>
      </c>
      <c r="AH58" s="80" t="s">
        <v>51</v>
      </c>
      <c r="AI58" s="80" t="s">
        <v>287</v>
      </c>
      <c r="AJ58" s="163" t="s">
        <v>52</v>
      </c>
      <c r="AK58" s="163" t="s">
        <v>52</v>
      </c>
      <c r="AL58" s="49"/>
      <c r="AM58" s="81" t="s">
        <v>282</v>
      </c>
      <c r="AN58" s="81" t="s">
        <v>283</v>
      </c>
      <c r="AO58" s="80" t="s">
        <v>284</v>
      </c>
      <c r="AP58" s="80" t="s">
        <v>285</v>
      </c>
      <c r="AQ58" s="80" t="s">
        <v>286</v>
      </c>
      <c r="AR58" s="80" t="s">
        <v>51</v>
      </c>
      <c r="AS58" s="80" t="s">
        <v>287</v>
      </c>
      <c r="AT58" s="163" t="s">
        <v>52</v>
      </c>
      <c r="AU58" s="163" t="s">
        <v>52</v>
      </c>
      <c r="AV58" s="49"/>
      <c r="AW58" s="81" t="s">
        <v>282</v>
      </c>
      <c r="AX58" s="81" t="s">
        <v>283</v>
      </c>
      <c r="AY58" s="80" t="s">
        <v>284</v>
      </c>
      <c r="AZ58" s="80" t="s">
        <v>285</v>
      </c>
      <c r="BA58" s="80" t="s">
        <v>286</v>
      </c>
      <c r="BB58" s="80" t="s">
        <v>51</v>
      </c>
      <c r="BC58" s="80" t="s">
        <v>287</v>
      </c>
      <c r="BD58" s="163" t="s">
        <v>52</v>
      </c>
      <c r="BE58" s="163" t="s">
        <v>52</v>
      </c>
      <c r="BF58" s="49"/>
      <c r="BG58" s="81" t="s">
        <v>282</v>
      </c>
      <c r="BH58" s="81" t="s">
        <v>283</v>
      </c>
      <c r="BI58" s="80" t="s">
        <v>284</v>
      </c>
      <c r="BJ58" s="80" t="s">
        <v>285</v>
      </c>
      <c r="BK58" s="80" t="s">
        <v>286</v>
      </c>
      <c r="BL58" s="80" t="s">
        <v>51</v>
      </c>
      <c r="BM58" s="80" t="s">
        <v>287</v>
      </c>
      <c r="BN58" s="163" t="s">
        <v>52</v>
      </c>
      <c r="BO58" s="163" t="s">
        <v>52</v>
      </c>
      <c r="BP58" s="49"/>
      <c r="BQ58" s="81" t="s">
        <v>282</v>
      </c>
      <c r="BR58" s="81" t="s">
        <v>283</v>
      </c>
      <c r="BS58" s="80" t="s">
        <v>284</v>
      </c>
      <c r="BT58" s="80" t="s">
        <v>285</v>
      </c>
      <c r="BU58" s="80" t="s">
        <v>286</v>
      </c>
      <c r="BV58" s="80" t="s">
        <v>51</v>
      </c>
      <c r="BW58" s="80" t="s">
        <v>287</v>
      </c>
      <c r="BX58" s="163" t="s">
        <v>52</v>
      </c>
      <c r="BY58" s="163" t="s">
        <v>52</v>
      </c>
      <c r="BZ58" s="49"/>
      <c r="CA58" s="81" t="s">
        <v>282</v>
      </c>
      <c r="CB58" s="81" t="s">
        <v>283</v>
      </c>
      <c r="CC58" s="80" t="s">
        <v>284</v>
      </c>
      <c r="CD58" s="80" t="s">
        <v>285</v>
      </c>
      <c r="CE58" s="80" t="s">
        <v>286</v>
      </c>
      <c r="CF58" s="80" t="s">
        <v>51</v>
      </c>
      <c r="CG58" s="80" t="s">
        <v>287</v>
      </c>
      <c r="CH58" s="163" t="s">
        <v>52</v>
      </c>
      <c r="CI58" s="163" t="s">
        <v>52</v>
      </c>
      <c r="CJ58" s="49"/>
      <c r="CK58" s="81" t="s">
        <v>282</v>
      </c>
      <c r="CL58" s="81" t="s">
        <v>283</v>
      </c>
      <c r="CM58" s="80" t="s">
        <v>284</v>
      </c>
      <c r="CN58" s="80" t="s">
        <v>285</v>
      </c>
      <c r="CO58" s="80" t="s">
        <v>286</v>
      </c>
      <c r="CP58" s="80" t="s">
        <v>51</v>
      </c>
      <c r="CQ58" s="80" t="s">
        <v>287</v>
      </c>
      <c r="CR58" s="163" t="s">
        <v>52</v>
      </c>
      <c r="CS58" s="163" t="s">
        <v>52</v>
      </c>
      <c r="CT58" s="49"/>
      <c r="CU58" s="81" t="s">
        <v>282</v>
      </c>
      <c r="CV58" s="81" t="s">
        <v>283</v>
      </c>
      <c r="CW58" s="80" t="s">
        <v>284</v>
      </c>
      <c r="CX58" s="80" t="s">
        <v>285</v>
      </c>
      <c r="CY58" s="80" t="s">
        <v>286</v>
      </c>
      <c r="CZ58" s="80" t="s">
        <v>51</v>
      </c>
      <c r="DA58" s="80" t="s">
        <v>287</v>
      </c>
      <c r="DB58" s="163" t="s">
        <v>52</v>
      </c>
      <c r="DC58" s="163" t="s">
        <v>52</v>
      </c>
      <c r="DD58" s="49"/>
      <c r="DE58" s="163" t="s">
        <v>52</v>
      </c>
      <c r="DF58" s="163" t="s">
        <v>52</v>
      </c>
      <c r="DG58" s="49"/>
      <c r="DH58" s="163" t="s">
        <v>52</v>
      </c>
      <c r="DI58" s="163" t="s">
        <v>52</v>
      </c>
      <c r="DJ58" s="163" t="s">
        <v>52</v>
      </c>
      <c r="DK58" s="81" t="s">
        <v>282</v>
      </c>
      <c r="DL58" s="81" t="s">
        <v>283</v>
      </c>
      <c r="DM58" s="80" t="s">
        <v>284</v>
      </c>
      <c r="DN58" s="80" t="s">
        <v>285</v>
      </c>
      <c r="DO58" s="80" t="s">
        <v>286</v>
      </c>
      <c r="DP58" s="80" t="s">
        <v>51</v>
      </c>
      <c r="DQ58" s="80" t="s">
        <v>287</v>
      </c>
      <c r="DR58" s="163" t="s">
        <v>52</v>
      </c>
      <c r="DS58" s="163" t="s">
        <v>52</v>
      </c>
      <c r="DT58" s="49"/>
      <c r="DU58" s="163" t="s">
        <v>52</v>
      </c>
      <c r="DV58" s="163" t="s">
        <v>52</v>
      </c>
      <c r="DW58" s="49"/>
      <c r="DX58" s="163" t="s">
        <v>52</v>
      </c>
      <c r="DY58" s="163" t="s">
        <v>52</v>
      </c>
      <c r="DZ58" s="163" t="s">
        <v>52</v>
      </c>
      <c r="EA58" s="49"/>
      <c r="EB58" s="81" t="s">
        <v>282</v>
      </c>
      <c r="EC58" s="81" t="s">
        <v>283</v>
      </c>
      <c r="ED58" s="80" t="s">
        <v>284</v>
      </c>
      <c r="EE58" s="80" t="s">
        <v>285</v>
      </c>
      <c r="EF58" s="80" t="s">
        <v>286</v>
      </c>
      <c r="EG58" s="80" t="s">
        <v>51</v>
      </c>
      <c r="EH58" s="80" t="s">
        <v>287</v>
      </c>
      <c r="EI58" s="163" t="s">
        <v>52</v>
      </c>
      <c r="EJ58" s="163" t="s">
        <v>52</v>
      </c>
      <c r="EK58" s="49"/>
      <c r="EL58" s="163" t="s">
        <v>52</v>
      </c>
      <c r="EM58" s="163" t="s">
        <v>52</v>
      </c>
      <c r="EN58" s="49"/>
      <c r="EO58" s="163" t="s">
        <v>52</v>
      </c>
      <c r="EP58" s="163" t="s">
        <v>52</v>
      </c>
      <c r="EQ58" s="163" t="s">
        <v>52</v>
      </c>
    </row>
    <row r="59" spans="1:147" ht="13" x14ac:dyDescent="0.5">
      <c r="A59" s="98" t="s">
        <v>300</v>
      </c>
      <c r="B59" s="161" t="s">
        <v>52</v>
      </c>
      <c r="C59" s="161" t="s">
        <v>52</v>
      </c>
      <c r="D59" s="161" t="s">
        <v>52</v>
      </c>
      <c r="E59" s="161" t="s">
        <v>52</v>
      </c>
      <c r="F59" s="162">
        <f t="shared" ref="F59:G59" si="41">F54</f>
        <v>6574287.2034216905</v>
      </c>
      <c r="G59" s="162">
        <f t="shared" si="41"/>
        <v>6670186.2660515979</v>
      </c>
      <c r="H59" s="49"/>
      <c r="I59" s="162">
        <f>I54</f>
        <v>1758</v>
      </c>
      <c r="J59" s="162">
        <f t="shared" ref="J59:O59" si="42">J54</f>
        <v>236295024</v>
      </c>
      <c r="K59" s="162">
        <f t="shared" si="42"/>
        <v>1277154.8269097796</v>
      </c>
      <c r="L59" s="162">
        <f t="shared" si="42"/>
        <v>1000327.64151994</v>
      </c>
      <c r="M59" s="162">
        <f t="shared" si="42"/>
        <v>276827.18538983993</v>
      </c>
      <c r="N59" s="162">
        <f t="shared" si="42"/>
        <v>6999837.9374676803</v>
      </c>
      <c r="O59" s="162">
        <f t="shared" si="42"/>
        <v>6949894.2927762521</v>
      </c>
      <c r="P59" s="163" t="s">
        <v>52</v>
      </c>
      <c r="Q59" s="163" t="s">
        <v>52</v>
      </c>
      <c r="R59" s="49"/>
      <c r="S59" s="162">
        <f>S54</f>
        <v>1774</v>
      </c>
      <c r="T59" s="162">
        <f t="shared" ref="T59:Y59" si="43">T54</f>
        <v>238312770</v>
      </c>
      <c r="U59" s="162">
        <f t="shared" si="43"/>
        <v>1056702.08424382</v>
      </c>
      <c r="V59" s="162">
        <f t="shared" si="43"/>
        <v>1027593.7511361302</v>
      </c>
      <c r="W59" s="162">
        <f t="shared" si="43"/>
        <v>29108.333107689985</v>
      </c>
      <c r="X59" s="162">
        <f t="shared" si="43"/>
        <v>7219610.6927988967</v>
      </c>
      <c r="Y59" s="162">
        <f t="shared" si="43"/>
        <v>7218274.1231773393</v>
      </c>
      <c r="Z59" s="163" t="s">
        <v>52</v>
      </c>
      <c r="AA59" s="163" t="s">
        <v>52</v>
      </c>
      <c r="AB59" s="49"/>
      <c r="AC59" s="162">
        <f>AC54</f>
        <v>1791</v>
      </c>
      <c r="AD59" s="162">
        <f t="shared" ref="AD59:AI59" si="44">AD54</f>
        <v>241344556</v>
      </c>
      <c r="AE59" s="162">
        <f t="shared" si="44"/>
        <v>1395995.6071801004</v>
      </c>
      <c r="AF59" s="162">
        <f t="shared" si="44"/>
        <v>1346900.9955411502</v>
      </c>
      <c r="AG59" s="162">
        <f t="shared" si="44"/>
        <v>49094.611638949718</v>
      </c>
      <c r="AH59" s="162">
        <f t="shared" si="44"/>
        <v>7440670.8410202703</v>
      </c>
      <c r="AI59" s="162">
        <f t="shared" si="44"/>
        <v>7479155.514720561</v>
      </c>
      <c r="AJ59" s="163" t="s">
        <v>52</v>
      </c>
      <c r="AK59" s="163" t="s">
        <v>52</v>
      </c>
      <c r="AL59" s="49"/>
      <c r="AM59" s="162">
        <f>AM54</f>
        <v>1819</v>
      </c>
      <c r="AN59" s="162">
        <f t="shared" ref="AN59:AS59" si="45">AN54</f>
        <v>245724339</v>
      </c>
      <c r="AO59" s="162">
        <f t="shared" si="45"/>
        <v>1438343.41054671</v>
      </c>
      <c r="AP59" s="162">
        <f t="shared" si="45"/>
        <v>1259549.1013270803</v>
      </c>
      <c r="AQ59" s="162">
        <f t="shared" si="45"/>
        <v>178794.30921963006</v>
      </c>
      <c r="AR59" s="162">
        <f t="shared" si="45"/>
        <v>7535970.6829943433</v>
      </c>
      <c r="AS59" s="162">
        <f t="shared" si="45"/>
        <v>7700420.4608553303</v>
      </c>
      <c r="AT59" s="163" t="s">
        <v>52</v>
      </c>
      <c r="AU59" s="163" t="s">
        <v>52</v>
      </c>
      <c r="AV59" s="49"/>
      <c r="AW59" s="162">
        <f>AW54</f>
        <v>1843</v>
      </c>
      <c r="AX59" s="162">
        <f t="shared" ref="AX59:BC59" si="46">AX54</f>
        <v>248909424</v>
      </c>
      <c r="AY59" s="162">
        <f t="shared" si="46"/>
        <v>1111997.8263416097</v>
      </c>
      <c r="AZ59" s="162">
        <f t="shared" si="46"/>
        <v>1059555.0437505599</v>
      </c>
      <c r="BA59" s="162">
        <f t="shared" si="46"/>
        <v>52442.782591050644</v>
      </c>
      <c r="BB59" s="162">
        <f t="shared" si="46"/>
        <v>7518702.5017515384</v>
      </c>
      <c r="BC59" s="162">
        <f t="shared" si="46"/>
        <v>7671481.895068421</v>
      </c>
      <c r="BD59" s="163" t="s">
        <v>52</v>
      </c>
      <c r="BE59" s="163" t="s">
        <v>52</v>
      </c>
      <c r="BF59" s="49"/>
      <c r="BG59" s="162">
        <f>BG54</f>
        <v>1849</v>
      </c>
      <c r="BH59" s="162">
        <f t="shared" ref="BH59:BM59" si="47">BH54</f>
        <v>251923162</v>
      </c>
      <c r="BI59" s="162">
        <f t="shared" si="47"/>
        <v>1356255.2106862303</v>
      </c>
      <c r="BJ59" s="162">
        <f t="shared" si="47"/>
        <v>1399401.5267503301</v>
      </c>
      <c r="BK59" s="162">
        <f t="shared" si="47"/>
        <v>-43146.316064100392</v>
      </c>
      <c r="BL59" s="162">
        <f t="shared" si="47"/>
        <v>7561309.2884243382</v>
      </c>
      <c r="BM59" s="162">
        <f t="shared" si="47"/>
        <v>7777801.6991374698</v>
      </c>
      <c r="BN59" s="163" t="s">
        <v>52</v>
      </c>
      <c r="BO59" s="163" t="s">
        <v>52</v>
      </c>
      <c r="BP59" s="49"/>
      <c r="BQ59" s="162">
        <f>BQ54</f>
        <v>1865</v>
      </c>
      <c r="BR59" s="162">
        <f t="shared" ref="BR59:BW59" si="48">BR54</f>
        <v>256003815</v>
      </c>
      <c r="BS59" s="162">
        <f t="shared" si="48"/>
        <v>1284795.7758885599</v>
      </c>
      <c r="BT59" s="162">
        <f t="shared" si="48"/>
        <v>1069139.0982659501</v>
      </c>
      <c r="BU59" s="162">
        <f t="shared" si="48"/>
        <v>215656.67762260986</v>
      </c>
      <c r="BV59" s="162">
        <f t="shared" si="48"/>
        <v>7987939.9371946398</v>
      </c>
      <c r="BW59" s="162">
        <f t="shared" si="48"/>
        <v>7979397.5260281907</v>
      </c>
      <c r="BX59" s="163" t="s">
        <v>52</v>
      </c>
      <c r="BY59" s="163" t="s">
        <v>52</v>
      </c>
      <c r="BZ59" s="49"/>
      <c r="CA59" s="162">
        <f>CA54</f>
        <v>1886</v>
      </c>
      <c r="CB59" s="162">
        <f t="shared" ref="CB59:CG59" si="49">CB54</f>
        <v>258614320</v>
      </c>
      <c r="CC59" s="162">
        <f t="shared" si="49"/>
        <v>1060406.3421410897</v>
      </c>
      <c r="CD59" s="162">
        <f t="shared" si="49"/>
        <v>1027650.9863932501</v>
      </c>
      <c r="CE59" s="162">
        <f t="shared" si="49"/>
        <v>32755.355747839836</v>
      </c>
      <c r="CF59" s="162">
        <f t="shared" si="49"/>
        <v>8080369.5215099808</v>
      </c>
      <c r="CG59" s="162">
        <f t="shared" si="49"/>
        <v>8131763.6712122699</v>
      </c>
      <c r="CH59" s="163" t="s">
        <v>52</v>
      </c>
      <c r="CI59" s="163" t="s">
        <v>52</v>
      </c>
      <c r="CJ59" s="49"/>
      <c r="CK59" s="162">
        <f>CK54</f>
        <v>1908</v>
      </c>
      <c r="CL59" s="162">
        <f t="shared" ref="CL59:CQ59" si="50">CL54</f>
        <v>261253836</v>
      </c>
      <c r="CM59" s="162">
        <f t="shared" si="50"/>
        <v>1466374.9882513601</v>
      </c>
      <c r="CN59" s="162">
        <f t="shared" si="50"/>
        <v>1532965.68800828</v>
      </c>
      <c r="CO59" s="162">
        <f t="shared" si="50"/>
        <v>-66590.699756920163</v>
      </c>
      <c r="CP59" s="162">
        <f t="shared" si="50"/>
        <v>8023378.9941126974</v>
      </c>
      <c r="CQ59" s="162">
        <f t="shared" si="50"/>
        <v>8199191.2128050914</v>
      </c>
      <c r="CR59" s="163" t="s">
        <v>52</v>
      </c>
      <c r="CS59" s="163" t="s">
        <v>52</v>
      </c>
      <c r="CT59" s="49"/>
      <c r="CU59" s="162">
        <f>CU54</f>
        <v>1919</v>
      </c>
      <c r="CV59" s="162">
        <f t="shared" ref="CV59:DA59" si="51">CV54</f>
        <v>266313561</v>
      </c>
      <c r="CW59" s="162">
        <f t="shared" si="51"/>
        <v>1384940.6775328298</v>
      </c>
      <c r="CX59" s="162">
        <f t="shared" si="51"/>
        <v>1228482.0454760403</v>
      </c>
      <c r="CY59" s="162">
        <f t="shared" si="51"/>
        <v>156458.63205679</v>
      </c>
      <c r="CZ59" s="162">
        <f t="shared" si="51"/>
        <v>8101305.577570783</v>
      </c>
      <c r="DA59" s="162">
        <f t="shared" si="51"/>
        <v>8201174.6177598927</v>
      </c>
      <c r="DB59" s="163" t="s">
        <v>52</v>
      </c>
      <c r="DC59" s="163" t="s">
        <v>52</v>
      </c>
      <c r="DD59" s="49"/>
      <c r="DE59" s="163" t="s">
        <v>52</v>
      </c>
      <c r="DF59" s="163" t="s">
        <v>52</v>
      </c>
      <c r="DG59" s="49"/>
      <c r="DH59" s="163" t="s">
        <v>52</v>
      </c>
      <c r="DI59" s="163" t="s">
        <v>52</v>
      </c>
      <c r="DJ59" s="163" t="s">
        <v>52</v>
      </c>
      <c r="DK59" s="162">
        <f>DK54</f>
        <v>1937</v>
      </c>
      <c r="DL59" s="162">
        <f t="shared" ref="DL59:DQ59" si="52">DL54</f>
        <v>270571455</v>
      </c>
      <c r="DM59" s="162">
        <f t="shared" si="52"/>
        <v>1355085.4695160112</v>
      </c>
      <c r="DN59" s="162">
        <f t="shared" si="52"/>
        <v>1260555.46859517</v>
      </c>
      <c r="DO59" s="162">
        <f t="shared" si="52"/>
        <v>94530.000920840917</v>
      </c>
      <c r="DP59" s="162">
        <f t="shared" si="52"/>
        <v>8202956.3501719562</v>
      </c>
      <c r="DQ59" s="162">
        <f t="shared" si="52"/>
        <v>8342616.5713379178</v>
      </c>
      <c r="DR59" s="163" t="s">
        <v>52</v>
      </c>
      <c r="DS59" s="163" t="s">
        <v>52</v>
      </c>
      <c r="DT59" s="49"/>
      <c r="DU59" s="163" t="s">
        <v>52</v>
      </c>
      <c r="DV59" s="163" t="s">
        <v>52</v>
      </c>
      <c r="DW59" s="49"/>
      <c r="DX59" s="163" t="s">
        <v>52</v>
      </c>
      <c r="DY59" s="163" t="s">
        <v>52</v>
      </c>
      <c r="DZ59" s="163" t="s">
        <v>52</v>
      </c>
      <c r="EA59" s="49"/>
      <c r="EB59" s="162">
        <f>EB54</f>
        <v>1955</v>
      </c>
      <c r="EC59" s="162">
        <f t="shared" ref="EC59:EH59" si="53">EC54</f>
        <v>273933348</v>
      </c>
      <c r="ED59" s="162">
        <f t="shared" si="53"/>
        <v>1561578.9603334984</v>
      </c>
      <c r="EE59" s="162">
        <f t="shared" si="53"/>
        <v>1801488.9585599599</v>
      </c>
      <c r="EF59" s="162">
        <f t="shared" si="53"/>
        <v>-239909.9982264608</v>
      </c>
      <c r="EG59" s="162">
        <f t="shared" si="53"/>
        <v>7373346.6137568606</v>
      </c>
      <c r="EH59" s="162">
        <f t="shared" si="53"/>
        <v>7945988.4829479307</v>
      </c>
      <c r="EI59" s="163" t="s">
        <v>52</v>
      </c>
      <c r="EJ59" s="163" t="s">
        <v>52</v>
      </c>
      <c r="EK59" s="49"/>
      <c r="EL59" s="163" t="s">
        <v>52</v>
      </c>
      <c r="EM59" s="163" t="s">
        <v>52</v>
      </c>
      <c r="EN59" s="49"/>
      <c r="EO59" s="163" t="s">
        <v>52</v>
      </c>
      <c r="EP59" s="163" t="s">
        <v>52</v>
      </c>
      <c r="EQ59" s="163" t="s">
        <v>52</v>
      </c>
    </row>
    <row r="60" spans="1:147" ht="13" x14ac:dyDescent="0.5">
      <c r="A60" s="98" t="s">
        <v>292</v>
      </c>
      <c r="B60" s="161" t="s">
        <v>52</v>
      </c>
      <c r="C60" s="161" t="s">
        <v>52</v>
      </c>
      <c r="D60" s="161" t="s">
        <v>52</v>
      </c>
      <c r="E60" s="161" t="s">
        <v>52</v>
      </c>
      <c r="F60" s="101" t="s">
        <v>52</v>
      </c>
      <c r="G60" s="101" t="s">
        <v>52</v>
      </c>
      <c r="H60" s="49"/>
      <c r="I60" s="101" t="s">
        <v>52</v>
      </c>
      <c r="J60" s="101" t="s">
        <v>52</v>
      </c>
      <c r="K60" s="101" t="s">
        <v>52</v>
      </c>
      <c r="L60" s="101" t="s">
        <v>52</v>
      </c>
      <c r="M60" s="101" t="s">
        <v>52</v>
      </c>
      <c r="N60" s="101">
        <f>(N59-F59)/F59</f>
        <v>6.4729562442070565E-2</v>
      </c>
      <c r="O60" s="101">
        <f>(O59-G59)/G59</f>
        <v>4.1934065342110277E-2</v>
      </c>
      <c r="P60" s="163" t="s">
        <v>52</v>
      </c>
      <c r="Q60" s="163" t="s">
        <v>52</v>
      </c>
      <c r="R60" s="49"/>
      <c r="S60" s="101">
        <f t="shared" ref="S60:Y60" si="54">(S59-I59)/I59</f>
        <v>9.1012514220705342E-3</v>
      </c>
      <c r="T60" s="101">
        <f t="shared" si="54"/>
        <v>8.5390964474986158E-3</v>
      </c>
      <c r="U60" s="101">
        <f t="shared" si="54"/>
        <v>-0.17261238654938169</v>
      </c>
      <c r="V60" s="101">
        <f t="shared" si="54"/>
        <v>2.7257179032622671E-2</v>
      </c>
      <c r="W60" s="101">
        <f t="shared" si="54"/>
        <v>-0.89485016413146568</v>
      </c>
      <c r="X60" s="101">
        <f t="shared" si="54"/>
        <v>3.139683479739578E-2</v>
      </c>
      <c r="Y60" s="101">
        <f t="shared" si="54"/>
        <v>3.8616390278056779E-2</v>
      </c>
      <c r="Z60" s="163" t="s">
        <v>52</v>
      </c>
      <c r="AA60" s="163" t="s">
        <v>52</v>
      </c>
      <c r="AB60" s="49"/>
      <c r="AC60" s="101">
        <f t="shared" ref="AC60:AI60" si="55">(AC59-S59)/S59</f>
        <v>9.5828635851183761E-3</v>
      </c>
      <c r="AD60" s="101">
        <f t="shared" si="55"/>
        <v>1.2721878059660839E-2</v>
      </c>
      <c r="AE60" s="101">
        <f t="shared" si="55"/>
        <v>0.32108720896399107</v>
      </c>
      <c r="AF60" s="101">
        <f t="shared" si="55"/>
        <v>0.31073295653266375</v>
      </c>
      <c r="AG60" s="101">
        <f t="shared" si="55"/>
        <v>0.68661707481902012</v>
      </c>
      <c r="AH60" s="101">
        <f t="shared" si="55"/>
        <v>3.0619400079545427E-2</v>
      </c>
      <c r="AI60" s="101">
        <f t="shared" si="55"/>
        <v>3.6141796098537043E-2</v>
      </c>
      <c r="AJ60" s="163" t="s">
        <v>52</v>
      </c>
      <c r="AK60" s="163" t="s">
        <v>52</v>
      </c>
      <c r="AL60" s="49"/>
      <c r="AM60" s="101">
        <f t="shared" ref="AM60:AS60" si="56">(AM59-AC59)/AC59</f>
        <v>1.5633724176437745E-2</v>
      </c>
      <c r="AN60" s="101">
        <f t="shared" si="56"/>
        <v>1.8147428193905479E-2</v>
      </c>
      <c r="AO60" s="101">
        <f t="shared" si="56"/>
        <v>3.0335198154492642E-2</v>
      </c>
      <c r="AP60" s="101">
        <f t="shared" si="56"/>
        <v>-6.485398296032456E-2</v>
      </c>
      <c r="AQ60" s="101">
        <f t="shared" si="56"/>
        <v>2.6418316236925223</v>
      </c>
      <c r="AR60" s="101">
        <f t="shared" si="56"/>
        <v>1.2807963691753028E-2</v>
      </c>
      <c r="AS60" s="101">
        <f t="shared" si="56"/>
        <v>2.9584215183020745E-2</v>
      </c>
      <c r="AT60" s="163" t="s">
        <v>52</v>
      </c>
      <c r="AU60" s="163" t="s">
        <v>52</v>
      </c>
      <c r="AV60" s="49"/>
      <c r="AW60" s="101">
        <f t="shared" ref="AW60:BC60" si="57">(AW59-AM59)/AM59</f>
        <v>1.3194062671797692E-2</v>
      </c>
      <c r="AX60" s="101">
        <f t="shared" si="57"/>
        <v>1.2962024897338314E-2</v>
      </c>
      <c r="AY60" s="101">
        <f t="shared" si="57"/>
        <v>-0.22688989417419955</v>
      </c>
      <c r="AZ60" s="101">
        <f t="shared" si="57"/>
        <v>-0.15878226372104395</v>
      </c>
      <c r="BA60" s="101">
        <f t="shared" si="57"/>
        <v>-0.70668651133280658</v>
      </c>
      <c r="BB60" s="101">
        <f t="shared" si="57"/>
        <v>-2.2914342384282782E-3</v>
      </c>
      <c r="BC60" s="101">
        <f t="shared" si="57"/>
        <v>-3.7580500875266411E-3</v>
      </c>
      <c r="BD60" s="163" t="s">
        <v>52</v>
      </c>
      <c r="BE60" s="163" t="s">
        <v>52</v>
      </c>
      <c r="BF60" s="49"/>
      <c r="BG60" s="101">
        <f t="shared" ref="BG60:BM60" si="58">(BG59-AW59)/AW59</f>
        <v>3.2555615843733042E-3</v>
      </c>
      <c r="BH60" s="101">
        <f t="shared" si="58"/>
        <v>1.2107769772509698E-2</v>
      </c>
      <c r="BI60" s="101">
        <f t="shared" si="58"/>
        <v>0.21965635054180752</v>
      </c>
      <c r="BJ60" s="101">
        <f t="shared" si="58"/>
        <v>0.32074452856814178</v>
      </c>
      <c r="BK60" s="101">
        <f t="shared" si="58"/>
        <v>-1.8227312497995349</v>
      </c>
      <c r="BL60" s="101">
        <f t="shared" si="58"/>
        <v>5.6667738433425546E-3</v>
      </c>
      <c r="BM60" s="101">
        <f t="shared" si="58"/>
        <v>1.385909600300249E-2</v>
      </c>
      <c r="BN60" s="163" t="s">
        <v>52</v>
      </c>
      <c r="BO60" s="163" t="s">
        <v>52</v>
      </c>
      <c r="BP60" s="49"/>
      <c r="BQ60" s="101">
        <f t="shared" ref="BQ60:BW60" si="59">(BQ59-BG59)/BG59</f>
        <v>8.6533261222282321E-3</v>
      </c>
      <c r="BR60" s="101">
        <f t="shared" si="59"/>
        <v>1.6198006438169429E-2</v>
      </c>
      <c r="BS60" s="101">
        <f t="shared" si="59"/>
        <v>-5.2688781753335218E-2</v>
      </c>
      <c r="BT60" s="101">
        <f t="shared" si="59"/>
        <v>-0.2360026212428899</v>
      </c>
      <c r="BU60" s="101">
        <f t="shared" si="59"/>
        <v>-5.9982639839336267</v>
      </c>
      <c r="BV60" s="101">
        <f t="shared" si="59"/>
        <v>5.6422853833453614E-2</v>
      </c>
      <c r="BW60" s="101">
        <f t="shared" si="59"/>
        <v>2.5919383739633942E-2</v>
      </c>
      <c r="BX60" s="163" t="s">
        <v>52</v>
      </c>
      <c r="BY60" s="163" t="s">
        <v>52</v>
      </c>
      <c r="BZ60" s="49"/>
      <c r="CA60" s="101">
        <f t="shared" ref="CA60:CG60" si="60">(CA59-BQ59)/BQ59</f>
        <v>1.1260053619302948E-2</v>
      </c>
      <c r="CB60" s="101">
        <f t="shared" si="60"/>
        <v>1.0197133195065863E-2</v>
      </c>
      <c r="CC60" s="101">
        <f t="shared" si="60"/>
        <v>-0.17464988440850318</v>
      </c>
      <c r="CD60" s="101">
        <f t="shared" si="60"/>
        <v>-3.880515822495887E-2</v>
      </c>
      <c r="CE60" s="101">
        <f t="shared" si="60"/>
        <v>-0.84811341754434177</v>
      </c>
      <c r="CF60" s="101">
        <f t="shared" si="60"/>
        <v>1.1571141626260424E-2</v>
      </c>
      <c r="CG60" s="101">
        <f t="shared" si="60"/>
        <v>1.9094943532650472E-2</v>
      </c>
      <c r="CH60" s="163" t="s">
        <v>52</v>
      </c>
      <c r="CI60" s="163" t="s">
        <v>52</v>
      </c>
      <c r="CJ60" s="49"/>
      <c r="CK60" s="101">
        <f t="shared" ref="CK60:CQ60" si="61">(CK59-CA59)/CA59</f>
        <v>1.166489925768823E-2</v>
      </c>
      <c r="CL60" s="101">
        <f t="shared" si="61"/>
        <v>1.0206379909666255E-2</v>
      </c>
      <c r="CM60" s="101">
        <f t="shared" si="61"/>
        <v>0.38284252929925916</v>
      </c>
      <c r="CN60" s="101">
        <f t="shared" si="61"/>
        <v>0.491718208132641</v>
      </c>
      <c r="CO60" s="101">
        <f t="shared" si="61"/>
        <v>-3.0329713488552699</v>
      </c>
      <c r="CP60" s="101">
        <f t="shared" si="61"/>
        <v>-7.0529605416651186E-3</v>
      </c>
      <c r="CQ60" s="101">
        <f t="shared" si="61"/>
        <v>8.2918717659645775E-3</v>
      </c>
      <c r="CR60" s="163" t="s">
        <v>52</v>
      </c>
      <c r="CS60" s="163" t="s">
        <v>52</v>
      </c>
      <c r="CT60" s="49"/>
      <c r="CU60" s="101">
        <f t="shared" ref="CU60:DA60" si="62">(CU59-CK59)/CK59</f>
        <v>5.7651991614255764E-3</v>
      </c>
      <c r="CV60" s="101">
        <f t="shared" si="62"/>
        <v>1.9367084049246266E-2</v>
      </c>
      <c r="CW60" s="101">
        <f t="shared" si="62"/>
        <v>-5.5534437896843876E-2</v>
      </c>
      <c r="CX60" s="101">
        <f t="shared" si="62"/>
        <v>-0.19862391240331209</v>
      </c>
      <c r="CY60" s="101">
        <f t="shared" si="62"/>
        <v>-3.3495568094031132</v>
      </c>
      <c r="CZ60" s="101">
        <f t="shared" si="62"/>
        <v>9.712439548881539E-3</v>
      </c>
      <c r="DA60" s="101">
        <f t="shared" si="62"/>
        <v>2.4190251249461408E-4</v>
      </c>
      <c r="DB60" s="163" t="s">
        <v>52</v>
      </c>
      <c r="DC60" s="163" t="s">
        <v>52</v>
      </c>
      <c r="DD60" s="49"/>
      <c r="DE60" s="163" t="s">
        <v>52</v>
      </c>
      <c r="DF60" s="163" t="s">
        <v>52</v>
      </c>
      <c r="DG60" s="49"/>
      <c r="DH60" s="163" t="s">
        <v>52</v>
      </c>
      <c r="DI60" s="163" t="s">
        <v>52</v>
      </c>
      <c r="DJ60" s="163" t="s">
        <v>52</v>
      </c>
      <c r="DK60" s="101">
        <f t="shared" ref="DK60:DQ60" si="63">(DK59-CU59)/CU59</f>
        <v>9.3798853569567481E-3</v>
      </c>
      <c r="DL60" s="101">
        <f t="shared" si="63"/>
        <v>1.5988273312150258E-2</v>
      </c>
      <c r="DM60" s="101">
        <f t="shared" si="63"/>
        <v>-2.155703020435755E-2</v>
      </c>
      <c r="DN60" s="101">
        <f t="shared" si="63"/>
        <v>2.6108174097653231E-2</v>
      </c>
      <c r="DO60" s="101">
        <f t="shared" si="63"/>
        <v>-0.39581472956679542</v>
      </c>
      <c r="DP60" s="101">
        <f t="shared" si="63"/>
        <v>1.2547455669688953E-2</v>
      </c>
      <c r="DQ60" s="101">
        <f t="shared" si="63"/>
        <v>1.724654822880228E-2</v>
      </c>
      <c r="DR60" s="163" t="s">
        <v>52</v>
      </c>
      <c r="DS60" s="163" t="s">
        <v>52</v>
      </c>
      <c r="DT60" s="49"/>
      <c r="DU60" s="163" t="s">
        <v>52</v>
      </c>
      <c r="DV60" s="163" t="s">
        <v>52</v>
      </c>
      <c r="DW60" s="49"/>
      <c r="DX60" s="163" t="s">
        <v>52</v>
      </c>
      <c r="DY60" s="163" t="s">
        <v>52</v>
      </c>
      <c r="DZ60" s="163" t="s">
        <v>52</v>
      </c>
      <c r="EA60" s="49"/>
      <c r="EB60" s="101">
        <f t="shared" ref="EB60:EH60" si="64">(EB59-DK59)/DK59</f>
        <v>9.2927207021166747E-3</v>
      </c>
      <c r="EC60" s="101">
        <f t="shared" si="64"/>
        <v>1.2425157709263899E-2</v>
      </c>
      <c r="ED60" s="101">
        <f t="shared" si="64"/>
        <v>0.15238410820775714</v>
      </c>
      <c r="EE60" s="101">
        <f t="shared" si="64"/>
        <v>0.42912311551639609</v>
      </c>
      <c r="EF60" s="101">
        <f t="shared" si="64"/>
        <v>-3.5379244249384971</v>
      </c>
      <c r="EG60" s="101">
        <f t="shared" si="64"/>
        <v>-0.10113545665736777</v>
      </c>
      <c r="EH60" s="101">
        <f t="shared" si="64"/>
        <v>-4.754240890713491E-2</v>
      </c>
      <c r="EI60" s="163" t="s">
        <v>52</v>
      </c>
      <c r="EJ60" s="163" t="s">
        <v>52</v>
      </c>
      <c r="EK60" s="49"/>
      <c r="EL60" s="163" t="s">
        <v>52</v>
      </c>
      <c r="EM60" s="163" t="s">
        <v>52</v>
      </c>
      <c r="EN60" s="49"/>
      <c r="EO60" s="163" t="s">
        <v>52</v>
      </c>
      <c r="EP60" s="163" t="s">
        <v>52</v>
      </c>
      <c r="EQ60" s="163" t="s">
        <v>52</v>
      </c>
    </row>
  </sheetData>
  <mergeCells count="26">
    <mergeCell ref="AW2:BE2"/>
    <mergeCell ref="A1:G1"/>
    <mergeCell ref="I1:Q1"/>
    <mergeCell ref="S1:AA1"/>
    <mergeCell ref="AC1:AK1"/>
    <mergeCell ref="AM1:AU1"/>
    <mergeCell ref="AW1:BE1"/>
    <mergeCell ref="F2:G2"/>
    <mergeCell ref="I2:Q2"/>
    <mergeCell ref="S2:AA2"/>
    <mergeCell ref="AC2:AK2"/>
    <mergeCell ref="AM2:AU2"/>
    <mergeCell ref="EL2:EM2"/>
    <mergeCell ref="DK2:DS2"/>
    <mergeCell ref="DU2:DV2"/>
    <mergeCell ref="DE2:DF2"/>
    <mergeCell ref="BG1:BO1"/>
    <mergeCell ref="BQ1:BY1"/>
    <mergeCell ref="CA1:CI1"/>
    <mergeCell ref="CK1:CS1"/>
    <mergeCell ref="BG2:BO2"/>
    <mergeCell ref="BQ2:BY2"/>
    <mergeCell ref="CA2:CI2"/>
    <mergeCell ref="CK2:CS2"/>
    <mergeCell ref="CU2:DC2"/>
    <mergeCell ref="EB2:EJ2"/>
  </mergeCells>
  <printOptions horizontalCentered="1"/>
  <pageMargins left="0.74803149606299213" right="0.74803149606299213" top="0.98425196850393704" bottom="0.98425196850393704" header="0.51181102362204722" footer="0.51181102362204722"/>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BE35D-6946-4404-984D-A0B4212DF509}">
  <sheetPr>
    <pageSetUpPr fitToPage="1"/>
  </sheetPr>
  <dimension ref="A1:ED121"/>
  <sheetViews>
    <sheetView zoomScale="90" zoomScaleNormal="90" workbookViewId="0">
      <pane xSplit="2" ySplit="3" topLeftCell="C74" activePane="bottomRight" state="frozen"/>
      <selection pane="topRight" activeCell="C1" sqref="C1"/>
      <selection pane="bottomLeft" activeCell="A4" sqref="A4"/>
      <selection pane="bottomRight" activeCell="K81" sqref="K81"/>
    </sheetView>
  </sheetViews>
  <sheetFormatPr defaultColWidth="8.4140625" defaultRowHeight="18" x14ac:dyDescent="0.5"/>
  <cols>
    <col min="1" max="4" width="8.4140625" style="63" customWidth="1"/>
    <col min="5" max="5" width="0.75" style="63" customWidth="1"/>
    <col min="6" max="7" width="8.4140625" style="63" hidden="1" customWidth="1"/>
    <col min="8" max="16" width="8.4140625" style="63" customWidth="1"/>
    <col min="17" max="17" width="0.75" style="63" customWidth="1"/>
    <col min="18" max="19" width="8.4140625" style="63" hidden="1" customWidth="1"/>
    <col min="20" max="28" width="8.4140625" style="63" customWidth="1"/>
    <col min="29" max="29" width="0.75" style="63" customWidth="1"/>
    <col min="30" max="31" width="8.4140625" style="63" hidden="1" customWidth="1"/>
    <col min="32" max="40" width="8.4140625" style="63" customWidth="1"/>
    <col min="41" max="41" width="0.75" style="63" customWidth="1"/>
    <col min="42" max="43" width="8.4140625" style="63" hidden="1" customWidth="1"/>
    <col min="44" max="52" width="8.4140625" style="63" customWidth="1"/>
    <col min="53" max="53" width="0.75" style="63" customWidth="1"/>
    <col min="54" max="55" width="8.4140625" style="63" hidden="1" customWidth="1"/>
    <col min="56" max="64" width="8.4140625" style="63" customWidth="1"/>
    <col min="65" max="65" width="0.75" style="63" customWidth="1"/>
    <col min="66" max="67" width="8.4140625" style="63" hidden="1" customWidth="1"/>
    <col min="68" max="76" width="8.4140625" style="63" customWidth="1"/>
    <col min="77" max="77" width="0.75" style="63" customWidth="1"/>
    <col min="78" max="79" width="8.4140625" style="63" hidden="1" customWidth="1"/>
    <col min="80" max="88" width="8.4140625" style="63" customWidth="1"/>
    <col min="89" max="89" width="0.75" style="63" customWidth="1"/>
    <col min="90" max="91" width="8.4140625" style="63" hidden="1" customWidth="1"/>
    <col min="92" max="92" width="8.4140625" style="63" customWidth="1"/>
    <col min="93" max="93" width="11.9140625" style="63" customWidth="1"/>
    <col min="94" max="100" width="8.4140625" style="63" customWidth="1"/>
    <col min="101" max="101" width="0.75" style="63" customWidth="1"/>
    <col min="102" max="102" width="8.4140625" style="63" customWidth="1"/>
    <col min="103" max="103" width="20.6640625" style="63" customWidth="1"/>
    <col min="104" max="104" width="8.4140625" style="63" customWidth="1"/>
    <col min="105" max="105" width="11.25" style="63" customWidth="1"/>
    <col min="106" max="112" width="8.4140625" style="63" customWidth="1"/>
    <col min="113" max="113" width="0.75" style="1" customWidth="1"/>
    <col min="114" max="114" width="8.4140625" style="1" customWidth="1"/>
    <col min="115" max="115" width="19.1640625" style="1" customWidth="1"/>
    <col min="116" max="116" width="8.4140625" style="1" customWidth="1"/>
    <col min="117" max="117" width="11.6640625" style="1" customWidth="1"/>
    <col min="118" max="118" width="9.58203125" style="1" customWidth="1"/>
    <col min="119" max="119" width="10.08203125" style="1" customWidth="1"/>
    <col min="120" max="120" width="9.1640625" style="1" customWidth="1"/>
    <col min="121" max="121" width="9.83203125" style="1" customWidth="1"/>
    <col min="122" max="122" width="10.1640625" style="1" customWidth="1"/>
    <col min="123" max="124" width="8.4140625" style="1"/>
    <col min="125" max="125" width="0.83203125" style="1" customWidth="1"/>
    <col min="126" max="126" width="9.4140625" style="1" bestFit="1" customWidth="1"/>
    <col min="127" max="127" width="8.4140625" style="1"/>
    <col min="128" max="128" width="0.83203125" style="1" customWidth="1"/>
    <col min="129" max="129" width="8.4140625" style="1"/>
    <col min="130" max="130" width="8.4140625" style="106"/>
    <col min="131" max="131" width="8.4140625" style="1"/>
    <col min="135" max="16384" width="8.4140625" style="1"/>
  </cols>
  <sheetData>
    <row r="1" spans="1:131" s="28" customFormat="1" ht="14.5" customHeight="1" x14ac:dyDescent="0.5">
      <c r="A1" s="201"/>
      <c r="B1" s="201"/>
      <c r="C1" s="201"/>
      <c r="D1" s="201"/>
      <c r="E1" s="48" t="s">
        <v>52</v>
      </c>
      <c r="F1" s="233"/>
      <c r="G1" s="202"/>
      <c r="H1" s="202"/>
      <c r="I1" s="202"/>
      <c r="J1" s="202"/>
      <c r="K1" s="202"/>
      <c r="L1" s="202"/>
      <c r="M1" s="202"/>
      <c r="N1" s="202"/>
      <c r="O1" s="202"/>
      <c r="P1" s="203"/>
      <c r="Q1" s="48" t="s">
        <v>52</v>
      </c>
      <c r="R1" s="201"/>
      <c r="S1" s="201"/>
      <c r="T1" s="201"/>
      <c r="U1" s="201"/>
      <c r="V1" s="201"/>
      <c r="W1" s="201"/>
      <c r="X1" s="201"/>
      <c r="Y1" s="201"/>
      <c r="Z1" s="201"/>
      <c r="AA1" s="201"/>
      <c r="AB1" s="201"/>
      <c r="AC1" s="48" t="s">
        <v>52</v>
      </c>
      <c r="AD1" s="201"/>
      <c r="AE1" s="201"/>
      <c r="AF1" s="201"/>
      <c r="AG1" s="201"/>
      <c r="AH1" s="201"/>
      <c r="AI1" s="201"/>
      <c r="AJ1" s="201"/>
      <c r="AK1" s="201"/>
      <c r="AL1" s="201"/>
      <c r="AM1" s="201"/>
      <c r="AN1" s="201"/>
      <c r="AO1" s="48" t="s">
        <v>52</v>
      </c>
      <c r="AP1" s="201"/>
      <c r="AQ1" s="201"/>
      <c r="AR1" s="201"/>
      <c r="AS1" s="201"/>
      <c r="AT1" s="201"/>
      <c r="AU1" s="201"/>
      <c r="AV1" s="201"/>
      <c r="AW1" s="201"/>
      <c r="AX1" s="201"/>
      <c r="AY1" s="201"/>
      <c r="AZ1" s="201"/>
      <c r="BA1" s="48" t="s">
        <v>52</v>
      </c>
      <c r="BB1" s="201"/>
      <c r="BC1" s="201"/>
      <c r="BD1" s="201"/>
      <c r="BE1" s="201"/>
      <c r="BF1" s="201"/>
      <c r="BG1" s="201"/>
      <c r="BH1" s="201"/>
      <c r="BI1" s="201"/>
      <c r="BJ1" s="201"/>
      <c r="BK1" s="201"/>
      <c r="BL1" s="201"/>
      <c r="BM1" s="48" t="s">
        <v>52</v>
      </c>
      <c r="BN1" s="234"/>
      <c r="BO1" s="191"/>
      <c r="BP1" s="191"/>
      <c r="BQ1" s="191"/>
      <c r="BR1" s="191"/>
      <c r="BS1" s="191"/>
      <c r="BT1" s="191"/>
      <c r="BU1" s="191"/>
      <c r="BV1" s="191"/>
      <c r="BW1" s="191"/>
      <c r="BX1" s="192"/>
      <c r="BY1" s="48" t="s">
        <v>52</v>
      </c>
      <c r="BZ1" s="234"/>
      <c r="CA1" s="193"/>
      <c r="CB1" s="193"/>
      <c r="CC1" s="193"/>
      <c r="CD1" s="193"/>
      <c r="CE1" s="193"/>
      <c r="CF1" s="193"/>
      <c r="CG1" s="193"/>
      <c r="CH1" s="193"/>
      <c r="CI1" s="193"/>
      <c r="CJ1" s="194"/>
      <c r="CK1" s="48" t="s">
        <v>52</v>
      </c>
      <c r="CL1" s="233"/>
      <c r="CM1" s="195"/>
      <c r="CN1" s="195"/>
      <c r="CO1" s="195"/>
      <c r="CP1" s="195"/>
      <c r="CQ1" s="195"/>
      <c r="CR1" s="195"/>
      <c r="CS1" s="195"/>
      <c r="CT1" s="195"/>
      <c r="CU1" s="195"/>
      <c r="CV1" s="196"/>
      <c r="CW1" s="48" t="s">
        <v>52</v>
      </c>
      <c r="CX1" s="201"/>
      <c r="CY1" s="197"/>
      <c r="CZ1" s="197"/>
      <c r="DA1" s="197"/>
      <c r="DB1" s="197"/>
      <c r="DC1" s="197"/>
      <c r="DD1" s="197"/>
      <c r="DE1" s="197"/>
      <c r="DF1" s="197"/>
      <c r="DG1" s="197"/>
      <c r="DH1" s="197"/>
      <c r="DI1" s="29" t="s">
        <v>52</v>
      </c>
      <c r="DU1" s="29" t="s">
        <v>52</v>
      </c>
      <c r="DX1" s="29" t="s">
        <v>52</v>
      </c>
      <c r="DZ1" s="105"/>
    </row>
    <row r="2" spans="1:131" ht="12" customHeight="1" x14ac:dyDescent="0.5">
      <c r="A2" s="102" t="s">
        <v>52</v>
      </c>
      <c r="B2" s="102" t="s">
        <v>52</v>
      </c>
      <c r="C2" s="210" t="s">
        <v>299</v>
      </c>
      <c r="D2" s="210"/>
      <c r="E2" s="49" t="s">
        <v>52</v>
      </c>
      <c r="F2" s="235" t="s">
        <v>226</v>
      </c>
      <c r="G2" s="228"/>
      <c r="H2" s="228"/>
      <c r="I2" s="228"/>
      <c r="J2" s="228"/>
      <c r="K2" s="228"/>
      <c r="L2" s="228"/>
      <c r="M2" s="228"/>
      <c r="N2" s="228"/>
      <c r="O2" s="228"/>
      <c r="P2" s="236"/>
      <c r="Q2" s="49" t="s">
        <v>52</v>
      </c>
      <c r="R2" s="211" t="s">
        <v>225</v>
      </c>
      <c r="S2" s="211"/>
      <c r="T2" s="211"/>
      <c r="U2" s="211"/>
      <c r="V2" s="211"/>
      <c r="W2" s="211"/>
      <c r="X2" s="211"/>
      <c r="Y2" s="211"/>
      <c r="Z2" s="211"/>
      <c r="AA2" s="211"/>
      <c r="AB2" s="211"/>
      <c r="AC2" s="49" t="s">
        <v>52</v>
      </c>
      <c r="AD2" s="211" t="s">
        <v>224</v>
      </c>
      <c r="AE2" s="211"/>
      <c r="AF2" s="211"/>
      <c r="AG2" s="211"/>
      <c r="AH2" s="211"/>
      <c r="AI2" s="211"/>
      <c r="AJ2" s="211"/>
      <c r="AK2" s="211"/>
      <c r="AL2" s="211"/>
      <c r="AM2" s="211"/>
      <c r="AN2" s="211"/>
      <c r="AO2" s="49" t="s">
        <v>52</v>
      </c>
      <c r="AP2" s="211" t="s">
        <v>223</v>
      </c>
      <c r="AQ2" s="211"/>
      <c r="AR2" s="211"/>
      <c r="AS2" s="211"/>
      <c r="AT2" s="211"/>
      <c r="AU2" s="211"/>
      <c r="AV2" s="211"/>
      <c r="AW2" s="211"/>
      <c r="AX2" s="211"/>
      <c r="AY2" s="211"/>
      <c r="AZ2" s="211"/>
      <c r="BA2" s="49" t="s">
        <v>52</v>
      </c>
      <c r="BB2" s="211" t="s">
        <v>222</v>
      </c>
      <c r="BC2" s="211"/>
      <c r="BD2" s="211"/>
      <c r="BE2" s="211"/>
      <c r="BF2" s="211"/>
      <c r="BG2" s="211"/>
      <c r="BH2" s="211"/>
      <c r="BI2" s="211"/>
      <c r="BJ2" s="211"/>
      <c r="BK2" s="211"/>
      <c r="BL2" s="211"/>
      <c r="BM2" s="49" t="s">
        <v>52</v>
      </c>
      <c r="BN2" s="237" t="s">
        <v>221</v>
      </c>
      <c r="BO2" s="211"/>
      <c r="BP2" s="211"/>
      <c r="BQ2" s="211"/>
      <c r="BR2" s="211"/>
      <c r="BS2" s="211"/>
      <c r="BT2" s="211"/>
      <c r="BU2" s="211"/>
      <c r="BV2" s="211"/>
      <c r="BW2" s="211"/>
      <c r="BX2" s="238"/>
      <c r="BY2" s="49" t="s">
        <v>52</v>
      </c>
      <c r="BZ2" s="227" t="s">
        <v>220</v>
      </c>
      <c r="CA2" s="228"/>
      <c r="CB2" s="228"/>
      <c r="CC2" s="228"/>
      <c r="CD2" s="228"/>
      <c r="CE2" s="228"/>
      <c r="CF2" s="228"/>
      <c r="CG2" s="228"/>
      <c r="CH2" s="228"/>
      <c r="CI2" s="228"/>
      <c r="CJ2" s="229"/>
      <c r="CK2" s="49" t="s">
        <v>52</v>
      </c>
      <c r="CL2" s="211" t="s">
        <v>219</v>
      </c>
      <c r="CM2" s="211"/>
      <c r="CN2" s="211"/>
      <c r="CO2" s="211"/>
      <c r="CP2" s="211"/>
      <c r="CQ2" s="211"/>
      <c r="CR2" s="211"/>
      <c r="CS2" s="211"/>
      <c r="CT2" s="211"/>
      <c r="CU2" s="211"/>
      <c r="CV2" s="211"/>
      <c r="CW2" s="49" t="s">
        <v>52</v>
      </c>
      <c r="CX2" s="211" t="s">
        <v>218</v>
      </c>
      <c r="CY2" s="211"/>
      <c r="CZ2" s="211"/>
      <c r="DA2" s="211"/>
      <c r="DB2" s="211"/>
      <c r="DC2" s="211"/>
      <c r="DD2" s="211"/>
      <c r="DE2" s="211"/>
      <c r="DF2" s="211"/>
      <c r="DG2" s="211"/>
      <c r="DH2" s="211"/>
      <c r="DI2" s="2" t="s">
        <v>52</v>
      </c>
      <c r="DJ2" s="211" t="s">
        <v>265</v>
      </c>
      <c r="DK2" s="211"/>
      <c r="DL2" s="211"/>
      <c r="DM2" s="211"/>
      <c r="DN2" s="211"/>
      <c r="DO2" s="211"/>
      <c r="DP2" s="211"/>
      <c r="DQ2" s="211"/>
      <c r="DR2" s="211"/>
      <c r="DS2" s="211"/>
      <c r="DT2" s="211"/>
      <c r="DU2" s="2" t="s">
        <v>52</v>
      </c>
      <c r="DV2" s="206" t="s">
        <v>297</v>
      </c>
      <c r="DW2" s="207"/>
      <c r="DX2" s="2" t="s">
        <v>52</v>
      </c>
      <c r="DY2" s="131" t="s">
        <v>52</v>
      </c>
      <c r="DZ2" s="133" t="s">
        <v>52</v>
      </c>
      <c r="EA2" s="109" t="s">
        <v>52</v>
      </c>
    </row>
    <row r="3" spans="1:131" ht="156" x14ac:dyDescent="0.5">
      <c r="A3" s="23" t="s">
        <v>143</v>
      </c>
      <c r="B3" s="23" t="s">
        <v>142</v>
      </c>
      <c r="C3" s="141" t="s">
        <v>217</v>
      </c>
      <c r="D3" s="141" t="s">
        <v>216</v>
      </c>
      <c r="E3" s="2" t="s">
        <v>52</v>
      </c>
      <c r="F3" s="23" t="s">
        <v>143</v>
      </c>
      <c r="G3" s="23" t="s">
        <v>142</v>
      </c>
      <c r="H3" s="81" t="s">
        <v>215</v>
      </c>
      <c r="I3" s="81" t="s">
        <v>214</v>
      </c>
      <c r="J3" s="132" t="s">
        <v>213</v>
      </c>
      <c r="K3" s="80" t="s">
        <v>212</v>
      </c>
      <c r="L3" s="134" t="s">
        <v>211</v>
      </c>
      <c r="M3" s="80" t="s">
        <v>210</v>
      </c>
      <c r="N3" s="135" t="s">
        <v>209</v>
      </c>
      <c r="O3" s="81" t="s">
        <v>208</v>
      </c>
      <c r="P3" s="80" t="s">
        <v>207</v>
      </c>
      <c r="Q3" s="2" t="s">
        <v>52</v>
      </c>
      <c r="R3" s="23" t="s">
        <v>143</v>
      </c>
      <c r="S3" s="23" t="s">
        <v>142</v>
      </c>
      <c r="T3" s="81" t="s">
        <v>206</v>
      </c>
      <c r="U3" s="81" t="s">
        <v>205</v>
      </c>
      <c r="V3" s="132" t="s">
        <v>204</v>
      </c>
      <c r="W3" s="80" t="s">
        <v>203</v>
      </c>
      <c r="X3" s="134" t="s">
        <v>202</v>
      </c>
      <c r="Y3" s="80" t="s">
        <v>201</v>
      </c>
      <c r="Z3" s="135" t="s">
        <v>200</v>
      </c>
      <c r="AA3" s="81" t="s">
        <v>199</v>
      </c>
      <c r="AB3" s="80" t="s">
        <v>198</v>
      </c>
      <c r="AC3" s="2" t="s">
        <v>52</v>
      </c>
      <c r="AD3" s="23" t="s">
        <v>143</v>
      </c>
      <c r="AE3" s="23" t="s">
        <v>142</v>
      </c>
      <c r="AF3" s="81" t="s">
        <v>197</v>
      </c>
      <c r="AG3" s="81" t="s">
        <v>196</v>
      </c>
      <c r="AH3" s="132" t="s">
        <v>195</v>
      </c>
      <c r="AI3" s="80" t="s">
        <v>194</v>
      </c>
      <c r="AJ3" s="134" t="s">
        <v>193</v>
      </c>
      <c r="AK3" s="80" t="s">
        <v>192</v>
      </c>
      <c r="AL3" s="135" t="s">
        <v>191</v>
      </c>
      <c r="AM3" s="81" t="s">
        <v>190</v>
      </c>
      <c r="AN3" s="80" t="s">
        <v>189</v>
      </c>
      <c r="AO3" s="2" t="s">
        <v>52</v>
      </c>
      <c r="AP3" s="23" t="s">
        <v>143</v>
      </c>
      <c r="AQ3" s="23" t="s">
        <v>142</v>
      </c>
      <c r="AR3" s="81" t="s">
        <v>188</v>
      </c>
      <c r="AS3" s="81" t="s">
        <v>187</v>
      </c>
      <c r="AT3" s="132" t="s">
        <v>186</v>
      </c>
      <c r="AU3" s="80" t="s">
        <v>185</v>
      </c>
      <c r="AV3" s="134" t="s">
        <v>184</v>
      </c>
      <c r="AW3" s="80" t="s">
        <v>183</v>
      </c>
      <c r="AX3" s="135" t="s">
        <v>182</v>
      </c>
      <c r="AY3" s="81" t="s">
        <v>181</v>
      </c>
      <c r="AZ3" s="80" t="s">
        <v>180</v>
      </c>
      <c r="BA3" s="2" t="s">
        <v>52</v>
      </c>
      <c r="BB3" s="23" t="s">
        <v>143</v>
      </c>
      <c r="BC3" s="23" t="s">
        <v>142</v>
      </c>
      <c r="BD3" s="81" t="s">
        <v>179</v>
      </c>
      <c r="BE3" s="81" t="s">
        <v>178</v>
      </c>
      <c r="BF3" s="132" t="s">
        <v>177</v>
      </c>
      <c r="BG3" s="80" t="s">
        <v>176</v>
      </c>
      <c r="BH3" s="134" t="s">
        <v>175</v>
      </c>
      <c r="BI3" s="80" t="s">
        <v>174</v>
      </c>
      <c r="BJ3" s="135" t="s">
        <v>173</v>
      </c>
      <c r="BK3" s="81" t="s">
        <v>172</v>
      </c>
      <c r="BL3" s="80" t="s">
        <v>171</v>
      </c>
      <c r="BM3" s="2" t="s">
        <v>52</v>
      </c>
      <c r="BN3" s="24" t="s">
        <v>143</v>
      </c>
      <c r="BO3" s="23" t="s">
        <v>142</v>
      </c>
      <c r="BP3" s="81" t="s">
        <v>170</v>
      </c>
      <c r="BQ3" s="81" t="s">
        <v>169</v>
      </c>
      <c r="BR3" s="132" t="s">
        <v>168</v>
      </c>
      <c r="BS3" s="80" t="s">
        <v>167</v>
      </c>
      <c r="BT3" s="134" t="s">
        <v>166</v>
      </c>
      <c r="BU3" s="80" t="s">
        <v>165</v>
      </c>
      <c r="BV3" s="135" t="s">
        <v>164</v>
      </c>
      <c r="BW3" s="81" t="s">
        <v>163</v>
      </c>
      <c r="BX3" s="80" t="s">
        <v>162</v>
      </c>
      <c r="BY3" s="2" t="s">
        <v>52</v>
      </c>
      <c r="BZ3" s="24" t="s">
        <v>143</v>
      </c>
      <c r="CA3" s="23" t="s">
        <v>142</v>
      </c>
      <c r="CB3" s="81" t="s">
        <v>161</v>
      </c>
      <c r="CC3" s="81" t="s">
        <v>160</v>
      </c>
      <c r="CD3" s="132" t="s">
        <v>159</v>
      </c>
      <c r="CE3" s="80" t="s">
        <v>158</v>
      </c>
      <c r="CF3" s="134" t="s">
        <v>157</v>
      </c>
      <c r="CG3" s="80" t="s">
        <v>156</v>
      </c>
      <c r="CH3" s="135" t="s">
        <v>155</v>
      </c>
      <c r="CI3" s="81" t="s">
        <v>154</v>
      </c>
      <c r="CJ3" s="80" t="s">
        <v>153</v>
      </c>
      <c r="CK3" s="2" t="s">
        <v>52</v>
      </c>
      <c r="CL3" s="23" t="s">
        <v>143</v>
      </c>
      <c r="CM3" s="23" t="s">
        <v>142</v>
      </c>
      <c r="CN3" s="81" t="s">
        <v>152</v>
      </c>
      <c r="CO3" s="81" t="s">
        <v>151</v>
      </c>
      <c r="CP3" s="132" t="s">
        <v>150</v>
      </c>
      <c r="CQ3" s="80" t="s">
        <v>149</v>
      </c>
      <c r="CR3" s="134" t="s">
        <v>148</v>
      </c>
      <c r="CS3" s="80" t="s">
        <v>147</v>
      </c>
      <c r="CT3" s="135" t="s">
        <v>146</v>
      </c>
      <c r="CU3" s="81" t="s">
        <v>145</v>
      </c>
      <c r="CV3" s="80" t="s">
        <v>144</v>
      </c>
      <c r="CW3" s="2" t="s">
        <v>52</v>
      </c>
      <c r="CX3" s="23" t="s">
        <v>143</v>
      </c>
      <c r="CY3" s="23" t="s">
        <v>142</v>
      </c>
      <c r="CZ3" s="81" t="s">
        <v>141</v>
      </c>
      <c r="DA3" s="81" t="s">
        <v>140</v>
      </c>
      <c r="DB3" s="132" t="s">
        <v>139</v>
      </c>
      <c r="DC3" s="80" t="s">
        <v>138</v>
      </c>
      <c r="DD3" s="134" t="s">
        <v>137</v>
      </c>
      <c r="DE3" s="80" t="s">
        <v>136</v>
      </c>
      <c r="DF3" s="135" t="s">
        <v>135</v>
      </c>
      <c r="DG3" s="81" t="s">
        <v>134</v>
      </c>
      <c r="DH3" s="80" t="s">
        <v>133</v>
      </c>
      <c r="DI3" s="2" t="s">
        <v>52</v>
      </c>
      <c r="DJ3" s="80" t="s">
        <v>143</v>
      </c>
      <c r="DK3" s="80" t="s">
        <v>142</v>
      </c>
      <c r="DL3" s="81" t="s">
        <v>266</v>
      </c>
      <c r="DM3" s="81" t="s">
        <v>267</v>
      </c>
      <c r="DN3" s="132" t="s">
        <v>268</v>
      </c>
      <c r="DO3" s="80" t="s">
        <v>269</v>
      </c>
      <c r="DP3" s="134" t="s">
        <v>270</v>
      </c>
      <c r="DQ3" s="135" t="s">
        <v>271</v>
      </c>
      <c r="DR3" s="81" t="s">
        <v>272</v>
      </c>
      <c r="DS3" s="81" t="s">
        <v>273</v>
      </c>
      <c r="DT3" s="80" t="s">
        <v>274</v>
      </c>
      <c r="DU3" s="2" t="s">
        <v>52</v>
      </c>
      <c r="DV3" s="131" t="s">
        <v>268</v>
      </c>
      <c r="DW3" s="134" t="s">
        <v>270</v>
      </c>
      <c r="DX3" s="2" t="s">
        <v>52</v>
      </c>
      <c r="DY3" s="131" t="s">
        <v>290</v>
      </c>
      <c r="DZ3" s="133" t="s">
        <v>288</v>
      </c>
      <c r="EA3" s="109" t="s">
        <v>289</v>
      </c>
    </row>
    <row r="4" spans="1:131" x14ac:dyDescent="0.5">
      <c r="A4" s="50" t="s">
        <v>132</v>
      </c>
      <c r="B4" s="22" t="s">
        <v>131</v>
      </c>
      <c r="C4" s="52"/>
      <c r="D4" s="52"/>
      <c r="E4" s="49" t="s">
        <v>52</v>
      </c>
      <c r="F4" s="50" t="s">
        <v>132</v>
      </c>
      <c r="G4" s="22" t="s">
        <v>131</v>
      </c>
      <c r="H4" s="52"/>
      <c r="I4" s="52"/>
      <c r="J4" s="52"/>
      <c r="K4" s="52"/>
      <c r="L4" s="52"/>
      <c r="M4" s="52"/>
      <c r="N4" s="52"/>
      <c r="O4" s="52"/>
      <c r="P4" s="52"/>
      <c r="Q4" s="49" t="s">
        <v>52</v>
      </c>
      <c r="R4" s="50" t="s">
        <v>132</v>
      </c>
      <c r="S4" s="22" t="s">
        <v>131</v>
      </c>
      <c r="T4" s="52"/>
      <c r="U4" s="52"/>
      <c r="V4" s="52"/>
      <c r="W4" s="52"/>
      <c r="X4" s="52"/>
      <c r="Y4" s="52"/>
      <c r="Z4" s="52"/>
      <c r="AA4" s="52"/>
      <c r="AB4" s="52"/>
      <c r="AC4" s="49" t="s">
        <v>52</v>
      </c>
      <c r="AD4" s="50" t="s">
        <v>132</v>
      </c>
      <c r="AE4" s="22" t="s">
        <v>131</v>
      </c>
      <c r="AF4" s="52"/>
      <c r="AG4" s="52"/>
      <c r="AH4" s="52"/>
      <c r="AI4" s="52"/>
      <c r="AJ4" s="52"/>
      <c r="AK4" s="52"/>
      <c r="AL4" s="52"/>
      <c r="AM4" s="52"/>
      <c r="AN4" s="52"/>
      <c r="AO4" s="49" t="s">
        <v>52</v>
      </c>
      <c r="AP4" s="50" t="s">
        <v>132</v>
      </c>
      <c r="AQ4" s="22" t="s">
        <v>131</v>
      </c>
      <c r="AR4" s="52"/>
      <c r="AS4" s="52"/>
      <c r="AT4" s="52"/>
      <c r="AU4" s="52"/>
      <c r="AV4" s="52"/>
      <c r="AW4" s="52"/>
      <c r="AX4" s="52"/>
      <c r="AY4" s="52"/>
      <c r="AZ4" s="52"/>
      <c r="BA4" s="49" t="s">
        <v>52</v>
      </c>
      <c r="BB4" s="50" t="s">
        <v>132</v>
      </c>
      <c r="BC4" s="22" t="s">
        <v>131</v>
      </c>
      <c r="BD4" s="52"/>
      <c r="BE4" s="52"/>
      <c r="BF4" s="52"/>
      <c r="BG4" s="52"/>
      <c r="BH4" s="52"/>
      <c r="BI4" s="52"/>
      <c r="BJ4" s="52"/>
      <c r="BK4" s="52"/>
      <c r="BL4" s="52"/>
      <c r="BM4" s="49" t="s">
        <v>52</v>
      </c>
      <c r="BN4" s="51" t="s">
        <v>132</v>
      </c>
      <c r="BO4" s="22" t="s">
        <v>131</v>
      </c>
      <c r="BP4" s="52"/>
      <c r="BQ4" s="52"/>
      <c r="BR4" s="52"/>
      <c r="BS4" s="52"/>
      <c r="BT4" s="52"/>
      <c r="BU4" s="52"/>
      <c r="BV4" s="52"/>
      <c r="BW4" s="53"/>
      <c r="BX4" s="54"/>
      <c r="BY4" s="49" t="s">
        <v>52</v>
      </c>
      <c r="BZ4" s="51" t="s">
        <v>132</v>
      </c>
      <c r="CA4" s="22" t="s">
        <v>131</v>
      </c>
      <c r="CB4" s="52"/>
      <c r="CC4" s="52"/>
      <c r="CD4" s="52"/>
      <c r="CE4" s="52"/>
      <c r="CF4" s="52"/>
      <c r="CG4" s="52"/>
      <c r="CH4" s="52"/>
      <c r="CI4" s="53"/>
      <c r="CJ4" s="54"/>
      <c r="CK4" s="49" t="s">
        <v>52</v>
      </c>
      <c r="CL4" s="50" t="s">
        <v>132</v>
      </c>
      <c r="CM4" s="22" t="s">
        <v>131</v>
      </c>
      <c r="CN4" s="52"/>
      <c r="CO4" s="52"/>
      <c r="CP4" s="52"/>
      <c r="CQ4" s="52"/>
      <c r="CR4" s="52"/>
      <c r="CS4" s="52"/>
      <c r="CT4" s="52"/>
      <c r="CU4" s="53"/>
      <c r="CV4" s="52"/>
      <c r="CW4" s="49" t="s">
        <v>52</v>
      </c>
      <c r="CX4" s="50" t="s">
        <v>132</v>
      </c>
      <c r="CY4" s="22" t="s">
        <v>131</v>
      </c>
      <c r="CZ4" s="52"/>
      <c r="DA4" s="52"/>
      <c r="DB4" s="52"/>
      <c r="DC4" s="52"/>
      <c r="DD4" s="52"/>
      <c r="DE4" s="52"/>
      <c r="DF4" s="52"/>
      <c r="DG4" s="52"/>
      <c r="DH4" s="52"/>
      <c r="DI4" s="2" t="s">
        <v>52</v>
      </c>
      <c r="DJ4" s="80" t="s">
        <v>132</v>
      </c>
      <c r="DK4" s="82" t="s">
        <v>131</v>
      </c>
      <c r="DL4" s="83"/>
      <c r="DM4" s="83"/>
      <c r="DN4" s="84"/>
      <c r="DO4" s="84"/>
      <c r="DP4" s="84"/>
      <c r="DQ4" s="84"/>
      <c r="DR4" s="84"/>
      <c r="DS4" s="83"/>
      <c r="DT4" s="84"/>
      <c r="DU4" s="2" t="s">
        <v>52</v>
      </c>
      <c r="DV4" s="106" t="s">
        <v>52</v>
      </c>
      <c r="DW4" s="106" t="s">
        <v>52</v>
      </c>
      <c r="DX4" s="2" t="s">
        <v>52</v>
      </c>
      <c r="DY4" s="106" t="s">
        <v>52</v>
      </c>
      <c r="DZ4" s="106" t="s">
        <v>52</v>
      </c>
      <c r="EA4" s="106" t="s">
        <v>52</v>
      </c>
    </row>
    <row r="5" spans="1:131" x14ac:dyDescent="0.5">
      <c r="A5" s="50" t="s">
        <v>89</v>
      </c>
      <c r="B5" s="22" t="s">
        <v>24</v>
      </c>
      <c r="C5" s="52"/>
      <c r="D5" s="52"/>
      <c r="E5" s="49" t="s">
        <v>52</v>
      </c>
      <c r="F5" s="50" t="s">
        <v>89</v>
      </c>
      <c r="G5" s="22" t="s">
        <v>24</v>
      </c>
      <c r="H5" s="52"/>
      <c r="I5" s="52"/>
      <c r="J5" s="52"/>
      <c r="K5" s="52"/>
      <c r="L5" s="52"/>
      <c r="M5" s="52"/>
      <c r="N5" s="52"/>
      <c r="O5" s="52"/>
      <c r="P5" s="52"/>
      <c r="Q5" s="49" t="s">
        <v>52</v>
      </c>
      <c r="R5" s="50" t="s">
        <v>89</v>
      </c>
      <c r="S5" s="22" t="s">
        <v>24</v>
      </c>
      <c r="T5" s="52"/>
      <c r="U5" s="52"/>
      <c r="V5" s="52"/>
      <c r="W5" s="52"/>
      <c r="X5" s="52"/>
      <c r="Y5" s="52"/>
      <c r="Z5" s="52"/>
      <c r="AA5" s="52"/>
      <c r="AB5" s="52"/>
      <c r="AC5" s="49" t="s">
        <v>52</v>
      </c>
      <c r="AD5" s="50" t="s">
        <v>89</v>
      </c>
      <c r="AE5" s="22" t="s">
        <v>24</v>
      </c>
      <c r="AF5" s="52"/>
      <c r="AG5" s="52"/>
      <c r="AH5" s="52"/>
      <c r="AI5" s="52"/>
      <c r="AJ5" s="52"/>
      <c r="AK5" s="52"/>
      <c r="AL5" s="52"/>
      <c r="AM5" s="52"/>
      <c r="AN5" s="52"/>
      <c r="AO5" s="49" t="s">
        <v>52</v>
      </c>
      <c r="AP5" s="50" t="s">
        <v>89</v>
      </c>
      <c r="AQ5" s="22" t="s">
        <v>24</v>
      </c>
      <c r="AR5" s="52"/>
      <c r="AS5" s="52"/>
      <c r="AT5" s="52"/>
      <c r="AU5" s="52"/>
      <c r="AV5" s="52"/>
      <c r="AW5" s="52"/>
      <c r="AX5" s="52"/>
      <c r="AY5" s="52"/>
      <c r="AZ5" s="52"/>
      <c r="BA5" s="49" t="s">
        <v>52</v>
      </c>
      <c r="BB5" s="50" t="s">
        <v>89</v>
      </c>
      <c r="BC5" s="22" t="s">
        <v>24</v>
      </c>
      <c r="BD5" s="52"/>
      <c r="BE5" s="52"/>
      <c r="BF5" s="52"/>
      <c r="BG5" s="52"/>
      <c r="BH5" s="52"/>
      <c r="BI5" s="52"/>
      <c r="BJ5" s="52"/>
      <c r="BK5" s="52"/>
      <c r="BL5" s="52"/>
      <c r="BM5" s="49" t="s">
        <v>52</v>
      </c>
      <c r="BN5" s="51" t="s">
        <v>89</v>
      </c>
      <c r="BO5" s="22" t="s">
        <v>24</v>
      </c>
      <c r="BP5" s="52"/>
      <c r="BQ5" s="52"/>
      <c r="BR5" s="52"/>
      <c r="BS5" s="52"/>
      <c r="BT5" s="52"/>
      <c r="BU5" s="52"/>
      <c r="BV5" s="52"/>
      <c r="BW5" s="53"/>
      <c r="BX5" s="54"/>
      <c r="BY5" s="49" t="s">
        <v>52</v>
      </c>
      <c r="BZ5" s="51" t="s">
        <v>89</v>
      </c>
      <c r="CA5" s="22" t="s">
        <v>24</v>
      </c>
      <c r="CB5" s="52"/>
      <c r="CC5" s="52"/>
      <c r="CD5" s="52"/>
      <c r="CE5" s="52"/>
      <c r="CF5" s="52"/>
      <c r="CG5" s="52"/>
      <c r="CH5" s="52"/>
      <c r="CI5" s="53"/>
      <c r="CJ5" s="54"/>
      <c r="CK5" s="49" t="s">
        <v>52</v>
      </c>
      <c r="CL5" s="50" t="s">
        <v>89</v>
      </c>
      <c r="CM5" s="22" t="s">
        <v>24</v>
      </c>
      <c r="CN5" s="52"/>
      <c r="CO5" s="52"/>
      <c r="CP5" s="52"/>
      <c r="CQ5" s="52"/>
      <c r="CR5" s="52"/>
      <c r="CS5" s="52"/>
      <c r="CT5" s="52"/>
      <c r="CU5" s="53"/>
      <c r="CV5" s="52"/>
      <c r="CW5" s="49" t="s">
        <v>52</v>
      </c>
      <c r="CX5" s="50" t="s">
        <v>89</v>
      </c>
      <c r="CY5" s="22" t="s">
        <v>24</v>
      </c>
      <c r="CZ5" s="52"/>
      <c r="DA5" s="52"/>
      <c r="DB5" s="52"/>
      <c r="DC5" s="52"/>
      <c r="DD5" s="52"/>
      <c r="DE5" s="52"/>
      <c r="DF5" s="52"/>
      <c r="DG5" s="52"/>
      <c r="DH5" s="52"/>
      <c r="DI5" s="2" t="s">
        <v>52</v>
      </c>
      <c r="DJ5" s="80" t="s">
        <v>89</v>
      </c>
      <c r="DK5" s="82" t="s">
        <v>24</v>
      </c>
      <c r="DL5" s="83"/>
      <c r="DM5" s="83"/>
      <c r="DN5" s="84"/>
      <c r="DO5" s="84"/>
      <c r="DP5" s="84"/>
      <c r="DQ5" s="84"/>
      <c r="DR5" s="84"/>
      <c r="DS5" s="83"/>
      <c r="DT5" s="84"/>
      <c r="DU5" s="2" t="s">
        <v>52</v>
      </c>
      <c r="DV5" s="106" t="s">
        <v>52</v>
      </c>
      <c r="DW5" s="106" t="s">
        <v>52</v>
      </c>
      <c r="DX5" s="2" t="s">
        <v>52</v>
      </c>
      <c r="DY5" s="106" t="s">
        <v>52</v>
      </c>
      <c r="DZ5" s="106" t="s">
        <v>52</v>
      </c>
      <c r="EA5" s="106" t="s">
        <v>52</v>
      </c>
    </row>
    <row r="6" spans="1:131" x14ac:dyDescent="0.5">
      <c r="A6" s="17" t="s">
        <v>96</v>
      </c>
      <c r="B6" s="16" t="s">
        <v>37</v>
      </c>
      <c r="C6" s="21">
        <v>62458.42580651</v>
      </c>
      <c r="D6" s="21">
        <v>106086.49886455</v>
      </c>
      <c r="E6" s="49" t="s">
        <v>52</v>
      </c>
      <c r="F6" s="17" t="s">
        <v>96</v>
      </c>
      <c r="G6" s="16" t="s">
        <v>37</v>
      </c>
      <c r="H6" s="15">
        <v>35</v>
      </c>
      <c r="I6" s="15">
        <v>651034</v>
      </c>
      <c r="J6" s="14">
        <v>452346.87828470999</v>
      </c>
      <c r="K6" s="14">
        <v>428446.89943271998</v>
      </c>
      <c r="L6" s="14">
        <v>23899.978851989999</v>
      </c>
      <c r="M6" s="14">
        <v>86833.815596379995</v>
      </c>
      <c r="N6" s="14">
        <v>99610.678787130004</v>
      </c>
      <c r="O6" s="15">
        <v>0</v>
      </c>
      <c r="P6" s="14">
        <v>0</v>
      </c>
      <c r="Q6" s="49" t="s">
        <v>52</v>
      </c>
      <c r="R6" s="17" t="s">
        <v>96</v>
      </c>
      <c r="S6" s="16" t="s">
        <v>37</v>
      </c>
      <c r="T6" s="15">
        <v>35</v>
      </c>
      <c r="U6" s="15">
        <v>659424</v>
      </c>
      <c r="V6" s="14">
        <v>452387.85098329</v>
      </c>
      <c r="W6" s="14">
        <v>460507.88064892002</v>
      </c>
      <c r="X6" s="14">
        <v>-8120.0296656300197</v>
      </c>
      <c r="Y6" s="14">
        <v>79184.256122399995</v>
      </c>
      <c r="Z6" s="14">
        <v>97396.639526929997</v>
      </c>
      <c r="AA6" s="15">
        <v>0</v>
      </c>
      <c r="AB6" s="14">
        <v>0</v>
      </c>
      <c r="AC6" s="49" t="s">
        <v>52</v>
      </c>
      <c r="AD6" s="17" t="s">
        <v>96</v>
      </c>
      <c r="AE6" s="16" t="s">
        <v>37</v>
      </c>
      <c r="AF6" s="15">
        <v>35</v>
      </c>
      <c r="AG6" s="15">
        <v>663083</v>
      </c>
      <c r="AH6" s="14">
        <v>569989.96423607005</v>
      </c>
      <c r="AI6" s="14">
        <v>578144.45800097997</v>
      </c>
      <c r="AJ6" s="14">
        <v>-8154.4937649101503</v>
      </c>
      <c r="AK6" s="14">
        <v>71480.929780370003</v>
      </c>
      <c r="AL6" s="14">
        <v>104237.28277392</v>
      </c>
      <c r="AM6" s="15">
        <v>0</v>
      </c>
      <c r="AN6" s="14">
        <v>0</v>
      </c>
      <c r="AO6" s="49" t="s">
        <v>52</v>
      </c>
      <c r="AP6" s="17" t="s">
        <v>96</v>
      </c>
      <c r="AQ6" s="16" t="s">
        <v>37</v>
      </c>
      <c r="AR6" s="15">
        <v>37</v>
      </c>
      <c r="AS6" s="15">
        <v>706888</v>
      </c>
      <c r="AT6" s="14">
        <v>602367.86494319001</v>
      </c>
      <c r="AU6" s="14">
        <v>593502.26741673006</v>
      </c>
      <c r="AV6" s="14">
        <v>8865.5975264601893</v>
      </c>
      <c r="AW6" s="14">
        <v>80835.239826039993</v>
      </c>
      <c r="AX6" s="14">
        <v>108422.78047143</v>
      </c>
      <c r="AY6" s="15">
        <v>0</v>
      </c>
      <c r="AZ6" s="14">
        <v>0</v>
      </c>
      <c r="BA6" s="49" t="s">
        <v>52</v>
      </c>
      <c r="BB6" s="17" t="s">
        <v>96</v>
      </c>
      <c r="BC6" s="16" t="s">
        <v>37</v>
      </c>
      <c r="BD6" s="15">
        <v>37</v>
      </c>
      <c r="BE6" s="15">
        <v>716620</v>
      </c>
      <c r="BF6" s="14">
        <v>514292.57849879999</v>
      </c>
      <c r="BG6" s="14">
        <v>509341.73620695999</v>
      </c>
      <c r="BH6" s="14">
        <v>4950.8422918403503</v>
      </c>
      <c r="BI6" s="14">
        <v>86296.880292260001</v>
      </c>
      <c r="BJ6" s="14">
        <v>113153.73656351</v>
      </c>
      <c r="BK6" s="15">
        <v>0</v>
      </c>
      <c r="BL6" s="14">
        <v>0</v>
      </c>
      <c r="BM6" s="49" t="s">
        <v>52</v>
      </c>
      <c r="BN6" s="20" t="s">
        <v>96</v>
      </c>
      <c r="BO6" s="16" t="s">
        <v>37</v>
      </c>
      <c r="BP6" s="15">
        <v>37</v>
      </c>
      <c r="BQ6" s="15">
        <v>714717</v>
      </c>
      <c r="BR6" s="14">
        <v>622708.80279544997</v>
      </c>
      <c r="BS6" s="14">
        <v>618429.80339505</v>
      </c>
      <c r="BT6" s="14">
        <v>4278.9994003996298</v>
      </c>
      <c r="BU6" s="14">
        <v>91096.033763359999</v>
      </c>
      <c r="BV6" s="14">
        <v>117432.17587027</v>
      </c>
      <c r="BW6" s="18">
        <v>0</v>
      </c>
      <c r="BX6" s="19">
        <v>0</v>
      </c>
      <c r="BY6" s="49" t="s">
        <v>52</v>
      </c>
      <c r="BZ6" s="20" t="s">
        <v>96</v>
      </c>
      <c r="CA6" s="16" t="s">
        <v>37</v>
      </c>
      <c r="CB6" s="15">
        <v>37</v>
      </c>
      <c r="CC6" s="15">
        <v>717799</v>
      </c>
      <c r="CD6" s="14">
        <v>540213.20016898005</v>
      </c>
      <c r="CE6" s="14">
        <v>516162.62973972003</v>
      </c>
      <c r="CF6" s="14">
        <v>24050.5704292599</v>
      </c>
      <c r="CG6" s="14">
        <v>115714.41874918</v>
      </c>
      <c r="CH6" s="14">
        <v>124242.74008349</v>
      </c>
      <c r="CI6" s="18">
        <v>0</v>
      </c>
      <c r="CJ6" s="19">
        <v>0</v>
      </c>
      <c r="CK6" s="49" t="s">
        <v>52</v>
      </c>
      <c r="CL6" s="17" t="s">
        <v>96</v>
      </c>
      <c r="CM6" s="16" t="s">
        <v>37</v>
      </c>
      <c r="CN6" s="15">
        <v>37</v>
      </c>
      <c r="CO6" s="15">
        <v>718743</v>
      </c>
      <c r="CP6" s="14">
        <v>490785.80569493998</v>
      </c>
      <c r="CQ6" s="14">
        <v>528410.33219356998</v>
      </c>
      <c r="CR6" s="14">
        <v>-37624.526498630199</v>
      </c>
      <c r="CS6" s="14">
        <v>78584.320667049993</v>
      </c>
      <c r="CT6" s="14">
        <v>113503.26993687</v>
      </c>
      <c r="CU6" s="18">
        <v>0</v>
      </c>
      <c r="CV6" s="14">
        <v>0</v>
      </c>
      <c r="CW6" s="49" t="s">
        <v>52</v>
      </c>
      <c r="CX6" s="17" t="s">
        <v>96</v>
      </c>
      <c r="CY6" s="16" t="s">
        <v>37</v>
      </c>
      <c r="CZ6" s="15">
        <v>37</v>
      </c>
      <c r="DA6" s="15">
        <v>728222</v>
      </c>
      <c r="DB6" s="14">
        <v>699780.55665508995</v>
      </c>
      <c r="DC6" s="14">
        <v>699526.30653444002</v>
      </c>
      <c r="DD6" s="103">
        <v>254.250120650046</v>
      </c>
      <c r="DE6" s="14">
        <v>79367.825127570002</v>
      </c>
      <c r="DF6" s="14">
        <v>117317.69078183</v>
      </c>
      <c r="DG6" s="15">
        <v>0</v>
      </c>
      <c r="DH6" s="14">
        <v>0</v>
      </c>
      <c r="DI6" s="2" t="s">
        <v>52</v>
      </c>
      <c r="DJ6" s="85" t="s">
        <v>96</v>
      </c>
      <c r="DK6" s="86" t="s">
        <v>37</v>
      </c>
      <c r="DL6" s="87">
        <v>37</v>
      </c>
      <c r="DM6" s="87">
        <v>734569</v>
      </c>
      <c r="DN6" s="88">
        <v>657098.13697124994</v>
      </c>
      <c r="DO6" s="88">
        <v>610818.08783476998</v>
      </c>
      <c r="DP6" s="104">
        <v>46280.049136480302</v>
      </c>
      <c r="DQ6" s="88">
        <v>126200.24577556</v>
      </c>
      <c r="DR6" s="88">
        <v>125565.39536273001</v>
      </c>
      <c r="DS6" s="87">
        <v>0</v>
      </c>
      <c r="DT6" s="88">
        <v>0</v>
      </c>
      <c r="DU6" s="2" t="s">
        <v>52</v>
      </c>
      <c r="DV6" s="139">
        <f>J6+V6+AH6+AT6+BF6+BR6+CD6+CP6+DN6</f>
        <v>4902191.08257668</v>
      </c>
      <c r="DW6" s="140">
        <f>L6+X6+AJ6+AV6+BH6+BT6+CF6+CR6+DD6+DP6</f>
        <v>58681.237827910045</v>
      </c>
      <c r="DX6" s="2" t="s">
        <v>52</v>
      </c>
      <c r="DY6" s="136">
        <f>(DN6-DB6)/DB6</f>
        <v>-6.0994006303718235E-2</v>
      </c>
      <c r="DZ6" s="137">
        <f>(DP6-DD6)/DD6</f>
        <v>181.02567227167972</v>
      </c>
      <c r="EA6" s="138">
        <f>(DR6-DF6)/DF6</f>
        <v>7.0302309276082386E-2</v>
      </c>
    </row>
    <row r="7" spans="1:131" x14ac:dyDescent="0.5">
      <c r="A7" s="17" t="s">
        <v>95</v>
      </c>
      <c r="B7" s="16" t="s">
        <v>28</v>
      </c>
      <c r="C7" s="21">
        <v>437773.93852362002</v>
      </c>
      <c r="D7" s="21">
        <v>557784.93606427999</v>
      </c>
      <c r="E7" s="49" t="s">
        <v>52</v>
      </c>
      <c r="F7" s="17" t="s">
        <v>95</v>
      </c>
      <c r="G7" s="16" t="s">
        <v>28</v>
      </c>
      <c r="H7" s="15">
        <v>37</v>
      </c>
      <c r="I7" s="15">
        <v>1912584</v>
      </c>
      <c r="J7" s="14">
        <v>507349.89629727002</v>
      </c>
      <c r="K7" s="14">
        <v>388693.45720793999</v>
      </c>
      <c r="L7" s="14">
        <v>118656.43908933</v>
      </c>
      <c r="M7" s="14">
        <v>559824.18365416001</v>
      </c>
      <c r="N7" s="14">
        <v>607582.90254445001</v>
      </c>
      <c r="O7" s="15">
        <v>0</v>
      </c>
      <c r="P7" s="14">
        <v>0</v>
      </c>
      <c r="Q7" s="49" t="s">
        <v>52</v>
      </c>
      <c r="R7" s="17" t="s">
        <v>95</v>
      </c>
      <c r="S7" s="16" t="s">
        <v>28</v>
      </c>
      <c r="T7" s="15">
        <v>37</v>
      </c>
      <c r="U7" s="15">
        <v>1941435</v>
      </c>
      <c r="V7" s="14">
        <v>345272.11590764002</v>
      </c>
      <c r="W7" s="14">
        <v>385477.47560943</v>
      </c>
      <c r="X7" s="14">
        <v>-40205.359701790003</v>
      </c>
      <c r="Y7" s="14">
        <v>522714.52219131001</v>
      </c>
      <c r="Z7" s="14">
        <v>568734.39075026999</v>
      </c>
      <c r="AA7" s="15">
        <v>0</v>
      </c>
      <c r="AB7" s="14">
        <v>0</v>
      </c>
      <c r="AC7" s="49" t="s">
        <v>52</v>
      </c>
      <c r="AD7" s="17" t="s">
        <v>95</v>
      </c>
      <c r="AE7" s="16" t="s">
        <v>28</v>
      </c>
      <c r="AF7" s="15">
        <v>38</v>
      </c>
      <c r="AG7" s="15">
        <v>1973815</v>
      </c>
      <c r="AH7" s="14">
        <v>503574.67716249003</v>
      </c>
      <c r="AI7" s="14">
        <v>528770.76399620995</v>
      </c>
      <c r="AJ7" s="14">
        <v>-25196.086833720099</v>
      </c>
      <c r="AK7" s="14">
        <v>499856.82495545998</v>
      </c>
      <c r="AL7" s="14">
        <v>584402.98813934997</v>
      </c>
      <c r="AM7" s="15">
        <v>0</v>
      </c>
      <c r="AN7" s="14">
        <v>0</v>
      </c>
      <c r="AO7" s="49" t="s">
        <v>52</v>
      </c>
      <c r="AP7" s="17" t="s">
        <v>95</v>
      </c>
      <c r="AQ7" s="16" t="s">
        <v>28</v>
      </c>
      <c r="AR7" s="15">
        <v>39</v>
      </c>
      <c r="AS7" s="15">
        <v>2082344</v>
      </c>
      <c r="AT7" s="14">
        <v>477544.05403211998</v>
      </c>
      <c r="AU7" s="14">
        <v>438189.12075097999</v>
      </c>
      <c r="AV7" s="14">
        <v>39354.9332811399</v>
      </c>
      <c r="AW7" s="14">
        <v>542224.72076528997</v>
      </c>
      <c r="AX7" s="14">
        <v>600208.97180330998</v>
      </c>
      <c r="AY7" s="15">
        <v>0</v>
      </c>
      <c r="AZ7" s="14">
        <v>0</v>
      </c>
      <c r="BA7" s="49" t="s">
        <v>52</v>
      </c>
      <c r="BB7" s="17" t="s">
        <v>95</v>
      </c>
      <c r="BC7" s="16" t="s">
        <v>28</v>
      </c>
      <c r="BD7" s="15">
        <v>39</v>
      </c>
      <c r="BE7" s="15">
        <v>2131349</v>
      </c>
      <c r="BF7" s="14">
        <v>347152.02060490003</v>
      </c>
      <c r="BG7" s="14">
        <v>360502.07865161001</v>
      </c>
      <c r="BH7" s="14">
        <v>-13350.058046709701</v>
      </c>
      <c r="BI7" s="14">
        <v>531546.83270423999</v>
      </c>
      <c r="BJ7" s="14">
        <v>572499.66345117998</v>
      </c>
      <c r="BK7" s="15">
        <v>0</v>
      </c>
      <c r="BL7" s="14">
        <v>0</v>
      </c>
      <c r="BM7" s="49" t="s">
        <v>52</v>
      </c>
      <c r="BN7" s="20" t="s">
        <v>95</v>
      </c>
      <c r="BO7" s="16" t="s">
        <v>28</v>
      </c>
      <c r="BP7" s="15">
        <v>39</v>
      </c>
      <c r="BQ7" s="15">
        <v>2175269</v>
      </c>
      <c r="BR7" s="14">
        <v>412040.99868298997</v>
      </c>
      <c r="BS7" s="14">
        <v>478083.32351039001</v>
      </c>
      <c r="BT7" s="14">
        <v>-66042.324827400007</v>
      </c>
      <c r="BU7" s="14">
        <v>467363.81165709998</v>
      </c>
      <c r="BV7" s="14">
        <v>545880.11724301998</v>
      </c>
      <c r="BW7" s="18">
        <v>0</v>
      </c>
      <c r="BX7" s="19">
        <v>0</v>
      </c>
      <c r="BY7" s="49" t="s">
        <v>52</v>
      </c>
      <c r="BZ7" s="20" t="s">
        <v>95</v>
      </c>
      <c r="CA7" s="16" t="s">
        <v>28</v>
      </c>
      <c r="CB7" s="15">
        <v>40</v>
      </c>
      <c r="CC7" s="15">
        <v>2278013</v>
      </c>
      <c r="CD7" s="14">
        <v>427684.69385957997</v>
      </c>
      <c r="CE7" s="14">
        <v>338309.57526665</v>
      </c>
      <c r="CF7" s="14">
        <v>89375.118592929997</v>
      </c>
      <c r="CG7" s="14">
        <v>559686.58269698999</v>
      </c>
      <c r="CH7" s="14">
        <v>560718.30999824998</v>
      </c>
      <c r="CI7" s="18">
        <v>0</v>
      </c>
      <c r="CJ7" s="19">
        <v>0</v>
      </c>
      <c r="CK7" s="49" t="s">
        <v>52</v>
      </c>
      <c r="CL7" s="17" t="s">
        <v>95</v>
      </c>
      <c r="CM7" s="16" t="s">
        <v>28</v>
      </c>
      <c r="CN7" s="15">
        <v>41</v>
      </c>
      <c r="CO7" s="15">
        <v>2377756</v>
      </c>
      <c r="CP7" s="14">
        <v>311162.79810905998</v>
      </c>
      <c r="CQ7" s="14">
        <v>325213.51457916002</v>
      </c>
      <c r="CR7" s="14">
        <v>-14050.7164701</v>
      </c>
      <c r="CS7" s="14">
        <v>548393.27376254997</v>
      </c>
      <c r="CT7" s="14">
        <v>576514.27763370005</v>
      </c>
      <c r="CU7" s="18">
        <v>0</v>
      </c>
      <c r="CV7" s="14">
        <v>0</v>
      </c>
      <c r="CW7" s="49" t="s">
        <v>52</v>
      </c>
      <c r="CX7" s="17" t="s">
        <v>95</v>
      </c>
      <c r="CY7" s="16" t="s">
        <v>28</v>
      </c>
      <c r="CZ7" s="15">
        <v>42</v>
      </c>
      <c r="DA7" s="15">
        <v>2435865</v>
      </c>
      <c r="DB7" s="14">
        <v>464668.90947591001</v>
      </c>
      <c r="DC7" s="14">
        <v>511976.86440876999</v>
      </c>
      <c r="DD7" s="103">
        <v>-47307.954932860099</v>
      </c>
      <c r="DE7" s="14">
        <v>503143.32911599998</v>
      </c>
      <c r="DF7" s="14">
        <v>575533.12761157996</v>
      </c>
      <c r="DG7" s="15">
        <v>0</v>
      </c>
      <c r="DH7" s="14">
        <v>0</v>
      </c>
      <c r="DI7" s="2" t="s">
        <v>52</v>
      </c>
      <c r="DJ7" s="85" t="s">
        <v>95</v>
      </c>
      <c r="DK7" s="86" t="s">
        <v>28</v>
      </c>
      <c r="DL7" s="87">
        <v>42</v>
      </c>
      <c r="DM7" s="87">
        <v>2514436</v>
      </c>
      <c r="DN7" s="88">
        <v>408835.01635987998</v>
      </c>
      <c r="DO7" s="88">
        <v>378153.46244703</v>
      </c>
      <c r="DP7" s="104">
        <v>30681.553912849598</v>
      </c>
      <c r="DQ7" s="88">
        <v>536753.20670841006</v>
      </c>
      <c r="DR7" s="88">
        <v>565989.61702584999</v>
      </c>
      <c r="DS7" s="87">
        <v>0</v>
      </c>
      <c r="DT7" s="88">
        <v>0</v>
      </c>
      <c r="DU7" s="2" t="s">
        <v>52</v>
      </c>
      <c r="DV7" s="136"/>
      <c r="DW7" s="137"/>
      <c r="DX7" s="2" t="s">
        <v>52</v>
      </c>
      <c r="DY7" s="136">
        <f t="shared" ref="DY7:DY22" si="0">(DN7-DB7)/DB7</f>
        <v>-0.12015844395314476</v>
      </c>
      <c r="DZ7" s="137">
        <f t="shared" ref="DZ7:DZ22" si="1">(DP7-DD7)/DD7</f>
        <v>-1.6485495717663796</v>
      </c>
      <c r="EA7" s="138">
        <f t="shared" ref="EA7:EA22" si="2">(DR7-DF7)/DF7</f>
        <v>-1.658203520852888E-2</v>
      </c>
    </row>
    <row r="8" spans="1:131" x14ac:dyDescent="0.5">
      <c r="A8" s="17" t="s">
        <v>100</v>
      </c>
      <c r="B8" s="16" t="s">
        <v>42</v>
      </c>
      <c r="C8" s="21">
        <v>98541.793920590004</v>
      </c>
      <c r="D8" s="21">
        <v>103614.95456268</v>
      </c>
      <c r="E8" s="49" t="s">
        <v>52</v>
      </c>
      <c r="F8" s="17" t="s">
        <v>100</v>
      </c>
      <c r="G8" s="16" t="s">
        <v>42</v>
      </c>
      <c r="H8" s="15">
        <v>25</v>
      </c>
      <c r="I8" s="15">
        <v>672543</v>
      </c>
      <c r="J8" s="14">
        <v>41099.83000011</v>
      </c>
      <c r="K8" s="14">
        <v>14366.021699340001</v>
      </c>
      <c r="L8" s="14">
        <v>26733.808300770001</v>
      </c>
      <c r="M8" s="14">
        <v>126436.7044589</v>
      </c>
      <c r="N8" s="14">
        <v>114947.48547227999</v>
      </c>
      <c r="O8" s="15">
        <v>0</v>
      </c>
      <c r="P8" s="14">
        <v>0</v>
      </c>
      <c r="Q8" s="49" t="s">
        <v>52</v>
      </c>
      <c r="R8" s="17" t="s">
        <v>100</v>
      </c>
      <c r="S8" s="16" t="s">
        <v>42</v>
      </c>
      <c r="T8" s="15">
        <v>25</v>
      </c>
      <c r="U8" s="15">
        <v>695720</v>
      </c>
      <c r="V8" s="14">
        <v>20775.121818</v>
      </c>
      <c r="W8" s="14">
        <v>18927.547476399999</v>
      </c>
      <c r="X8" s="14">
        <v>1847.5743416</v>
      </c>
      <c r="Y8" s="14">
        <v>129109.99864275999</v>
      </c>
      <c r="Z8" s="14">
        <v>128267.06667956999</v>
      </c>
      <c r="AA8" s="15">
        <v>0</v>
      </c>
      <c r="AB8" s="14">
        <v>0</v>
      </c>
      <c r="AC8" s="49" t="s">
        <v>52</v>
      </c>
      <c r="AD8" s="17" t="s">
        <v>100</v>
      </c>
      <c r="AE8" s="16" t="s">
        <v>42</v>
      </c>
      <c r="AF8" s="15">
        <v>25</v>
      </c>
      <c r="AG8" s="15">
        <v>718333</v>
      </c>
      <c r="AH8" s="14">
        <v>31480.342060520001</v>
      </c>
      <c r="AI8" s="14">
        <v>28536.581002940002</v>
      </c>
      <c r="AJ8" s="14">
        <v>2943.7610575799899</v>
      </c>
      <c r="AK8" s="14">
        <v>132827.31502891</v>
      </c>
      <c r="AL8" s="14">
        <v>130140.43332136</v>
      </c>
      <c r="AM8" s="15">
        <v>0</v>
      </c>
      <c r="AN8" s="14">
        <v>0</v>
      </c>
      <c r="AO8" s="49" t="s">
        <v>52</v>
      </c>
      <c r="AP8" s="17" t="s">
        <v>100</v>
      </c>
      <c r="AQ8" s="16" t="s">
        <v>42</v>
      </c>
      <c r="AR8" s="15">
        <v>25</v>
      </c>
      <c r="AS8" s="15">
        <v>724730</v>
      </c>
      <c r="AT8" s="14">
        <v>35894.96291432</v>
      </c>
      <c r="AU8" s="14">
        <v>33618.338485029999</v>
      </c>
      <c r="AV8" s="14">
        <v>2276.6244292900001</v>
      </c>
      <c r="AW8" s="14">
        <v>135868.21758363</v>
      </c>
      <c r="AX8" s="14">
        <v>135111.63352102</v>
      </c>
      <c r="AY8" s="15">
        <v>0</v>
      </c>
      <c r="AZ8" s="14">
        <v>0</v>
      </c>
      <c r="BA8" s="49" t="s">
        <v>52</v>
      </c>
      <c r="BB8" s="17" t="s">
        <v>100</v>
      </c>
      <c r="BC8" s="16" t="s">
        <v>42</v>
      </c>
      <c r="BD8" s="15">
        <v>25</v>
      </c>
      <c r="BE8" s="15">
        <v>732657</v>
      </c>
      <c r="BF8" s="14">
        <v>22318.352463669999</v>
      </c>
      <c r="BG8" s="14">
        <v>21944.829326129999</v>
      </c>
      <c r="BH8" s="14">
        <v>373.52313754000397</v>
      </c>
      <c r="BI8" s="14">
        <v>136833.53667691999</v>
      </c>
      <c r="BJ8" s="14">
        <v>136704.26724756</v>
      </c>
      <c r="BK8" s="15">
        <v>0</v>
      </c>
      <c r="BL8" s="14">
        <v>0</v>
      </c>
      <c r="BM8" s="49" t="s">
        <v>52</v>
      </c>
      <c r="BN8" s="20" t="s">
        <v>100</v>
      </c>
      <c r="BO8" s="16" t="s">
        <v>42</v>
      </c>
      <c r="BP8" s="15">
        <v>25</v>
      </c>
      <c r="BQ8" s="15">
        <v>735253</v>
      </c>
      <c r="BR8" s="14">
        <v>22792.097113560001</v>
      </c>
      <c r="BS8" s="14">
        <v>36397.75862624</v>
      </c>
      <c r="BT8" s="14">
        <v>-13605.661512680001</v>
      </c>
      <c r="BU8" s="14">
        <v>123935.95614186001</v>
      </c>
      <c r="BV8" s="14">
        <v>133900.20358604999</v>
      </c>
      <c r="BW8" s="18">
        <v>0</v>
      </c>
      <c r="BX8" s="19">
        <v>0</v>
      </c>
      <c r="BY8" s="49" t="s">
        <v>52</v>
      </c>
      <c r="BZ8" s="20" t="s">
        <v>100</v>
      </c>
      <c r="CA8" s="16" t="s">
        <v>42</v>
      </c>
      <c r="CB8" s="15">
        <v>25</v>
      </c>
      <c r="CC8" s="15">
        <v>744239</v>
      </c>
      <c r="CD8" s="14">
        <v>37282.72590895</v>
      </c>
      <c r="CE8" s="14">
        <v>22216.089070800001</v>
      </c>
      <c r="CF8" s="14">
        <v>15066.63683815</v>
      </c>
      <c r="CG8" s="14">
        <v>139715.14575925001</v>
      </c>
      <c r="CH8" s="14">
        <v>134716.34386194</v>
      </c>
      <c r="CI8" s="18">
        <v>0</v>
      </c>
      <c r="CJ8" s="19">
        <v>0</v>
      </c>
      <c r="CK8" s="49" t="s">
        <v>52</v>
      </c>
      <c r="CL8" s="17" t="s">
        <v>100</v>
      </c>
      <c r="CM8" s="16" t="s">
        <v>42</v>
      </c>
      <c r="CN8" s="15">
        <v>25</v>
      </c>
      <c r="CO8" s="15">
        <v>763342</v>
      </c>
      <c r="CP8" s="14">
        <v>30363.097172270001</v>
      </c>
      <c r="CQ8" s="14">
        <v>22002.187672190001</v>
      </c>
      <c r="CR8" s="14">
        <v>8360.9095000800207</v>
      </c>
      <c r="CS8" s="14">
        <v>148782.98307931999</v>
      </c>
      <c r="CT8" s="14">
        <v>143671.9780919</v>
      </c>
      <c r="CU8" s="18">
        <v>0</v>
      </c>
      <c r="CV8" s="14">
        <v>0</v>
      </c>
      <c r="CW8" s="49" t="s">
        <v>52</v>
      </c>
      <c r="CX8" s="17" t="s">
        <v>100</v>
      </c>
      <c r="CY8" s="16" t="s">
        <v>42</v>
      </c>
      <c r="CZ8" s="15">
        <v>25</v>
      </c>
      <c r="DA8" s="15">
        <v>766379</v>
      </c>
      <c r="DB8" s="14">
        <v>24881.026387540001</v>
      </c>
      <c r="DC8" s="14">
        <v>42529.181591070002</v>
      </c>
      <c r="DD8" s="103">
        <v>-17648.155203530001</v>
      </c>
      <c r="DE8" s="14">
        <v>131827.25616552</v>
      </c>
      <c r="DF8" s="14">
        <v>146522.95734219</v>
      </c>
      <c r="DG8" s="15">
        <v>0</v>
      </c>
      <c r="DH8" s="14">
        <v>0</v>
      </c>
      <c r="DI8" s="2" t="s">
        <v>52</v>
      </c>
      <c r="DJ8" s="85" t="s">
        <v>100</v>
      </c>
      <c r="DK8" s="86" t="s">
        <v>42</v>
      </c>
      <c r="DL8" s="87">
        <v>25</v>
      </c>
      <c r="DM8" s="87">
        <v>768654</v>
      </c>
      <c r="DN8" s="88">
        <v>29442.04454707</v>
      </c>
      <c r="DO8" s="88">
        <v>29186.675889120001</v>
      </c>
      <c r="DP8" s="104">
        <v>255.36865794996299</v>
      </c>
      <c r="DQ8" s="88">
        <v>132482.34510576</v>
      </c>
      <c r="DR8" s="88">
        <v>136859.04170286999</v>
      </c>
      <c r="DS8" s="87">
        <v>0</v>
      </c>
      <c r="DT8" s="88">
        <v>0</v>
      </c>
      <c r="DU8" s="2" t="s">
        <v>52</v>
      </c>
      <c r="DV8" s="136"/>
      <c r="DW8" s="137"/>
      <c r="DX8" s="2" t="s">
        <v>52</v>
      </c>
      <c r="DY8" s="136">
        <f t="shared" si="0"/>
        <v>0.18331310326546976</v>
      </c>
      <c r="DZ8" s="137">
        <f t="shared" si="1"/>
        <v>-1.0144699916226305</v>
      </c>
      <c r="EA8" s="138">
        <f t="shared" si="2"/>
        <v>-6.595495896763047E-2</v>
      </c>
    </row>
    <row r="9" spans="1:131" x14ac:dyDescent="0.5">
      <c r="A9" s="17" t="s">
        <v>99</v>
      </c>
      <c r="B9" s="16" t="s">
        <v>31</v>
      </c>
      <c r="C9" s="21">
        <v>112928.32885561</v>
      </c>
      <c r="D9" s="21">
        <v>113669.5935756</v>
      </c>
      <c r="E9" s="49" t="s">
        <v>52</v>
      </c>
      <c r="F9" s="17" t="s">
        <v>99</v>
      </c>
      <c r="G9" s="16" t="s">
        <v>31</v>
      </c>
      <c r="H9" s="15">
        <v>22</v>
      </c>
      <c r="I9" s="15">
        <v>838798</v>
      </c>
      <c r="J9" s="14">
        <v>22423.12953658</v>
      </c>
      <c r="K9" s="14">
        <v>13052.504806389999</v>
      </c>
      <c r="L9" s="14">
        <v>9370.6247301900003</v>
      </c>
      <c r="M9" s="14">
        <v>123442.33683289999</v>
      </c>
      <c r="N9" s="14">
        <v>119553.60757038</v>
      </c>
      <c r="O9" s="15">
        <v>0</v>
      </c>
      <c r="P9" s="14">
        <v>0</v>
      </c>
      <c r="Q9" s="49" t="s">
        <v>52</v>
      </c>
      <c r="R9" s="17" t="s">
        <v>99</v>
      </c>
      <c r="S9" s="16" t="s">
        <v>31</v>
      </c>
      <c r="T9" s="15">
        <v>22</v>
      </c>
      <c r="U9" s="15">
        <v>846370</v>
      </c>
      <c r="V9" s="14">
        <v>13952.958018810001</v>
      </c>
      <c r="W9" s="14">
        <v>10819.358954830001</v>
      </c>
      <c r="X9" s="14">
        <v>3133.5990639800002</v>
      </c>
      <c r="Y9" s="14">
        <v>127552.75661949</v>
      </c>
      <c r="Z9" s="14">
        <v>126308.63752791</v>
      </c>
      <c r="AA9" s="15">
        <v>0</v>
      </c>
      <c r="AB9" s="14">
        <v>0</v>
      </c>
      <c r="AC9" s="49" t="s">
        <v>52</v>
      </c>
      <c r="AD9" s="17" t="s">
        <v>99</v>
      </c>
      <c r="AE9" s="16" t="s">
        <v>31</v>
      </c>
      <c r="AF9" s="15">
        <v>22</v>
      </c>
      <c r="AG9" s="15">
        <v>849791</v>
      </c>
      <c r="AH9" s="14">
        <v>21118.171269930001</v>
      </c>
      <c r="AI9" s="14">
        <v>17981.76960928</v>
      </c>
      <c r="AJ9" s="14">
        <v>3136.4016606499999</v>
      </c>
      <c r="AK9" s="14">
        <v>131414.89293927999</v>
      </c>
      <c r="AL9" s="14">
        <v>129766.89411384999</v>
      </c>
      <c r="AM9" s="15">
        <v>0</v>
      </c>
      <c r="AN9" s="14">
        <v>0</v>
      </c>
      <c r="AO9" s="49" t="s">
        <v>52</v>
      </c>
      <c r="AP9" s="17" t="s">
        <v>99</v>
      </c>
      <c r="AQ9" s="16" t="s">
        <v>31</v>
      </c>
      <c r="AR9" s="15">
        <v>23</v>
      </c>
      <c r="AS9" s="15">
        <v>854453</v>
      </c>
      <c r="AT9" s="14">
        <v>27694.834796840001</v>
      </c>
      <c r="AU9" s="14">
        <v>17928.618544280002</v>
      </c>
      <c r="AV9" s="14">
        <v>9766.2162525599997</v>
      </c>
      <c r="AW9" s="14">
        <v>141985.61691193</v>
      </c>
      <c r="AX9" s="14">
        <v>139357.61952253</v>
      </c>
      <c r="AY9" s="15">
        <v>0</v>
      </c>
      <c r="AZ9" s="14">
        <v>0</v>
      </c>
      <c r="BA9" s="49" t="s">
        <v>52</v>
      </c>
      <c r="BB9" s="17" t="s">
        <v>99</v>
      </c>
      <c r="BC9" s="16" t="s">
        <v>31</v>
      </c>
      <c r="BD9" s="15">
        <v>23</v>
      </c>
      <c r="BE9" s="15">
        <v>857058</v>
      </c>
      <c r="BF9" s="14">
        <v>17277.480684009999</v>
      </c>
      <c r="BG9" s="14">
        <v>16800.68162725</v>
      </c>
      <c r="BH9" s="14">
        <v>476.79905675999902</v>
      </c>
      <c r="BI9" s="14">
        <v>142933.64913728999</v>
      </c>
      <c r="BJ9" s="14">
        <v>145670.66536993001</v>
      </c>
      <c r="BK9" s="15">
        <v>0</v>
      </c>
      <c r="BL9" s="14">
        <v>0</v>
      </c>
      <c r="BM9" s="49" t="s">
        <v>52</v>
      </c>
      <c r="BN9" s="20" t="s">
        <v>99</v>
      </c>
      <c r="BO9" s="16" t="s">
        <v>31</v>
      </c>
      <c r="BP9" s="15">
        <v>23</v>
      </c>
      <c r="BQ9" s="15">
        <v>851734</v>
      </c>
      <c r="BR9" s="14">
        <v>26196.109486180001</v>
      </c>
      <c r="BS9" s="14">
        <v>27449.33213504</v>
      </c>
      <c r="BT9" s="14">
        <v>-1253.2226488599999</v>
      </c>
      <c r="BU9" s="14">
        <v>142510.48501196</v>
      </c>
      <c r="BV9" s="14">
        <v>141908.54294299</v>
      </c>
      <c r="BW9" s="18">
        <v>0</v>
      </c>
      <c r="BX9" s="19">
        <v>0</v>
      </c>
      <c r="BY9" s="49" t="s">
        <v>52</v>
      </c>
      <c r="BZ9" s="20" t="s">
        <v>99</v>
      </c>
      <c r="CA9" s="16" t="s">
        <v>31</v>
      </c>
      <c r="CB9" s="15">
        <v>23</v>
      </c>
      <c r="CC9" s="15">
        <v>850992</v>
      </c>
      <c r="CD9" s="14">
        <v>21152.52799893</v>
      </c>
      <c r="CE9" s="14">
        <v>13635.9604628</v>
      </c>
      <c r="CF9" s="14">
        <v>7516.56753612998</v>
      </c>
      <c r="CG9" s="14">
        <v>150904.84167893999</v>
      </c>
      <c r="CH9" s="14">
        <v>149824.3768388</v>
      </c>
      <c r="CI9" s="18">
        <v>0</v>
      </c>
      <c r="CJ9" s="19">
        <v>0</v>
      </c>
      <c r="CK9" s="49" t="s">
        <v>52</v>
      </c>
      <c r="CL9" s="17" t="s">
        <v>99</v>
      </c>
      <c r="CM9" s="16" t="s">
        <v>31</v>
      </c>
      <c r="CN9" s="15">
        <v>23</v>
      </c>
      <c r="CO9" s="15">
        <v>852413</v>
      </c>
      <c r="CP9" s="14">
        <v>20416.1719615</v>
      </c>
      <c r="CQ9" s="14">
        <v>15435.52335326</v>
      </c>
      <c r="CR9" s="14">
        <v>4980.6486082400397</v>
      </c>
      <c r="CS9" s="14">
        <v>156704.97706994999</v>
      </c>
      <c r="CT9" s="14">
        <v>154517.11091451001</v>
      </c>
      <c r="CU9" s="18">
        <v>0</v>
      </c>
      <c r="CV9" s="14">
        <v>0</v>
      </c>
      <c r="CW9" s="49" t="s">
        <v>52</v>
      </c>
      <c r="CX9" s="17" t="s">
        <v>99</v>
      </c>
      <c r="CY9" s="16" t="s">
        <v>31</v>
      </c>
      <c r="CZ9" s="15">
        <v>23</v>
      </c>
      <c r="DA9" s="15">
        <v>851239</v>
      </c>
      <c r="DB9" s="14">
        <v>16806.604280330001</v>
      </c>
      <c r="DC9" s="14">
        <v>27052.596060219999</v>
      </c>
      <c r="DD9" s="103">
        <v>-10245.991779890001</v>
      </c>
      <c r="DE9" s="14">
        <v>147063.58376529001</v>
      </c>
      <c r="DF9" s="14">
        <v>154652.67178288999</v>
      </c>
      <c r="DG9" s="15">
        <v>0</v>
      </c>
      <c r="DH9" s="14">
        <v>0</v>
      </c>
      <c r="DI9" s="2" t="s">
        <v>52</v>
      </c>
      <c r="DJ9" s="85" t="s">
        <v>99</v>
      </c>
      <c r="DK9" s="86" t="s">
        <v>31</v>
      </c>
      <c r="DL9" s="87">
        <v>24</v>
      </c>
      <c r="DM9" s="87">
        <v>847633</v>
      </c>
      <c r="DN9" s="88">
        <v>22871.92206257</v>
      </c>
      <c r="DO9" s="88">
        <v>18092.740925810001</v>
      </c>
      <c r="DP9" s="104">
        <v>4779.1811367599903</v>
      </c>
      <c r="DQ9" s="88">
        <v>152176.22565879999</v>
      </c>
      <c r="DR9" s="88">
        <v>149428.32294504999</v>
      </c>
      <c r="DS9" s="87">
        <v>0</v>
      </c>
      <c r="DT9" s="88">
        <v>0</v>
      </c>
      <c r="DU9" s="2" t="s">
        <v>52</v>
      </c>
      <c r="DV9" s="136"/>
      <c r="DW9" s="137"/>
      <c r="DX9" s="2" t="s">
        <v>52</v>
      </c>
      <c r="DY9" s="136">
        <f t="shared" si="0"/>
        <v>0.36088895062155324</v>
      </c>
      <c r="DZ9" s="137">
        <f t="shared" si="1"/>
        <v>-1.4664439753055607</v>
      </c>
      <c r="EA9" s="138">
        <f t="shared" si="2"/>
        <v>-3.3781174147280324E-2</v>
      </c>
    </row>
    <row r="10" spans="1:131" x14ac:dyDescent="0.5">
      <c r="A10" s="17" t="s">
        <v>115</v>
      </c>
      <c r="B10" s="16" t="s">
        <v>35</v>
      </c>
      <c r="C10" s="21">
        <v>232662.84128647999</v>
      </c>
      <c r="D10" s="21">
        <v>243546.03992514999</v>
      </c>
      <c r="E10" s="49" t="s">
        <v>52</v>
      </c>
      <c r="F10" s="17" t="s">
        <v>115</v>
      </c>
      <c r="G10" s="16" t="s">
        <v>35</v>
      </c>
      <c r="H10" s="15">
        <v>24</v>
      </c>
      <c r="I10" s="15">
        <v>441187</v>
      </c>
      <c r="J10" s="14">
        <v>81737.29179915</v>
      </c>
      <c r="K10" s="14">
        <v>50230.250461019998</v>
      </c>
      <c r="L10" s="14">
        <v>31507.041338129999</v>
      </c>
      <c r="M10" s="14">
        <v>266389.92710224999</v>
      </c>
      <c r="N10" s="14">
        <v>262306.58818220999</v>
      </c>
      <c r="O10" s="15">
        <v>1</v>
      </c>
      <c r="P10" s="14">
        <v>0</v>
      </c>
      <c r="Q10" s="49" t="s">
        <v>52</v>
      </c>
      <c r="R10" s="17" t="s">
        <v>115</v>
      </c>
      <c r="S10" s="16" t="s">
        <v>35</v>
      </c>
      <c r="T10" s="15">
        <v>24</v>
      </c>
      <c r="U10" s="15">
        <v>445926</v>
      </c>
      <c r="V10" s="14">
        <v>63772.293000199999</v>
      </c>
      <c r="W10" s="14">
        <v>52549.2117698</v>
      </c>
      <c r="X10" s="14">
        <v>11223.081230399999</v>
      </c>
      <c r="Y10" s="14">
        <v>279475.77634580003</v>
      </c>
      <c r="Z10" s="14">
        <v>273313.49433528999</v>
      </c>
      <c r="AA10" s="15">
        <v>1</v>
      </c>
      <c r="AB10" s="14">
        <v>0</v>
      </c>
      <c r="AC10" s="49" t="s">
        <v>52</v>
      </c>
      <c r="AD10" s="17" t="s">
        <v>115</v>
      </c>
      <c r="AE10" s="16" t="s">
        <v>35</v>
      </c>
      <c r="AF10" s="15">
        <v>24</v>
      </c>
      <c r="AG10" s="15">
        <v>450098</v>
      </c>
      <c r="AH10" s="14">
        <v>93866.452670409999</v>
      </c>
      <c r="AI10" s="14">
        <v>84382.160778160003</v>
      </c>
      <c r="AJ10" s="14">
        <v>9484.2918922499794</v>
      </c>
      <c r="AK10" s="14">
        <v>290723.82345487998</v>
      </c>
      <c r="AL10" s="14">
        <v>278402.59246696997</v>
      </c>
      <c r="AM10" s="15">
        <v>1</v>
      </c>
      <c r="AN10" s="14">
        <v>0</v>
      </c>
      <c r="AO10" s="49" t="s">
        <v>52</v>
      </c>
      <c r="AP10" s="17" t="s">
        <v>115</v>
      </c>
      <c r="AQ10" s="16" t="s">
        <v>35</v>
      </c>
      <c r="AR10" s="15">
        <v>25</v>
      </c>
      <c r="AS10" s="15">
        <v>509995</v>
      </c>
      <c r="AT10" s="14">
        <v>115459.50943251001</v>
      </c>
      <c r="AU10" s="14">
        <v>70885.905161810006</v>
      </c>
      <c r="AV10" s="14">
        <v>44573.604270700002</v>
      </c>
      <c r="AW10" s="14">
        <v>337161.18443344999</v>
      </c>
      <c r="AX10" s="14">
        <v>332443.33440768003</v>
      </c>
      <c r="AY10" s="15">
        <v>1</v>
      </c>
      <c r="AZ10" s="14">
        <v>0</v>
      </c>
      <c r="BA10" s="49" t="s">
        <v>52</v>
      </c>
      <c r="BB10" s="17" t="s">
        <v>115</v>
      </c>
      <c r="BC10" s="16" t="s">
        <v>35</v>
      </c>
      <c r="BD10" s="15">
        <v>25</v>
      </c>
      <c r="BE10" s="15">
        <v>516255</v>
      </c>
      <c r="BF10" s="14">
        <v>63472.651433970001</v>
      </c>
      <c r="BG10" s="14">
        <v>61262.123552639998</v>
      </c>
      <c r="BH10" s="14">
        <v>2210.5278813300001</v>
      </c>
      <c r="BI10" s="14">
        <v>340867.68771892</v>
      </c>
      <c r="BJ10" s="14">
        <v>339739.89454314997</v>
      </c>
      <c r="BK10" s="15">
        <v>1</v>
      </c>
      <c r="BL10" s="14">
        <v>0</v>
      </c>
      <c r="BM10" s="49" t="s">
        <v>52</v>
      </c>
      <c r="BN10" s="20" t="s">
        <v>115</v>
      </c>
      <c r="BO10" s="16" t="s">
        <v>35</v>
      </c>
      <c r="BP10" s="15">
        <v>25</v>
      </c>
      <c r="BQ10" s="15">
        <v>515392</v>
      </c>
      <c r="BR10" s="14">
        <v>99827.929615960005</v>
      </c>
      <c r="BS10" s="14">
        <v>117727.82534611</v>
      </c>
      <c r="BT10" s="14">
        <v>-17899.895730150001</v>
      </c>
      <c r="BU10" s="14">
        <v>324657.10299331002</v>
      </c>
      <c r="BV10" s="14">
        <v>329551.50459549</v>
      </c>
      <c r="BW10" s="18">
        <v>1</v>
      </c>
      <c r="BX10" s="19">
        <v>0</v>
      </c>
      <c r="BY10" s="49" t="s">
        <v>52</v>
      </c>
      <c r="BZ10" s="20" t="s">
        <v>115</v>
      </c>
      <c r="CA10" s="16" t="s">
        <v>35</v>
      </c>
      <c r="CB10" s="15">
        <v>25</v>
      </c>
      <c r="CC10" s="15">
        <v>518211</v>
      </c>
      <c r="CD10" s="14">
        <v>84507.062054420006</v>
      </c>
      <c r="CE10" s="14">
        <v>66590.624883369994</v>
      </c>
      <c r="CF10" s="14">
        <v>17916.437171050002</v>
      </c>
      <c r="CG10" s="14">
        <v>344278.88567456999</v>
      </c>
      <c r="CH10" s="14">
        <v>335800.69028261001</v>
      </c>
      <c r="CI10" s="18">
        <v>1</v>
      </c>
      <c r="CJ10" s="19">
        <v>0</v>
      </c>
      <c r="CK10" s="49" t="s">
        <v>52</v>
      </c>
      <c r="CL10" s="17" t="s">
        <v>115</v>
      </c>
      <c r="CM10" s="16" t="s">
        <v>35</v>
      </c>
      <c r="CN10" s="15">
        <v>26</v>
      </c>
      <c r="CO10" s="15">
        <v>524263</v>
      </c>
      <c r="CP10" s="14">
        <v>58229.831203759997</v>
      </c>
      <c r="CQ10" s="14">
        <v>47125.458574609998</v>
      </c>
      <c r="CR10" s="14">
        <v>11104.372629150001</v>
      </c>
      <c r="CS10" s="14">
        <v>357101.16292298998</v>
      </c>
      <c r="CT10" s="14">
        <v>349189.41093870997</v>
      </c>
      <c r="CU10" s="18">
        <v>1</v>
      </c>
      <c r="CV10" s="14">
        <v>0</v>
      </c>
      <c r="CW10" s="49" t="s">
        <v>52</v>
      </c>
      <c r="CX10" s="17" t="s">
        <v>115</v>
      </c>
      <c r="CY10" s="16" t="s">
        <v>35</v>
      </c>
      <c r="CZ10" s="15">
        <v>26</v>
      </c>
      <c r="DA10" s="15">
        <v>524338</v>
      </c>
      <c r="DB10" s="14">
        <v>82193.007648319894</v>
      </c>
      <c r="DC10" s="14">
        <v>122657.36441821</v>
      </c>
      <c r="DD10" s="103">
        <v>-40464.356769890102</v>
      </c>
      <c r="DE10" s="14">
        <v>318352.49264709</v>
      </c>
      <c r="DF10" s="14">
        <v>343897.00213803002</v>
      </c>
      <c r="DG10" s="15">
        <v>1</v>
      </c>
      <c r="DH10" s="14">
        <v>0</v>
      </c>
      <c r="DI10" s="2" t="s">
        <v>52</v>
      </c>
      <c r="DJ10" s="85" t="s">
        <v>115</v>
      </c>
      <c r="DK10" s="86" t="s">
        <v>35</v>
      </c>
      <c r="DL10" s="87">
        <v>27</v>
      </c>
      <c r="DM10" s="87">
        <v>523717</v>
      </c>
      <c r="DN10" s="88">
        <v>69043.593214120003</v>
      </c>
      <c r="DO10" s="88">
        <v>56280.121287440001</v>
      </c>
      <c r="DP10" s="104">
        <v>12763.4719266801</v>
      </c>
      <c r="DQ10" s="88">
        <v>332151.98422394</v>
      </c>
      <c r="DR10" s="88">
        <v>328273.70990131999</v>
      </c>
      <c r="DS10" s="87">
        <v>1</v>
      </c>
      <c r="DT10" s="88">
        <v>0</v>
      </c>
      <c r="DU10" s="2" t="s">
        <v>52</v>
      </c>
      <c r="DV10" s="136"/>
      <c r="DW10" s="137"/>
      <c r="DX10" s="2" t="s">
        <v>52</v>
      </c>
      <c r="DY10" s="136">
        <f t="shared" si="0"/>
        <v>-0.15998215432707405</v>
      </c>
      <c r="DZ10" s="137">
        <f t="shared" si="1"/>
        <v>-1.3154250541844152</v>
      </c>
      <c r="EA10" s="138">
        <f t="shared" si="2"/>
        <v>-4.5430149549367985E-2</v>
      </c>
    </row>
    <row r="11" spans="1:131" x14ac:dyDescent="0.5">
      <c r="A11" s="17" t="s">
        <v>114</v>
      </c>
      <c r="B11" s="16" t="s">
        <v>40</v>
      </c>
      <c r="C11" s="21">
        <v>113320.85564314001</v>
      </c>
      <c r="D11" s="21">
        <v>112254.19366911</v>
      </c>
      <c r="E11" s="49" t="s">
        <v>52</v>
      </c>
      <c r="F11" s="17" t="s">
        <v>114</v>
      </c>
      <c r="G11" s="16" t="s">
        <v>40</v>
      </c>
      <c r="H11" s="15">
        <v>24</v>
      </c>
      <c r="I11" s="15">
        <v>463334</v>
      </c>
      <c r="J11" s="14">
        <v>10139.494741439999</v>
      </c>
      <c r="K11" s="14">
        <v>5376.2797415000005</v>
      </c>
      <c r="L11" s="14">
        <v>4763.2149999399999</v>
      </c>
      <c r="M11" s="14">
        <v>119708.54111172</v>
      </c>
      <c r="N11" s="14">
        <v>118413.30492126</v>
      </c>
      <c r="O11" s="15">
        <v>0</v>
      </c>
      <c r="P11" s="14">
        <v>0</v>
      </c>
      <c r="Q11" s="49" t="s">
        <v>52</v>
      </c>
      <c r="R11" s="17" t="s">
        <v>114</v>
      </c>
      <c r="S11" s="16" t="s">
        <v>40</v>
      </c>
      <c r="T11" s="15">
        <v>24</v>
      </c>
      <c r="U11" s="15">
        <v>475177</v>
      </c>
      <c r="V11" s="14">
        <v>7633.7643611800004</v>
      </c>
      <c r="W11" s="14">
        <v>5843.97627835</v>
      </c>
      <c r="X11" s="14">
        <v>1789.7880828299999</v>
      </c>
      <c r="Y11" s="14">
        <v>122759.56146968</v>
      </c>
      <c r="Z11" s="14">
        <v>121092.00313984</v>
      </c>
      <c r="AA11" s="15">
        <v>0</v>
      </c>
      <c r="AB11" s="14">
        <v>0</v>
      </c>
      <c r="AC11" s="49" t="s">
        <v>52</v>
      </c>
      <c r="AD11" s="17" t="s">
        <v>114</v>
      </c>
      <c r="AE11" s="16" t="s">
        <v>40</v>
      </c>
      <c r="AF11" s="15">
        <v>24</v>
      </c>
      <c r="AG11" s="15">
        <v>488358</v>
      </c>
      <c r="AH11" s="14">
        <v>20113.176207280001</v>
      </c>
      <c r="AI11" s="14">
        <v>9836.4277081599994</v>
      </c>
      <c r="AJ11" s="14">
        <v>10276.74849912</v>
      </c>
      <c r="AK11" s="14">
        <v>133337.00368256</v>
      </c>
      <c r="AL11" s="14">
        <v>132173.68078331999</v>
      </c>
      <c r="AM11" s="15">
        <v>0</v>
      </c>
      <c r="AN11" s="14">
        <v>0</v>
      </c>
      <c r="AO11" s="49" t="s">
        <v>52</v>
      </c>
      <c r="AP11" s="17" t="s">
        <v>114</v>
      </c>
      <c r="AQ11" s="16" t="s">
        <v>40</v>
      </c>
      <c r="AR11" s="15">
        <v>24</v>
      </c>
      <c r="AS11" s="15">
        <v>506036</v>
      </c>
      <c r="AT11" s="14">
        <v>6866.8995789700002</v>
      </c>
      <c r="AU11" s="14">
        <v>5037.5701129700001</v>
      </c>
      <c r="AV11" s="14">
        <v>1829.3294659999999</v>
      </c>
      <c r="AW11" s="14">
        <v>136020.58462625</v>
      </c>
      <c r="AX11" s="14">
        <v>136121.87865355</v>
      </c>
      <c r="AY11" s="15">
        <v>0</v>
      </c>
      <c r="AZ11" s="14">
        <v>0</v>
      </c>
      <c r="BA11" s="49" t="s">
        <v>52</v>
      </c>
      <c r="BB11" s="17" t="s">
        <v>114</v>
      </c>
      <c r="BC11" s="16" t="s">
        <v>40</v>
      </c>
      <c r="BD11" s="15">
        <v>24</v>
      </c>
      <c r="BE11" s="15">
        <v>517942</v>
      </c>
      <c r="BF11" s="14">
        <v>4807.2552437499999</v>
      </c>
      <c r="BG11" s="14">
        <v>4241.9948925899998</v>
      </c>
      <c r="BH11" s="14">
        <v>565.260351159999</v>
      </c>
      <c r="BI11" s="14">
        <v>136582.7493315</v>
      </c>
      <c r="BJ11" s="14">
        <v>136154.00157456999</v>
      </c>
      <c r="BK11" s="15">
        <v>0</v>
      </c>
      <c r="BL11" s="14">
        <v>0</v>
      </c>
      <c r="BM11" s="49" t="s">
        <v>52</v>
      </c>
      <c r="BN11" s="20" t="s">
        <v>114</v>
      </c>
      <c r="BO11" s="16" t="s">
        <v>40</v>
      </c>
      <c r="BP11" s="15">
        <v>24</v>
      </c>
      <c r="BQ11" s="15">
        <v>525052</v>
      </c>
      <c r="BR11" s="14">
        <v>4069.7225290199999</v>
      </c>
      <c r="BS11" s="14">
        <v>6242.9566608699997</v>
      </c>
      <c r="BT11" s="14">
        <v>-2173.2341318499998</v>
      </c>
      <c r="BU11" s="14">
        <v>135290.95383791</v>
      </c>
      <c r="BV11" s="14">
        <v>136485.12496971001</v>
      </c>
      <c r="BW11" s="18">
        <v>0</v>
      </c>
      <c r="BX11" s="19">
        <v>0</v>
      </c>
      <c r="BY11" s="49" t="s">
        <v>52</v>
      </c>
      <c r="BZ11" s="20" t="s">
        <v>114</v>
      </c>
      <c r="CA11" s="16" t="s">
        <v>40</v>
      </c>
      <c r="CB11" s="15">
        <v>24</v>
      </c>
      <c r="CC11" s="15">
        <v>539194</v>
      </c>
      <c r="CD11" s="14">
        <v>6049.2509700999999</v>
      </c>
      <c r="CE11" s="14">
        <v>3279.73606268</v>
      </c>
      <c r="CF11" s="14">
        <v>2769.5149074199999</v>
      </c>
      <c r="CG11" s="14">
        <v>139124.76402025</v>
      </c>
      <c r="CH11" s="14">
        <v>137918.11517653</v>
      </c>
      <c r="CI11" s="18">
        <v>0</v>
      </c>
      <c r="CJ11" s="19">
        <v>0</v>
      </c>
      <c r="CK11" s="49" t="s">
        <v>52</v>
      </c>
      <c r="CL11" s="17" t="s">
        <v>114</v>
      </c>
      <c r="CM11" s="16" t="s">
        <v>40</v>
      </c>
      <c r="CN11" s="15">
        <v>24</v>
      </c>
      <c r="CO11" s="15">
        <v>553771</v>
      </c>
      <c r="CP11" s="14">
        <v>4756.0799820399998</v>
      </c>
      <c r="CQ11" s="14">
        <v>2650.4557781200001</v>
      </c>
      <c r="CR11" s="14">
        <v>2105.6242039200001</v>
      </c>
      <c r="CS11" s="14">
        <v>142040.83594222</v>
      </c>
      <c r="CT11" s="14">
        <v>140524.53614991999</v>
      </c>
      <c r="CU11" s="18">
        <v>0</v>
      </c>
      <c r="CV11" s="14">
        <v>0</v>
      </c>
      <c r="CW11" s="49" t="s">
        <v>52</v>
      </c>
      <c r="CX11" s="17" t="s">
        <v>114</v>
      </c>
      <c r="CY11" s="16" t="s">
        <v>40</v>
      </c>
      <c r="CZ11" s="15">
        <v>24</v>
      </c>
      <c r="DA11" s="15">
        <v>561636</v>
      </c>
      <c r="DB11" s="14">
        <v>3648.42312541001</v>
      </c>
      <c r="DC11" s="14">
        <v>9338.0294120599992</v>
      </c>
      <c r="DD11" s="14">
        <v>-5689.6062866499897</v>
      </c>
      <c r="DE11" s="112">
        <v>136600.71419992999</v>
      </c>
      <c r="DF11" s="14">
        <v>140221.97763986001</v>
      </c>
      <c r="DG11" s="15">
        <v>0</v>
      </c>
      <c r="DH11" s="14">
        <v>0</v>
      </c>
      <c r="DI11" s="2" t="s">
        <v>52</v>
      </c>
      <c r="DJ11" s="85" t="s">
        <v>114</v>
      </c>
      <c r="DK11" s="86" t="s">
        <v>40</v>
      </c>
      <c r="DL11" s="87">
        <v>25</v>
      </c>
      <c r="DM11" s="87">
        <v>563688</v>
      </c>
      <c r="DN11" s="88">
        <v>5931.16454951999</v>
      </c>
      <c r="DO11" s="88">
        <v>8819.7131801800006</v>
      </c>
      <c r="DP11" s="88">
        <v>-2888.5486306600101</v>
      </c>
      <c r="DQ11" s="111">
        <v>133810.20838890001</v>
      </c>
      <c r="DR11" s="88">
        <v>136139.32127963001</v>
      </c>
      <c r="DS11" s="87">
        <v>0</v>
      </c>
      <c r="DT11" s="88">
        <v>0</v>
      </c>
      <c r="DU11" s="2" t="s">
        <v>52</v>
      </c>
      <c r="DV11" s="136"/>
      <c r="DW11" s="137"/>
      <c r="DX11" s="2" t="s">
        <v>52</v>
      </c>
      <c r="DY11" s="136">
        <f t="shared" si="0"/>
        <v>0.6256789154227953</v>
      </c>
      <c r="DZ11" s="137">
        <f t="shared" si="1"/>
        <v>-0.49231133313430508</v>
      </c>
      <c r="EA11" s="138">
        <f t="shared" si="2"/>
        <v>-2.9115666666146425E-2</v>
      </c>
    </row>
    <row r="12" spans="1:131" x14ac:dyDescent="0.5">
      <c r="A12" s="17" t="s">
        <v>124</v>
      </c>
      <c r="B12" s="16" t="s">
        <v>32</v>
      </c>
      <c r="C12" s="21">
        <v>24666.495339190002</v>
      </c>
      <c r="D12" s="21">
        <v>24832.792907939998</v>
      </c>
      <c r="E12" s="49" t="s">
        <v>52</v>
      </c>
      <c r="F12" s="17" t="s">
        <v>124</v>
      </c>
      <c r="G12" s="16" t="s">
        <v>32</v>
      </c>
      <c r="H12" s="15">
        <v>13</v>
      </c>
      <c r="I12" s="15">
        <v>219285</v>
      </c>
      <c r="J12" s="14">
        <v>665.09613515000001</v>
      </c>
      <c r="K12" s="14">
        <v>530.96891172999995</v>
      </c>
      <c r="L12" s="14">
        <v>134.12722342000001</v>
      </c>
      <c r="M12" s="14">
        <v>25163.718727430001</v>
      </c>
      <c r="N12" s="14">
        <v>25082.7163822</v>
      </c>
      <c r="O12" s="15">
        <v>2</v>
      </c>
      <c r="P12" s="14">
        <v>0</v>
      </c>
      <c r="Q12" s="49" t="s">
        <v>52</v>
      </c>
      <c r="R12" s="17" t="s">
        <v>124</v>
      </c>
      <c r="S12" s="16" t="s">
        <v>32</v>
      </c>
      <c r="T12" s="15">
        <v>13</v>
      </c>
      <c r="U12" s="15">
        <v>223104</v>
      </c>
      <c r="V12" s="14">
        <v>345.67110336000002</v>
      </c>
      <c r="W12" s="14">
        <v>392.77687370000001</v>
      </c>
      <c r="X12" s="14">
        <v>-47.105770339999999</v>
      </c>
      <c r="Y12" s="14">
        <v>25365.584796129999</v>
      </c>
      <c r="Z12" s="14">
        <v>25294.92654737</v>
      </c>
      <c r="AA12" s="15">
        <v>2</v>
      </c>
      <c r="AB12" s="14">
        <v>0</v>
      </c>
      <c r="AC12" s="49" t="s">
        <v>52</v>
      </c>
      <c r="AD12" s="17" t="s">
        <v>124</v>
      </c>
      <c r="AE12" s="16" t="s">
        <v>32</v>
      </c>
      <c r="AF12" s="15">
        <v>13</v>
      </c>
      <c r="AG12" s="15">
        <v>226670</v>
      </c>
      <c r="AH12" s="14">
        <v>378.53568203999998</v>
      </c>
      <c r="AI12" s="14">
        <v>439.51407904000001</v>
      </c>
      <c r="AJ12" s="14">
        <v>-60.978397000000001</v>
      </c>
      <c r="AK12" s="14">
        <v>25335.97711312</v>
      </c>
      <c r="AL12" s="14">
        <v>25330.049111050001</v>
      </c>
      <c r="AM12" s="15">
        <v>2</v>
      </c>
      <c r="AN12" s="14">
        <v>0</v>
      </c>
      <c r="AO12" s="49" t="s">
        <v>52</v>
      </c>
      <c r="AP12" s="17" t="s">
        <v>124</v>
      </c>
      <c r="AQ12" s="16" t="s">
        <v>32</v>
      </c>
      <c r="AR12" s="15">
        <v>13</v>
      </c>
      <c r="AS12" s="15">
        <v>230916</v>
      </c>
      <c r="AT12" s="14">
        <v>582.91793036000001</v>
      </c>
      <c r="AU12" s="14">
        <v>558.94179081000004</v>
      </c>
      <c r="AV12" s="14">
        <v>23.976139549999999</v>
      </c>
      <c r="AW12" s="14">
        <v>25513.379930139999</v>
      </c>
      <c r="AX12" s="14">
        <v>25549.304250050001</v>
      </c>
      <c r="AY12" s="15">
        <v>2</v>
      </c>
      <c r="AZ12" s="14">
        <v>0</v>
      </c>
      <c r="BA12" s="49" t="s">
        <v>52</v>
      </c>
      <c r="BB12" s="17" t="s">
        <v>124</v>
      </c>
      <c r="BC12" s="16" t="s">
        <v>32</v>
      </c>
      <c r="BD12" s="15">
        <v>13</v>
      </c>
      <c r="BE12" s="15">
        <v>233423</v>
      </c>
      <c r="BF12" s="14">
        <v>502.31551949999999</v>
      </c>
      <c r="BG12" s="14">
        <v>390.34261727000001</v>
      </c>
      <c r="BH12" s="14">
        <v>111.97290223</v>
      </c>
      <c r="BI12" s="14">
        <v>25590.072047369998</v>
      </c>
      <c r="BJ12" s="14">
        <v>25600.142271569999</v>
      </c>
      <c r="BK12" s="15">
        <v>2</v>
      </c>
      <c r="BL12" s="14">
        <v>0</v>
      </c>
      <c r="BM12" s="49" t="s">
        <v>52</v>
      </c>
      <c r="BN12" s="20" t="s">
        <v>124</v>
      </c>
      <c r="BO12" s="16" t="s">
        <v>32</v>
      </c>
      <c r="BP12" s="15">
        <v>13</v>
      </c>
      <c r="BQ12" s="15">
        <v>234720</v>
      </c>
      <c r="BR12" s="14">
        <v>794.73203132000003</v>
      </c>
      <c r="BS12" s="14">
        <v>951.57533254999998</v>
      </c>
      <c r="BT12" s="14">
        <v>-156.84330123000001</v>
      </c>
      <c r="BU12" s="14">
        <v>25661.930725570001</v>
      </c>
      <c r="BV12" s="14">
        <v>25664.17109362</v>
      </c>
      <c r="BW12" s="18">
        <v>2</v>
      </c>
      <c r="BX12" s="19">
        <v>0</v>
      </c>
      <c r="BY12" s="49" t="s">
        <v>52</v>
      </c>
      <c r="BZ12" s="20" t="s">
        <v>124</v>
      </c>
      <c r="CA12" s="16" t="s">
        <v>32</v>
      </c>
      <c r="CB12" s="15">
        <v>13</v>
      </c>
      <c r="CC12" s="15">
        <v>236962</v>
      </c>
      <c r="CD12" s="14">
        <v>684.79692091000004</v>
      </c>
      <c r="CE12" s="14">
        <v>295.27872480000002</v>
      </c>
      <c r="CF12" s="14">
        <v>389.51819611000002</v>
      </c>
      <c r="CG12" s="14">
        <v>26254.412438700001</v>
      </c>
      <c r="CH12" s="14">
        <v>26080.473213400001</v>
      </c>
      <c r="CI12" s="18">
        <v>2</v>
      </c>
      <c r="CJ12" s="19">
        <v>0</v>
      </c>
      <c r="CK12" s="49" t="s">
        <v>52</v>
      </c>
      <c r="CL12" s="17" t="s">
        <v>124</v>
      </c>
      <c r="CM12" s="16" t="s">
        <v>32</v>
      </c>
      <c r="CN12" s="15">
        <v>13</v>
      </c>
      <c r="CO12" s="15">
        <v>239520</v>
      </c>
      <c r="CP12" s="14">
        <v>385.63070726000001</v>
      </c>
      <c r="CQ12" s="14">
        <v>399.25632079000002</v>
      </c>
      <c r="CR12" s="14">
        <v>-13.625613529999599</v>
      </c>
      <c r="CS12" s="14">
        <v>26406.04742476</v>
      </c>
      <c r="CT12" s="14">
        <v>26318.32423957</v>
      </c>
      <c r="CU12" s="18">
        <v>2</v>
      </c>
      <c r="CV12" s="14">
        <v>0</v>
      </c>
      <c r="CW12" s="49" t="s">
        <v>52</v>
      </c>
      <c r="CX12" s="17" t="s">
        <v>124</v>
      </c>
      <c r="CY12" s="16" t="s">
        <v>32</v>
      </c>
      <c r="CZ12" s="15">
        <v>13</v>
      </c>
      <c r="DA12" s="15">
        <v>240819</v>
      </c>
      <c r="DB12" s="14">
        <v>412.92306889000002</v>
      </c>
      <c r="DC12" s="14">
        <v>642.23621916000002</v>
      </c>
      <c r="DD12" s="14">
        <v>-229.31315026999999</v>
      </c>
      <c r="DE12" s="14">
        <v>26252.28666523</v>
      </c>
      <c r="DF12" s="14">
        <v>26375.754192699998</v>
      </c>
      <c r="DG12" s="15">
        <v>2</v>
      </c>
      <c r="DH12" s="14">
        <v>0</v>
      </c>
      <c r="DI12" s="2" t="s">
        <v>52</v>
      </c>
      <c r="DJ12" s="85" t="s">
        <v>124</v>
      </c>
      <c r="DK12" s="86" t="s">
        <v>32</v>
      </c>
      <c r="DL12" s="87">
        <v>13</v>
      </c>
      <c r="DM12" s="87">
        <v>240538</v>
      </c>
      <c r="DN12" s="88">
        <v>276.48161322999999</v>
      </c>
      <c r="DO12" s="88">
        <v>384.11133748999998</v>
      </c>
      <c r="DP12" s="88">
        <v>-107.62972425999899</v>
      </c>
      <c r="DQ12" s="113">
        <v>26229.007698329999</v>
      </c>
      <c r="DR12" s="88">
        <v>26273.400050799999</v>
      </c>
      <c r="DS12" s="87">
        <v>2</v>
      </c>
      <c r="DT12" s="88">
        <v>0</v>
      </c>
      <c r="DU12" s="2" t="s">
        <v>52</v>
      </c>
      <c r="DV12" s="136"/>
      <c r="DW12" s="137"/>
      <c r="DX12" s="2" t="s">
        <v>52</v>
      </c>
      <c r="DY12" s="136">
        <f t="shared" si="0"/>
        <v>-0.33042827088051874</v>
      </c>
      <c r="DZ12" s="137">
        <f t="shared" si="1"/>
        <v>-0.5306430349359702</v>
      </c>
      <c r="EA12" s="138">
        <f t="shared" si="2"/>
        <v>-3.8806147931242044E-3</v>
      </c>
    </row>
    <row r="13" spans="1:131" x14ac:dyDescent="0.5">
      <c r="A13" s="17" t="s">
        <v>123</v>
      </c>
      <c r="B13" s="16" t="s">
        <v>33</v>
      </c>
      <c r="C13" s="21">
        <v>11553.68474798</v>
      </c>
      <c r="D13" s="21">
        <v>11605.298322230001</v>
      </c>
      <c r="E13" s="49" t="s">
        <v>52</v>
      </c>
      <c r="F13" s="17" t="s">
        <v>123</v>
      </c>
      <c r="G13" s="16" t="s">
        <v>33</v>
      </c>
      <c r="H13" s="15">
        <v>13</v>
      </c>
      <c r="I13" s="15">
        <v>103165</v>
      </c>
      <c r="J13" s="14">
        <v>310.3820326</v>
      </c>
      <c r="K13" s="14">
        <v>210.34638043999999</v>
      </c>
      <c r="L13" s="14">
        <v>100.03565216</v>
      </c>
      <c r="M13" s="14">
        <v>11859.044013639999</v>
      </c>
      <c r="N13" s="14">
        <v>11767.79070523</v>
      </c>
      <c r="O13" s="15">
        <v>0</v>
      </c>
      <c r="P13" s="14">
        <v>0</v>
      </c>
      <c r="Q13" s="49" t="s">
        <v>52</v>
      </c>
      <c r="R13" s="17" t="s">
        <v>123</v>
      </c>
      <c r="S13" s="16" t="s">
        <v>33</v>
      </c>
      <c r="T13" s="15">
        <v>13</v>
      </c>
      <c r="U13" s="15">
        <v>104030</v>
      </c>
      <c r="V13" s="14">
        <v>155.87825828000001</v>
      </c>
      <c r="W13" s="14">
        <v>111.74406523</v>
      </c>
      <c r="X13" s="14">
        <v>44.13419305</v>
      </c>
      <c r="Y13" s="14">
        <v>11999.016499089999</v>
      </c>
      <c r="Z13" s="14">
        <v>11934.71040623</v>
      </c>
      <c r="AA13" s="15">
        <v>0</v>
      </c>
      <c r="AB13" s="14">
        <v>0</v>
      </c>
      <c r="AC13" s="49" t="s">
        <v>52</v>
      </c>
      <c r="AD13" s="17" t="s">
        <v>123</v>
      </c>
      <c r="AE13" s="16" t="s">
        <v>33</v>
      </c>
      <c r="AF13" s="15">
        <v>13</v>
      </c>
      <c r="AG13" s="15">
        <v>104283</v>
      </c>
      <c r="AH13" s="14">
        <v>162.22431699000001</v>
      </c>
      <c r="AI13" s="14">
        <v>227.99318629999999</v>
      </c>
      <c r="AJ13" s="14">
        <v>-65.768869310000099</v>
      </c>
      <c r="AK13" s="14">
        <v>11852.051251450001</v>
      </c>
      <c r="AL13" s="14">
        <v>11934.07255038</v>
      </c>
      <c r="AM13" s="15">
        <v>0</v>
      </c>
      <c r="AN13" s="14">
        <v>0</v>
      </c>
      <c r="AO13" s="49" t="s">
        <v>52</v>
      </c>
      <c r="AP13" s="17" t="s">
        <v>123</v>
      </c>
      <c r="AQ13" s="16" t="s">
        <v>33</v>
      </c>
      <c r="AR13" s="15">
        <v>13</v>
      </c>
      <c r="AS13" s="15">
        <v>104610</v>
      </c>
      <c r="AT13" s="14">
        <v>119.44429603</v>
      </c>
      <c r="AU13" s="14">
        <v>340.89714733</v>
      </c>
      <c r="AV13" s="14">
        <v>-221.45285129999999</v>
      </c>
      <c r="AW13" s="14">
        <v>11687.03010382</v>
      </c>
      <c r="AX13" s="14">
        <v>11799.95563986</v>
      </c>
      <c r="AY13" s="15">
        <v>0</v>
      </c>
      <c r="AZ13" s="14">
        <v>0</v>
      </c>
      <c r="BA13" s="49" t="s">
        <v>52</v>
      </c>
      <c r="BB13" s="17" t="s">
        <v>123</v>
      </c>
      <c r="BC13" s="16" t="s">
        <v>33</v>
      </c>
      <c r="BD13" s="15">
        <v>13</v>
      </c>
      <c r="BE13" s="15">
        <v>104533</v>
      </c>
      <c r="BF13" s="14">
        <v>53.287901459999901</v>
      </c>
      <c r="BG13" s="14">
        <v>81.174597550000001</v>
      </c>
      <c r="BH13" s="14">
        <v>-27.8866960900001</v>
      </c>
      <c r="BI13" s="14">
        <v>11520.3320989</v>
      </c>
      <c r="BJ13" s="14">
        <v>11601.78378949</v>
      </c>
      <c r="BK13" s="15">
        <v>0</v>
      </c>
      <c r="BL13" s="14">
        <v>0</v>
      </c>
      <c r="BM13" s="49" t="s">
        <v>52</v>
      </c>
      <c r="BN13" s="20" t="s">
        <v>123</v>
      </c>
      <c r="BO13" s="16" t="s">
        <v>33</v>
      </c>
      <c r="BP13" s="15">
        <v>13</v>
      </c>
      <c r="BQ13" s="15">
        <v>103999</v>
      </c>
      <c r="BR13" s="14">
        <v>249.43866316</v>
      </c>
      <c r="BS13" s="14">
        <v>146.04760880000001</v>
      </c>
      <c r="BT13" s="14">
        <v>103.39105436</v>
      </c>
      <c r="BU13" s="14">
        <v>11734.900850739999</v>
      </c>
      <c r="BV13" s="14">
        <v>11591.96167597</v>
      </c>
      <c r="BW13" s="18">
        <v>0</v>
      </c>
      <c r="BX13" s="19">
        <v>0</v>
      </c>
      <c r="BY13" s="49" t="s">
        <v>52</v>
      </c>
      <c r="BZ13" s="20" t="s">
        <v>123</v>
      </c>
      <c r="CA13" s="16" t="s">
        <v>33</v>
      </c>
      <c r="CB13" s="15">
        <v>13</v>
      </c>
      <c r="CC13" s="15">
        <v>103489</v>
      </c>
      <c r="CD13" s="14">
        <v>219.47797972999999</v>
      </c>
      <c r="CE13" s="14">
        <v>202.74744324</v>
      </c>
      <c r="CF13" s="14">
        <v>16.7305364899998</v>
      </c>
      <c r="CG13" s="14">
        <v>11825.915155680001</v>
      </c>
      <c r="CH13" s="14">
        <v>11845.59817005</v>
      </c>
      <c r="CI13" s="18">
        <v>0</v>
      </c>
      <c r="CJ13" s="19">
        <v>0</v>
      </c>
      <c r="CK13" s="49" t="s">
        <v>52</v>
      </c>
      <c r="CL13" s="17" t="s">
        <v>123</v>
      </c>
      <c r="CM13" s="16" t="s">
        <v>33</v>
      </c>
      <c r="CN13" s="15">
        <v>13</v>
      </c>
      <c r="CO13" s="15">
        <v>102988</v>
      </c>
      <c r="CP13" s="14">
        <v>107.98126175</v>
      </c>
      <c r="CQ13" s="14">
        <v>116.60897934</v>
      </c>
      <c r="CR13" s="14">
        <v>-8.6277175899997491</v>
      </c>
      <c r="CS13" s="14">
        <v>11855.91101534</v>
      </c>
      <c r="CT13" s="14">
        <v>11875.317672650001</v>
      </c>
      <c r="CU13" s="18">
        <v>0</v>
      </c>
      <c r="CV13" s="14">
        <v>0</v>
      </c>
      <c r="CW13" s="49" t="s">
        <v>52</v>
      </c>
      <c r="CX13" s="17" t="s">
        <v>123</v>
      </c>
      <c r="CY13" s="16" t="s">
        <v>33</v>
      </c>
      <c r="CZ13" s="15">
        <v>13</v>
      </c>
      <c r="DA13" s="15">
        <v>102111</v>
      </c>
      <c r="DB13" s="14">
        <v>61.09846057</v>
      </c>
      <c r="DC13" s="14">
        <v>249.05716311</v>
      </c>
      <c r="DD13" s="14">
        <v>-187.95870253999999</v>
      </c>
      <c r="DE13" s="112">
        <v>11692.1400837</v>
      </c>
      <c r="DF13" s="14">
        <v>11771.08877059</v>
      </c>
      <c r="DG13" s="15">
        <v>0</v>
      </c>
      <c r="DH13" s="14">
        <v>0</v>
      </c>
      <c r="DI13" s="2" t="s">
        <v>52</v>
      </c>
      <c r="DJ13" s="85" t="s">
        <v>123</v>
      </c>
      <c r="DK13" s="86" t="s">
        <v>33</v>
      </c>
      <c r="DL13" s="87">
        <v>13</v>
      </c>
      <c r="DM13" s="87">
        <v>101359</v>
      </c>
      <c r="DN13" s="88">
        <v>41.956200699999997</v>
      </c>
      <c r="DO13" s="88">
        <v>216.33057675000001</v>
      </c>
      <c r="DP13" s="88">
        <v>-174.37437605</v>
      </c>
      <c r="DQ13" s="111">
        <v>11512.90157486</v>
      </c>
      <c r="DR13" s="88">
        <v>11555.98996275</v>
      </c>
      <c r="DS13" s="87">
        <v>0</v>
      </c>
      <c r="DT13" s="88">
        <v>0</v>
      </c>
      <c r="DU13" s="2" t="s">
        <v>52</v>
      </c>
      <c r="DV13" s="136"/>
      <c r="DW13" s="137"/>
      <c r="DX13" s="2" t="s">
        <v>52</v>
      </c>
      <c r="DY13" s="136">
        <f t="shared" si="0"/>
        <v>-0.31330183594509514</v>
      </c>
      <c r="DZ13" s="137">
        <f t="shared" si="1"/>
        <v>-7.2272931800585707E-2</v>
      </c>
      <c r="EA13" s="138">
        <f t="shared" si="2"/>
        <v>-1.8273484469628985E-2</v>
      </c>
    </row>
    <row r="14" spans="1:131" x14ac:dyDescent="0.5">
      <c r="A14" s="17" t="s">
        <v>122</v>
      </c>
      <c r="B14" s="16" t="s">
        <v>30</v>
      </c>
      <c r="C14" s="21">
        <v>20344.319956449999</v>
      </c>
      <c r="D14" s="21">
        <v>20342.764397359999</v>
      </c>
      <c r="E14" s="49" t="s">
        <v>52</v>
      </c>
      <c r="F14" s="17" t="s">
        <v>122</v>
      </c>
      <c r="G14" s="16" t="s">
        <v>30</v>
      </c>
      <c r="H14" s="15">
        <v>11</v>
      </c>
      <c r="I14" s="15">
        <v>94353</v>
      </c>
      <c r="J14" s="14">
        <v>874.43264870999997</v>
      </c>
      <c r="K14" s="14">
        <v>792.44603733999998</v>
      </c>
      <c r="L14" s="14">
        <v>81.986611370000006</v>
      </c>
      <c r="M14" s="14">
        <v>20873.892124860002</v>
      </c>
      <c r="N14" s="14">
        <v>20835.25174</v>
      </c>
      <c r="O14" s="15">
        <v>0</v>
      </c>
      <c r="P14" s="14">
        <v>0</v>
      </c>
      <c r="Q14" s="49" t="s">
        <v>52</v>
      </c>
      <c r="R14" s="17" t="s">
        <v>122</v>
      </c>
      <c r="S14" s="16" t="s">
        <v>30</v>
      </c>
      <c r="T14" s="15">
        <v>11</v>
      </c>
      <c r="U14" s="15">
        <v>97786</v>
      </c>
      <c r="V14" s="14">
        <v>875.20306722999999</v>
      </c>
      <c r="W14" s="14">
        <v>409.06860669999998</v>
      </c>
      <c r="X14" s="14">
        <v>466.13446053000001</v>
      </c>
      <c r="Y14" s="14">
        <v>21415.249448769999</v>
      </c>
      <c r="Z14" s="14">
        <v>21119.185204379999</v>
      </c>
      <c r="AA14" s="15">
        <v>0</v>
      </c>
      <c r="AB14" s="14">
        <v>0</v>
      </c>
      <c r="AC14" s="49" t="s">
        <v>52</v>
      </c>
      <c r="AD14" s="17" t="s">
        <v>122</v>
      </c>
      <c r="AE14" s="16" t="s">
        <v>30</v>
      </c>
      <c r="AF14" s="15">
        <v>11</v>
      </c>
      <c r="AG14" s="15">
        <v>96767</v>
      </c>
      <c r="AH14" s="14">
        <v>594.44027104999998</v>
      </c>
      <c r="AI14" s="14">
        <v>1040.3226785700001</v>
      </c>
      <c r="AJ14" s="14">
        <v>-445.88240752000002</v>
      </c>
      <c r="AK14" s="14">
        <v>20538.597821300002</v>
      </c>
      <c r="AL14" s="14">
        <v>20907.170715529999</v>
      </c>
      <c r="AM14" s="15">
        <v>0</v>
      </c>
      <c r="AN14" s="14">
        <v>0</v>
      </c>
      <c r="AO14" s="49" t="s">
        <v>52</v>
      </c>
      <c r="AP14" s="17" t="s">
        <v>122</v>
      </c>
      <c r="AQ14" s="16" t="s">
        <v>30</v>
      </c>
      <c r="AR14" s="15">
        <v>11</v>
      </c>
      <c r="AS14" s="15">
        <v>96032</v>
      </c>
      <c r="AT14" s="14">
        <v>291.87644555000003</v>
      </c>
      <c r="AU14" s="14">
        <v>708.35910208999996</v>
      </c>
      <c r="AV14" s="14">
        <v>-416.48265653999999</v>
      </c>
      <c r="AW14" s="14">
        <v>20260.14815533</v>
      </c>
      <c r="AX14" s="14">
        <v>20350.741851819999</v>
      </c>
      <c r="AY14" s="15">
        <v>0</v>
      </c>
      <c r="AZ14" s="14">
        <v>0</v>
      </c>
      <c r="BA14" s="49" t="s">
        <v>52</v>
      </c>
      <c r="BB14" s="17" t="s">
        <v>122</v>
      </c>
      <c r="BC14" s="16" t="s">
        <v>30</v>
      </c>
      <c r="BD14" s="15">
        <v>11</v>
      </c>
      <c r="BE14" s="15">
        <v>94316</v>
      </c>
      <c r="BF14" s="14">
        <v>697.8757114</v>
      </c>
      <c r="BG14" s="14">
        <v>760.06026197999995</v>
      </c>
      <c r="BH14" s="14">
        <v>-62.184550579999701</v>
      </c>
      <c r="BI14" s="14">
        <v>19719.61377788</v>
      </c>
      <c r="BJ14" s="14">
        <v>19860.45007966</v>
      </c>
      <c r="BK14" s="15">
        <v>0</v>
      </c>
      <c r="BL14" s="14">
        <v>0</v>
      </c>
      <c r="BM14" s="49" t="s">
        <v>52</v>
      </c>
      <c r="BN14" s="20" t="s">
        <v>122</v>
      </c>
      <c r="BO14" s="16" t="s">
        <v>30</v>
      </c>
      <c r="BP14" s="15">
        <v>11</v>
      </c>
      <c r="BQ14" s="15">
        <v>91968</v>
      </c>
      <c r="BR14" s="14">
        <v>767.11969050000096</v>
      </c>
      <c r="BS14" s="14">
        <v>705.82627878999995</v>
      </c>
      <c r="BT14" s="14">
        <v>61.293411710000299</v>
      </c>
      <c r="BU14" s="14">
        <v>20069.370361969999</v>
      </c>
      <c r="BV14" s="14">
        <v>20076.980186370001</v>
      </c>
      <c r="BW14" s="18">
        <v>0</v>
      </c>
      <c r="BX14" s="19">
        <v>0</v>
      </c>
      <c r="BY14" s="49" t="s">
        <v>52</v>
      </c>
      <c r="BZ14" s="20" t="s">
        <v>122</v>
      </c>
      <c r="CA14" s="16" t="s">
        <v>30</v>
      </c>
      <c r="CB14" s="15">
        <v>11</v>
      </c>
      <c r="CC14" s="15">
        <v>89830</v>
      </c>
      <c r="CD14" s="14">
        <v>99.845843269999904</v>
      </c>
      <c r="CE14" s="14">
        <v>1042.55717648</v>
      </c>
      <c r="CF14" s="14">
        <v>-942.71133321000002</v>
      </c>
      <c r="CG14" s="14">
        <v>19194.202982430001</v>
      </c>
      <c r="CH14" s="14">
        <v>19723.738814460001</v>
      </c>
      <c r="CI14" s="18">
        <v>0</v>
      </c>
      <c r="CJ14" s="19">
        <v>0</v>
      </c>
      <c r="CK14" s="49" t="s">
        <v>52</v>
      </c>
      <c r="CL14" s="17" t="s">
        <v>122</v>
      </c>
      <c r="CM14" s="16" t="s">
        <v>30</v>
      </c>
      <c r="CN14" s="15">
        <v>11</v>
      </c>
      <c r="CO14" s="15">
        <v>87932</v>
      </c>
      <c r="CP14" s="14">
        <v>232.059315609999</v>
      </c>
      <c r="CQ14" s="14">
        <v>598.50694573999999</v>
      </c>
      <c r="CR14" s="14">
        <v>-366.44763013000102</v>
      </c>
      <c r="CS14" s="14">
        <v>18856.545262520001</v>
      </c>
      <c r="CT14" s="14">
        <v>19028.931284300001</v>
      </c>
      <c r="CU14" s="18">
        <v>0</v>
      </c>
      <c r="CV14" s="14">
        <v>0</v>
      </c>
      <c r="CW14" s="49" t="s">
        <v>52</v>
      </c>
      <c r="CX14" s="17" t="s">
        <v>122</v>
      </c>
      <c r="CY14" s="16" t="s">
        <v>30</v>
      </c>
      <c r="CZ14" s="15">
        <v>11</v>
      </c>
      <c r="DA14" s="15">
        <v>85438</v>
      </c>
      <c r="DB14" s="14">
        <v>70.762279180000405</v>
      </c>
      <c r="DC14" s="14">
        <v>1373.92930424</v>
      </c>
      <c r="DD14" s="14">
        <v>-1303.16702506</v>
      </c>
      <c r="DE14" s="112">
        <v>17608.27058688</v>
      </c>
      <c r="DF14" s="14">
        <v>17965.209763909999</v>
      </c>
      <c r="DG14" s="15">
        <v>0</v>
      </c>
      <c r="DH14" s="14">
        <v>0</v>
      </c>
      <c r="DI14" s="2" t="s">
        <v>52</v>
      </c>
      <c r="DJ14" s="85" t="s">
        <v>122</v>
      </c>
      <c r="DK14" s="86" t="s">
        <v>30</v>
      </c>
      <c r="DL14" s="87">
        <v>11</v>
      </c>
      <c r="DM14" s="87">
        <v>82999</v>
      </c>
      <c r="DN14" s="88">
        <v>28.911015130000099</v>
      </c>
      <c r="DO14" s="88">
        <v>1365.2405120000001</v>
      </c>
      <c r="DP14" s="88">
        <v>-1336.32949687</v>
      </c>
      <c r="DQ14" s="111">
        <v>16221.17152598</v>
      </c>
      <c r="DR14" s="88">
        <v>16754.337467910002</v>
      </c>
      <c r="DS14" s="87">
        <v>0</v>
      </c>
      <c r="DT14" s="88">
        <v>0</v>
      </c>
      <c r="DU14" s="2" t="s">
        <v>52</v>
      </c>
      <c r="DV14" s="136"/>
      <c r="DW14" s="137"/>
      <c r="DX14" s="2" t="s">
        <v>52</v>
      </c>
      <c r="DY14" s="136">
        <f t="shared" si="0"/>
        <v>-0.5914346532499587</v>
      </c>
      <c r="DZ14" s="137">
        <f t="shared" si="1"/>
        <v>2.5447598943407188E-2</v>
      </c>
      <c r="EA14" s="138">
        <f t="shared" si="2"/>
        <v>-6.7400955063296741E-2</v>
      </c>
    </row>
    <row r="15" spans="1:131" x14ac:dyDescent="0.5">
      <c r="A15" s="17" t="s">
        <v>121</v>
      </c>
      <c r="B15" s="16" t="s">
        <v>14</v>
      </c>
      <c r="C15" s="21">
        <v>35591.65309906</v>
      </c>
      <c r="D15" s="21">
        <v>35527.224454169998</v>
      </c>
      <c r="E15" s="49" t="s">
        <v>52</v>
      </c>
      <c r="F15" s="17" t="s">
        <v>121</v>
      </c>
      <c r="G15" s="16" t="s">
        <v>14</v>
      </c>
      <c r="H15" s="15">
        <v>22</v>
      </c>
      <c r="I15" s="15">
        <v>230028</v>
      </c>
      <c r="J15" s="14">
        <v>943.76910243999998</v>
      </c>
      <c r="K15" s="14">
        <v>953.99735949000001</v>
      </c>
      <c r="L15" s="14">
        <v>-10.22825705</v>
      </c>
      <c r="M15" s="14">
        <v>36231.28848032</v>
      </c>
      <c r="N15" s="14">
        <v>35961.974481860001</v>
      </c>
      <c r="O15" s="15">
        <v>0</v>
      </c>
      <c r="P15" s="14">
        <v>0</v>
      </c>
      <c r="Q15" s="49" t="s">
        <v>52</v>
      </c>
      <c r="R15" s="17" t="s">
        <v>121</v>
      </c>
      <c r="S15" s="16" t="s">
        <v>14</v>
      </c>
      <c r="T15" s="15">
        <v>22</v>
      </c>
      <c r="U15" s="15">
        <v>234872</v>
      </c>
      <c r="V15" s="14">
        <v>1256.2398078599999</v>
      </c>
      <c r="W15" s="14">
        <v>689.50469668000005</v>
      </c>
      <c r="X15" s="14">
        <v>566.73511117999999</v>
      </c>
      <c r="Y15" s="14">
        <v>37087.945981509998</v>
      </c>
      <c r="Z15" s="14">
        <v>36676.610972019997</v>
      </c>
      <c r="AA15" s="15">
        <v>0</v>
      </c>
      <c r="AB15" s="14">
        <v>0</v>
      </c>
      <c r="AC15" s="49" t="s">
        <v>52</v>
      </c>
      <c r="AD15" s="17" t="s">
        <v>121</v>
      </c>
      <c r="AE15" s="16" t="s">
        <v>14</v>
      </c>
      <c r="AF15" s="15">
        <v>22</v>
      </c>
      <c r="AG15" s="15">
        <v>236833</v>
      </c>
      <c r="AH15" s="14">
        <v>741.05260604</v>
      </c>
      <c r="AI15" s="14">
        <v>697.02166412999998</v>
      </c>
      <c r="AJ15" s="14">
        <v>44.030941909999697</v>
      </c>
      <c r="AK15" s="14">
        <v>36912.296308700003</v>
      </c>
      <c r="AL15" s="14">
        <v>37020.314279869999</v>
      </c>
      <c r="AM15" s="15">
        <v>0</v>
      </c>
      <c r="AN15" s="14">
        <v>0</v>
      </c>
      <c r="AO15" s="49" t="s">
        <v>52</v>
      </c>
      <c r="AP15" s="17" t="s">
        <v>121</v>
      </c>
      <c r="AQ15" s="16" t="s">
        <v>14</v>
      </c>
      <c r="AR15" s="15">
        <v>22</v>
      </c>
      <c r="AS15" s="15">
        <v>239570</v>
      </c>
      <c r="AT15" s="14">
        <v>729.20336167000005</v>
      </c>
      <c r="AU15" s="14">
        <v>666.65727140000001</v>
      </c>
      <c r="AV15" s="14">
        <v>62.546090270000199</v>
      </c>
      <c r="AW15" s="14">
        <v>37174.041194739999</v>
      </c>
      <c r="AX15" s="14">
        <v>37095.502510389997</v>
      </c>
      <c r="AY15" s="15">
        <v>0</v>
      </c>
      <c r="AZ15" s="14">
        <v>0</v>
      </c>
      <c r="BA15" s="49" t="s">
        <v>52</v>
      </c>
      <c r="BB15" s="17" t="s">
        <v>121</v>
      </c>
      <c r="BC15" s="16" t="s">
        <v>14</v>
      </c>
      <c r="BD15" s="15">
        <v>22</v>
      </c>
      <c r="BE15" s="15">
        <v>240006</v>
      </c>
      <c r="BF15" s="14">
        <v>547.09510410999997</v>
      </c>
      <c r="BG15" s="14">
        <v>941.75012217000005</v>
      </c>
      <c r="BH15" s="14">
        <v>-394.65501805999997</v>
      </c>
      <c r="BI15" s="14">
        <v>36424.155000059996</v>
      </c>
      <c r="BJ15" s="14">
        <v>36872.25271226</v>
      </c>
      <c r="BK15" s="15">
        <v>0</v>
      </c>
      <c r="BL15" s="14">
        <v>0</v>
      </c>
      <c r="BM15" s="49" t="s">
        <v>52</v>
      </c>
      <c r="BN15" s="20" t="s">
        <v>121</v>
      </c>
      <c r="BO15" s="16" t="s">
        <v>14</v>
      </c>
      <c r="BP15" s="15">
        <v>22</v>
      </c>
      <c r="BQ15" s="15">
        <v>239543</v>
      </c>
      <c r="BR15" s="14">
        <v>1364.2719078600001</v>
      </c>
      <c r="BS15" s="14">
        <v>844.85944598000003</v>
      </c>
      <c r="BT15" s="14">
        <v>519.41246188000002</v>
      </c>
      <c r="BU15" s="14">
        <v>37322.667333669997</v>
      </c>
      <c r="BV15" s="14">
        <v>36649.087259100001</v>
      </c>
      <c r="BW15" s="18">
        <v>0</v>
      </c>
      <c r="BX15" s="19">
        <v>0</v>
      </c>
      <c r="BY15" s="49" t="s">
        <v>52</v>
      </c>
      <c r="BZ15" s="20" t="s">
        <v>121</v>
      </c>
      <c r="CA15" s="16" t="s">
        <v>14</v>
      </c>
      <c r="CB15" s="15">
        <v>22</v>
      </c>
      <c r="CC15" s="15">
        <v>237849</v>
      </c>
      <c r="CD15" s="14">
        <v>686.53433994</v>
      </c>
      <c r="CE15" s="14">
        <v>919.22148076999997</v>
      </c>
      <c r="CF15" s="14">
        <v>-232.68714083</v>
      </c>
      <c r="CG15" s="14">
        <v>37333.95936108</v>
      </c>
      <c r="CH15" s="14">
        <v>37527.746410100001</v>
      </c>
      <c r="CI15" s="18">
        <v>0</v>
      </c>
      <c r="CJ15" s="19">
        <v>0</v>
      </c>
      <c r="CK15" s="49" t="s">
        <v>52</v>
      </c>
      <c r="CL15" s="17" t="s">
        <v>121</v>
      </c>
      <c r="CM15" s="16" t="s">
        <v>14</v>
      </c>
      <c r="CN15" s="15">
        <v>22</v>
      </c>
      <c r="CO15" s="15">
        <v>235965</v>
      </c>
      <c r="CP15" s="14">
        <v>328.9269678</v>
      </c>
      <c r="CQ15" s="14">
        <v>935.48769575999995</v>
      </c>
      <c r="CR15" s="14">
        <v>-606.56072796000001</v>
      </c>
      <c r="CS15" s="14">
        <v>36857.416313239999</v>
      </c>
      <c r="CT15" s="14">
        <v>37067.959356159998</v>
      </c>
      <c r="CU15" s="18">
        <v>0</v>
      </c>
      <c r="CV15" s="14">
        <v>0</v>
      </c>
      <c r="CW15" s="49" t="s">
        <v>52</v>
      </c>
      <c r="CX15" s="17" t="s">
        <v>121</v>
      </c>
      <c r="CY15" s="16" t="s">
        <v>14</v>
      </c>
      <c r="CZ15" s="15">
        <v>22</v>
      </c>
      <c r="DA15" s="15">
        <v>232827</v>
      </c>
      <c r="DB15" s="14">
        <v>440.37437005999999</v>
      </c>
      <c r="DC15" s="14">
        <v>1283.4508716600001</v>
      </c>
      <c r="DD15" s="14">
        <v>-843.07650160000003</v>
      </c>
      <c r="DE15" s="112">
        <v>36108.335263840003</v>
      </c>
      <c r="DF15" s="14">
        <v>36540.311869270001</v>
      </c>
      <c r="DG15" s="15">
        <v>0</v>
      </c>
      <c r="DH15" s="14">
        <v>0</v>
      </c>
      <c r="DI15" s="2" t="s">
        <v>52</v>
      </c>
      <c r="DJ15" s="85" t="s">
        <v>121</v>
      </c>
      <c r="DK15" s="86" t="s">
        <v>14</v>
      </c>
      <c r="DL15" s="87">
        <v>22</v>
      </c>
      <c r="DM15" s="87">
        <v>229369</v>
      </c>
      <c r="DN15" s="88">
        <v>202.80745060999999</v>
      </c>
      <c r="DO15" s="88">
        <v>1637.7607483899999</v>
      </c>
      <c r="DP15" s="88">
        <v>-1434.95329778</v>
      </c>
      <c r="DQ15" s="111">
        <v>34718.25826871</v>
      </c>
      <c r="DR15" s="88">
        <v>35462.873954299997</v>
      </c>
      <c r="DS15" s="87">
        <v>0</v>
      </c>
      <c r="DT15" s="88">
        <v>0</v>
      </c>
      <c r="DU15" s="2" t="s">
        <v>52</v>
      </c>
      <c r="DV15" s="136"/>
      <c r="DW15" s="137"/>
      <c r="DX15" s="2" t="s">
        <v>52</v>
      </c>
      <c r="DY15" s="136">
        <f t="shared" si="0"/>
        <v>-0.5394658172718636</v>
      </c>
      <c r="DZ15" s="137">
        <f t="shared" si="1"/>
        <v>0.70204399607476842</v>
      </c>
      <c r="EA15" s="138">
        <f t="shared" si="2"/>
        <v>-2.9486281311028352E-2</v>
      </c>
    </row>
    <row r="16" spans="1:131" x14ac:dyDescent="0.5">
      <c r="A16" s="17" t="s">
        <v>120</v>
      </c>
      <c r="B16" s="16" t="s">
        <v>11</v>
      </c>
      <c r="C16" s="21">
        <v>175800.18152362999</v>
      </c>
      <c r="D16" s="21">
        <v>172372.73506713001</v>
      </c>
      <c r="E16" s="49" t="s">
        <v>52</v>
      </c>
      <c r="F16" s="17" t="s">
        <v>120</v>
      </c>
      <c r="G16" s="16" t="s">
        <v>11</v>
      </c>
      <c r="H16" s="15">
        <v>21</v>
      </c>
      <c r="I16" s="15">
        <v>534052</v>
      </c>
      <c r="J16" s="14">
        <v>12529.9635385</v>
      </c>
      <c r="K16" s="14">
        <v>9071.5467191900007</v>
      </c>
      <c r="L16" s="14">
        <v>3458.4168193099999</v>
      </c>
      <c r="M16" s="14">
        <v>181953.76370176999</v>
      </c>
      <c r="N16" s="14">
        <v>181608.56058096999</v>
      </c>
      <c r="O16" s="15">
        <v>0</v>
      </c>
      <c r="P16" s="14">
        <v>0</v>
      </c>
      <c r="Q16" s="49" t="s">
        <v>52</v>
      </c>
      <c r="R16" s="17" t="s">
        <v>120</v>
      </c>
      <c r="S16" s="16" t="s">
        <v>11</v>
      </c>
      <c r="T16" s="15">
        <v>21</v>
      </c>
      <c r="U16" s="15">
        <v>541227</v>
      </c>
      <c r="V16" s="14">
        <v>15313.76702472</v>
      </c>
      <c r="W16" s="14">
        <v>3330.4126045799999</v>
      </c>
      <c r="X16" s="14">
        <v>11983.35442014</v>
      </c>
      <c r="Y16" s="14">
        <v>195987.38581591001</v>
      </c>
      <c r="Z16" s="14">
        <v>188971.46605394999</v>
      </c>
      <c r="AA16" s="15">
        <v>0</v>
      </c>
      <c r="AB16" s="14">
        <v>0</v>
      </c>
      <c r="AC16" s="49" t="s">
        <v>52</v>
      </c>
      <c r="AD16" s="17" t="s">
        <v>120</v>
      </c>
      <c r="AE16" s="16" t="s">
        <v>11</v>
      </c>
      <c r="AF16" s="15">
        <v>21</v>
      </c>
      <c r="AG16" s="15">
        <v>546232</v>
      </c>
      <c r="AH16" s="14">
        <v>13196.208925159999</v>
      </c>
      <c r="AI16" s="14">
        <v>6071.7272870699999</v>
      </c>
      <c r="AJ16" s="14">
        <v>7124.4816380900002</v>
      </c>
      <c r="AK16" s="14">
        <v>203199.04055810999</v>
      </c>
      <c r="AL16" s="14">
        <v>201197.78849591</v>
      </c>
      <c r="AM16" s="15">
        <v>0</v>
      </c>
      <c r="AN16" s="14">
        <v>0</v>
      </c>
      <c r="AO16" s="49" t="s">
        <v>52</v>
      </c>
      <c r="AP16" s="17" t="s">
        <v>120</v>
      </c>
      <c r="AQ16" s="16" t="s">
        <v>11</v>
      </c>
      <c r="AR16" s="15">
        <v>21</v>
      </c>
      <c r="AS16" s="15">
        <v>560211</v>
      </c>
      <c r="AT16" s="14">
        <v>8478.3696819899997</v>
      </c>
      <c r="AU16" s="14">
        <v>7056.8026877900002</v>
      </c>
      <c r="AV16" s="14">
        <v>1421.5669942</v>
      </c>
      <c r="AW16" s="14">
        <v>205891.35673838999</v>
      </c>
      <c r="AX16" s="14">
        <v>205113.73942273</v>
      </c>
      <c r="AY16" s="15">
        <v>0</v>
      </c>
      <c r="AZ16" s="14">
        <v>0</v>
      </c>
      <c r="BA16" s="49" t="s">
        <v>52</v>
      </c>
      <c r="BB16" s="17" t="s">
        <v>120</v>
      </c>
      <c r="BC16" s="16" t="s">
        <v>11</v>
      </c>
      <c r="BD16" s="15">
        <v>21</v>
      </c>
      <c r="BE16" s="15">
        <v>565827</v>
      </c>
      <c r="BF16" s="14">
        <v>4102.5744514999997</v>
      </c>
      <c r="BG16" s="14">
        <v>4927.5728550599997</v>
      </c>
      <c r="BH16" s="14">
        <v>-824.99840355999595</v>
      </c>
      <c r="BI16" s="14">
        <v>204712.23180295</v>
      </c>
      <c r="BJ16" s="14">
        <v>205196.62008399999</v>
      </c>
      <c r="BK16" s="15">
        <v>0</v>
      </c>
      <c r="BL16" s="14">
        <v>0</v>
      </c>
      <c r="BM16" s="49" t="s">
        <v>52</v>
      </c>
      <c r="BN16" s="20" t="s">
        <v>120</v>
      </c>
      <c r="BO16" s="16" t="s">
        <v>11</v>
      </c>
      <c r="BP16" s="15">
        <v>21</v>
      </c>
      <c r="BQ16" s="15">
        <v>567992</v>
      </c>
      <c r="BR16" s="14">
        <v>5884.5804170299998</v>
      </c>
      <c r="BS16" s="14">
        <v>7328.1879842799999</v>
      </c>
      <c r="BT16" s="14">
        <v>-1443.6075672500001</v>
      </c>
      <c r="BU16" s="14">
        <v>204656.55086479001</v>
      </c>
      <c r="BV16" s="14">
        <v>204969.01838108001</v>
      </c>
      <c r="BW16" s="18">
        <v>0</v>
      </c>
      <c r="BX16" s="19">
        <v>0</v>
      </c>
      <c r="BY16" s="49" t="s">
        <v>52</v>
      </c>
      <c r="BZ16" s="20" t="s">
        <v>120</v>
      </c>
      <c r="CA16" s="16" t="s">
        <v>11</v>
      </c>
      <c r="CB16" s="15">
        <v>21</v>
      </c>
      <c r="CC16" s="15">
        <v>573717</v>
      </c>
      <c r="CD16" s="14">
        <v>9118.1465731200005</v>
      </c>
      <c r="CE16" s="14">
        <v>3996.2351528999998</v>
      </c>
      <c r="CF16" s="14">
        <v>5121.9114202199999</v>
      </c>
      <c r="CG16" s="14">
        <v>211442.32500573999</v>
      </c>
      <c r="CH16" s="14">
        <v>208944.82320764</v>
      </c>
      <c r="CI16" s="18">
        <v>0</v>
      </c>
      <c r="CJ16" s="19">
        <v>0</v>
      </c>
      <c r="CK16" s="49" t="s">
        <v>52</v>
      </c>
      <c r="CL16" s="17" t="s">
        <v>120</v>
      </c>
      <c r="CM16" s="16" t="s">
        <v>11</v>
      </c>
      <c r="CN16" s="15">
        <v>21</v>
      </c>
      <c r="CO16" s="15">
        <v>579465</v>
      </c>
      <c r="CP16" s="14">
        <v>4128.7231194100004</v>
      </c>
      <c r="CQ16" s="14">
        <v>2603.5813222300098</v>
      </c>
      <c r="CR16" s="14">
        <v>1525.1417971799999</v>
      </c>
      <c r="CS16" s="14">
        <v>214156.40079623999</v>
      </c>
      <c r="CT16" s="14">
        <v>212838.71248725001</v>
      </c>
      <c r="CU16" s="18">
        <v>0</v>
      </c>
      <c r="CV16" s="14">
        <v>0</v>
      </c>
      <c r="CW16" s="49" t="s">
        <v>52</v>
      </c>
      <c r="CX16" s="17" t="s">
        <v>120</v>
      </c>
      <c r="CY16" s="16" t="s">
        <v>11</v>
      </c>
      <c r="CZ16" s="15">
        <v>21</v>
      </c>
      <c r="DA16" s="15">
        <v>580979</v>
      </c>
      <c r="DB16" s="14">
        <v>3723.5861167200101</v>
      </c>
      <c r="DC16" s="14">
        <v>11143.09127583</v>
      </c>
      <c r="DD16" s="14">
        <v>-7419.50515910999</v>
      </c>
      <c r="DE16" s="14">
        <v>207005.94555655</v>
      </c>
      <c r="DF16" s="14">
        <v>209245.39989184</v>
      </c>
      <c r="DG16" s="15">
        <v>0</v>
      </c>
      <c r="DH16" s="14">
        <v>0</v>
      </c>
      <c r="DI16" s="2" t="s">
        <v>52</v>
      </c>
      <c r="DJ16" s="85" t="s">
        <v>120</v>
      </c>
      <c r="DK16" s="86" t="s">
        <v>11</v>
      </c>
      <c r="DL16" s="87">
        <v>21</v>
      </c>
      <c r="DM16" s="87">
        <v>577039</v>
      </c>
      <c r="DN16" s="88">
        <v>1626.5983518799901</v>
      </c>
      <c r="DO16" s="88">
        <v>13099.389996559999</v>
      </c>
      <c r="DP16" s="88">
        <v>-11472.791644680001</v>
      </c>
      <c r="DQ16" s="88">
        <v>195400.06888728001</v>
      </c>
      <c r="DR16" s="88">
        <v>201314.95437845</v>
      </c>
      <c r="DS16" s="87">
        <v>0</v>
      </c>
      <c r="DT16" s="88">
        <v>0</v>
      </c>
      <c r="DU16" s="2" t="s">
        <v>52</v>
      </c>
      <c r="DV16" s="136"/>
      <c r="DW16" s="137"/>
      <c r="DX16" s="2" t="s">
        <v>52</v>
      </c>
      <c r="DY16" s="136">
        <f t="shared" si="0"/>
        <v>-0.56316349323140946</v>
      </c>
      <c r="DZ16" s="137">
        <f t="shared" si="1"/>
        <v>0.5463014579339176</v>
      </c>
      <c r="EA16" s="138">
        <f t="shared" si="2"/>
        <v>-3.7900214377421401E-2</v>
      </c>
    </row>
    <row r="17" spans="1:131" x14ac:dyDescent="0.5">
      <c r="A17" s="17" t="s">
        <v>130</v>
      </c>
      <c r="B17" s="16" t="s">
        <v>12</v>
      </c>
      <c r="C17" s="21">
        <v>20462.727084450002</v>
      </c>
      <c r="D17" s="21">
        <v>20507.46970306</v>
      </c>
      <c r="E17" s="49" t="s">
        <v>52</v>
      </c>
      <c r="F17" s="17" t="s">
        <v>130</v>
      </c>
      <c r="G17" s="16" t="s">
        <v>12</v>
      </c>
      <c r="H17" s="15">
        <v>14</v>
      </c>
      <c r="I17" s="15">
        <v>181652</v>
      </c>
      <c r="J17" s="14">
        <v>71.228380610000002</v>
      </c>
      <c r="K17" s="14">
        <v>372.91809212999999</v>
      </c>
      <c r="L17" s="14">
        <v>-301.68971152</v>
      </c>
      <c r="M17" s="14">
        <v>20485.355010380001</v>
      </c>
      <c r="N17" s="14">
        <v>20475.683910259999</v>
      </c>
      <c r="O17" s="15">
        <v>4</v>
      </c>
      <c r="P17" s="14">
        <v>0</v>
      </c>
      <c r="Q17" s="49" t="s">
        <v>52</v>
      </c>
      <c r="R17" s="17" t="s">
        <v>130</v>
      </c>
      <c r="S17" s="16" t="s">
        <v>12</v>
      </c>
      <c r="T17" s="15">
        <v>14</v>
      </c>
      <c r="U17" s="15">
        <v>182494</v>
      </c>
      <c r="V17" s="14">
        <v>59.35996394</v>
      </c>
      <c r="W17" s="14">
        <v>307.29461652999998</v>
      </c>
      <c r="X17" s="14">
        <v>-247.93465259000001</v>
      </c>
      <c r="Y17" s="14">
        <v>20437.00065867</v>
      </c>
      <c r="Z17" s="14">
        <v>20457.26921808</v>
      </c>
      <c r="AA17" s="15">
        <v>4</v>
      </c>
      <c r="AB17" s="14">
        <v>0</v>
      </c>
      <c r="AC17" s="49" t="s">
        <v>52</v>
      </c>
      <c r="AD17" s="17" t="s">
        <v>130</v>
      </c>
      <c r="AE17" s="16" t="s">
        <v>12</v>
      </c>
      <c r="AF17" s="15">
        <v>14</v>
      </c>
      <c r="AG17" s="15">
        <v>183524</v>
      </c>
      <c r="AH17" s="14">
        <v>103.10758285</v>
      </c>
      <c r="AI17" s="14">
        <v>271.28980701</v>
      </c>
      <c r="AJ17" s="14">
        <v>-168.18222416</v>
      </c>
      <c r="AK17" s="14">
        <v>20349.889533609999</v>
      </c>
      <c r="AL17" s="14">
        <v>20396.085659389999</v>
      </c>
      <c r="AM17" s="15">
        <v>4</v>
      </c>
      <c r="AN17" s="14">
        <v>0</v>
      </c>
      <c r="AO17" s="49" t="s">
        <v>52</v>
      </c>
      <c r="AP17" s="17" t="s">
        <v>130</v>
      </c>
      <c r="AQ17" s="16" t="s">
        <v>12</v>
      </c>
      <c r="AR17" s="15">
        <v>14</v>
      </c>
      <c r="AS17" s="15">
        <v>185095</v>
      </c>
      <c r="AT17" s="14">
        <v>81.487468280000002</v>
      </c>
      <c r="AU17" s="14">
        <v>353.00244541000001</v>
      </c>
      <c r="AV17" s="14">
        <v>-271.51497712999998</v>
      </c>
      <c r="AW17" s="14">
        <v>20229.413424539998</v>
      </c>
      <c r="AX17" s="14">
        <v>20304.908265990001</v>
      </c>
      <c r="AY17" s="15">
        <v>4</v>
      </c>
      <c r="AZ17" s="14">
        <v>0</v>
      </c>
      <c r="BA17" s="49" t="s">
        <v>52</v>
      </c>
      <c r="BB17" s="17" t="s">
        <v>16</v>
      </c>
      <c r="BC17" s="16" t="s">
        <v>12</v>
      </c>
      <c r="BD17" s="15">
        <v>14</v>
      </c>
      <c r="BE17" s="15">
        <v>186961</v>
      </c>
      <c r="BF17" s="14">
        <v>86.343821059999996</v>
      </c>
      <c r="BG17" s="14">
        <v>329.91117424999999</v>
      </c>
      <c r="BH17" s="14">
        <v>-243.56735319000001</v>
      </c>
      <c r="BI17" s="14">
        <v>20028.426421280001</v>
      </c>
      <c r="BJ17" s="14">
        <v>20110.692191490001</v>
      </c>
      <c r="BK17" s="15">
        <v>4</v>
      </c>
      <c r="BL17" s="14">
        <v>0</v>
      </c>
      <c r="BM17" s="49" t="s">
        <v>52</v>
      </c>
      <c r="BN17" s="20" t="s">
        <v>130</v>
      </c>
      <c r="BO17" s="16" t="s">
        <v>12</v>
      </c>
      <c r="BP17" s="15">
        <v>14</v>
      </c>
      <c r="BQ17" s="15">
        <v>188983</v>
      </c>
      <c r="BR17" s="14">
        <v>95.337440529999995</v>
      </c>
      <c r="BS17" s="14">
        <v>350.9937802</v>
      </c>
      <c r="BT17" s="14">
        <v>-255.65633966999999</v>
      </c>
      <c r="BU17" s="14">
        <v>19949.78024023</v>
      </c>
      <c r="BV17" s="14">
        <v>20018.726999250001</v>
      </c>
      <c r="BW17" s="18">
        <v>4</v>
      </c>
      <c r="BX17" s="19">
        <v>0</v>
      </c>
      <c r="BY17" s="49" t="s">
        <v>52</v>
      </c>
      <c r="BZ17" s="20" t="s">
        <v>130</v>
      </c>
      <c r="CA17" s="16" t="s">
        <v>12</v>
      </c>
      <c r="CB17" s="15">
        <v>14</v>
      </c>
      <c r="CC17" s="15">
        <v>191121</v>
      </c>
      <c r="CD17" s="14">
        <v>254.11933128999999</v>
      </c>
      <c r="CE17" s="14">
        <v>337.90036294999999</v>
      </c>
      <c r="CF17" s="14">
        <v>-83.781031659999897</v>
      </c>
      <c r="CG17" s="14">
        <v>20018.427105179999</v>
      </c>
      <c r="CH17" s="14">
        <v>20050.959038289999</v>
      </c>
      <c r="CI17" s="18">
        <v>4</v>
      </c>
      <c r="CJ17" s="19">
        <v>0</v>
      </c>
      <c r="CK17" s="49" t="s">
        <v>52</v>
      </c>
      <c r="CL17" s="17" t="s">
        <v>130</v>
      </c>
      <c r="CM17" s="16" t="s">
        <v>12</v>
      </c>
      <c r="CN17" s="15">
        <v>14</v>
      </c>
      <c r="CO17" s="15">
        <v>193115</v>
      </c>
      <c r="CP17" s="14">
        <v>118.46635634</v>
      </c>
      <c r="CQ17" s="14">
        <v>236.33669674999999</v>
      </c>
      <c r="CR17" s="14">
        <v>-117.87034041</v>
      </c>
      <c r="CS17" s="14">
        <v>20028.148745409999</v>
      </c>
      <c r="CT17" s="14">
        <v>20016.61488678</v>
      </c>
      <c r="CU17" s="18">
        <v>4</v>
      </c>
      <c r="CV17" s="14">
        <v>0</v>
      </c>
      <c r="CW17" s="49" t="s">
        <v>52</v>
      </c>
      <c r="CX17" s="17" t="s">
        <v>130</v>
      </c>
      <c r="CY17" s="16" t="s">
        <v>12</v>
      </c>
      <c r="CZ17" s="15">
        <v>14</v>
      </c>
      <c r="DA17" s="15">
        <v>194207</v>
      </c>
      <c r="DB17" s="14">
        <v>130.15949037999999</v>
      </c>
      <c r="DC17" s="14">
        <v>302.77148824</v>
      </c>
      <c r="DD17" s="14">
        <v>-172.61199786</v>
      </c>
      <c r="DE17" s="14">
        <v>19929.944865059999</v>
      </c>
      <c r="DF17" s="14">
        <v>19965.05877096</v>
      </c>
      <c r="DG17" s="15">
        <v>4</v>
      </c>
      <c r="DH17" s="14">
        <v>0</v>
      </c>
      <c r="DI17" s="2" t="s">
        <v>52</v>
      </c>
      <c r="DJ17" s="85" t="s">
        <v>130</v>
      </c>
      <c r="DK17" s="86" t="s">
        <v>12</v>
      </c>
      <c r="DL17" s="87">
        <v>14</v>
      </c>
      <c r="DM17" s="87">
        <v>196410</v>
      </c>
      <c r="DN17" s="88">
        <v>172.69281473000001</v>
      </c>
      <c r="DO17" s="88">
        <v>298.54252324999999</v>
      </c>
      <c r="DP17" s="88">
        <v>-125.84970851999999</v>
      </c>
      <c r="DQ17" s="88">
        <v>19893.225409800001</v>
      </c>
      <c r="DR17" s="88">
        <v>19933.059258649999</v>
      </c>
      <c r="DS17" s="87">
        <v>4</v>
      </c>
      <c r="DT17" s="88">
        <v>0</v>
      </c>
      <c r="DU17" s="2" t="s">
        <v>52</v>
      </c>
      <c r="DV17" s="136"/>
      <c r="DW17" s="137"/>
      <c r="DX17" s="2" t="s">
        <v>52</v>
      </c>
      <c r="DY17" s="136">
        <f t="shared" si="0"/>
        <v>0.32677851016337101</v>
      </c>
      <c r="DZ17" s="137">
        <f t="shared" si="1"/>
        <v>-0.27090984357835535</v>
      </c>
      <c r="EA17" s="138">
        <f t="shared" si="2"/>
        <v>-1.6027757632522575E-3</v>
      </c>
    </row>
    <row r="18" spans="1:131" x14ac:dyDescent="0.5">
      <c r="A18" s="17" t="s">
        <v>129</v>
      </c>
      <c r="B18" s="16" t="s">
        <v>5</v>
      </c>
      <c r="C18" s="21">
        <v>78850.097617630003</v>
      </c>
      <c r="D18" s="21">
        <v>78721.833894850002</v>
      </c>
      <c r="E18" s="49" t="s">
        <v>52</v>
      </c>
      <c r="F18" s="17" t="s">
        <v>129</v>
      </c>
      <c r="G18" s="16" t="s">
        <v>5</v>
      </c>
      <c r="H18" s="15">
        <v>22</v>
      </c>
      <c r="I18" s="15">
        <v>237042</v>
      </c>
      <c r="J18" s="14">
        <v>2069.1923133800001</v>
      </c>
      <c r="K18" s="14">
        <v>1433.30494587</v>
      </c>
      <c r="L18" s="14">
        <v>635.88736750999999</v>
      </c>
      <c r="M18" s="14">
        <v>80597.862355039993</v>
      </c>
      <c r="N18" s="14">
        <v>79692.997165509994</v>
      </c>
      <c r="O18" s="15">
        <v>0</v>
      </c>
      <c r="P18" s="14">
        <v>0</v>
      </c>
      <c r="Q18" s="49" t="s">
        <v>52</v>
      </c>
      <c r="R18" s="17" t="s">
        <v>129</v>
      </c>
      <c r="S18" s="16" t="s">
        <v>5</v>
      </c>
      <c r="T18" s="15">
        <v>22</v>
      </c>
      <c r="U18" s="15">
        <v>238455</v>
      </c>
      <c r="V18" s="14">
        <v>1608.1267401499999</v>
      </c>
      <c r="W18" s="14">
        <v>1123.99304065</v>
      </c>
      <c r="X18" s="14">
        <v>484.13369949999998</v>
      </c>
      <c r="Y18" s="14">
        <v>81949.602720139999</v>
      </c>
      <c r="Z18" s="14">
        <v>81268.731084719999</v>
      </c>
      <c r="AA18" s="15">
        <v>0</v>
      </c>
      <c r="AB18" s="14">
        <v>0</v>
      </c>
      <c r="AC18" s="49" t="s">
        <v>52</v>
      </c>
      <c r="AD18" s="17" t="s">
        <v>129</v>
      </c>
      <c r="AE18" s="16" t="s">
        <v>5</v>
      </c>
      <c r="AF18" s="15">
        <v>22</v>
      </c>
      <c r="AG18" s="15">
        <v>239295</v>
      </c>
      <c r="AH18" s="14">
        <v>1969.78490349</v>
      </c>
      <c r="AI18" s="14">
        <v>1731.18655668</v>
      </c>
      <c r="AJ18" s="14">
        <v>238.59834681000001</v>
      </c>
      <c r="AK18" s="14">
        <v>82228.636290580005</v>
      </c>
      <c r="AL18" s="14">
        <v>82588.269987260006</v>
      </c>
      <c r="AM18" s="15">
        <v>0</v>
      </c>
      <c r="AN18" s="14">
        <v>0</v>
      </c>
      <c r="AO18" s="49" t="s">
        <v>52</v>
      </c>
      <c r="AP18" s="17" t="s">
        <v>129</v>
      </c>
      <c r="AQ18" s="16" t="s">
        <v>5</v>
      </c>
      <c r="AR18" s="15">
        <v>22</v>
      </c>
      <c r="AS18" s="15">
        <v>240020</v>
      </c>
      <c r="AT18" s="14">
        <v>1295.24290088</v>
      </c>
      <c r="AU18" s="14">
        <v>1956.9730456100001</v>
      </c>
      <c r="AV18" s="14">
        <v>-661.73014473000001</v>
      </c>
      <c r="AW18" s="14">
        <v>82041.635788109998</v>
      </c>
      <c r="AX18" s="14">
        <v>81868.294215360002</v>
      </c>
      <c r="AY18" s="15">
        <v>0</v>
      </c>
      <c r="AZ18" s="14">
        <v>0</v>
      </c>
      <c r="BA18" s="49" t="s">
        <v>52</v>
      </c>
      <c r="BB18" s="17" t="s">
        <v>129</v>
      </c>
      <c r="BC18" s="16" t="s">
        <v>5</v>
      </c>
      <c r="BD18" s="15">
        <v>22</v>
      </c>
      <c r="BE18" s="15">
        <v>240524</v>
      </c>
      <c r="BF18" s="14">
        <v>947.25648394999996</v>
      </c>
      <c r="BG18" s="14">
        <v>1747.70556384</v>
      </c>
      <c r="BH18" s="14">
        <v>-800.44907989000001</v>
      </c>
      <c r="BI18" s="14">
        <v>81161.204004090003</v>
      </c>
      <c r="BJ18" s="14">
        <v>81717.485029820004</v>
      </c>
      <c r="BK18" s="15">
        <v>0</v>
      </c>
      <c r="BL18" s="14">
        <v>0</v>
      </c>
      <c r="BM18" s="49" t="s">
        <v>52</v>
      </c>
      <c r="BN18" s="20" t="s">
        <v>129</v>
      </c>
      <c r="BO18" s="16" t="s">
        <v>5</v>
      </c>
      <c r="BP18" s="15">
        <v>22</v>
      </c>
      <c r="BQ18" s="15">
        <v>239947</v>
      </c>
      <c r="BR18" s="14">
        <v>742.078487039999</v>
      </c>
      <c r="BS18" s="14">
        <v>2709.38802295</v>
      </c>
      <c r="BT18" s="14">
        <v>-1967.30953591</v>
      </c>
      <c r="BU18" s="14">
        <v>79724.098069400003</v>
      </c>
      <c r="BV18" s="14">
        <v>80533.193292209995</v>
      </c>
      <c r="BW18" s="18">
        <v>0</v>
      </c>
      <c r="BX18" s="19">
        <v>0</v>
      </c>
      <c r="BY18" s="49" t="s">
        <v>52</v>
      </c>
      <c r="BZ18" s="20" t="s">
        <v>129</v>
      </c>
      <c r="CA18" s="16" t="s">
        <v>5</v>
      </c>
      <c r="CB18" s="15">
        <v>21</v>
      </c>
      <c r="CC18" s="15">
        <v>239409</v>
      </c>
      <c r="CD18" s="14">
        <v>1534.7932387400001</v>
      </c>
      <c r="CE18" s="14">
        <v>1322.5204569800001</v>
      </c>
      <c r="CF18" s="14">
        <v>212.27278175999899</v>
      </c>
      <c r="CG18" s="14">
        <v>80699.626007049999</v>
      </c>
      <c r="CH18" s="14">
        <v>79815.886957420007</v>
      </c>
      <c r="CI18" s="18">
        <v>0</v>
      </c>
      <c r="CJ18" s="19">
        <v>0</v>
      </c>
      <c r="CK18" s="49" t="s">
        <v>52</v>
      </c>
      <c r="CL18" s="17" t="s">
        <v>129</v>
      </c>
      <c r="CM18" s="16" t="s">
        <v>5</v>
      </c>
      <c r="CN18" s="15">
        <v>21</v>
      </c>
      <c r="CO18" s="15">
        <v>240003</v>
      </c>
      <c r="CP18" s="14">
        <v>509.09094116000102</v>
      </c>
      <c r="CQ18" s="14">
        <v>1361.18724795</v>
      </c>
      <c r="CR18" s="14">
        <v>-852.09630678999895</v>
      </c>
      <c r="CS18" s="14">
        <v>80299.520193160002</v>
      </c>
      <c r="CT18" s="14">
        <v>80543.606134939997</v>
      </c>
      <c r="CU18" s="18">
        <v>0</v>
      </c>
      <c r="CV18" s="14">
        <v>0</v>
      </c>
      <c r="CW18" s="49" t="s">
        <v>52</v>
      </c>
      <c r="CX18" s="17" t="s">
        <v>129</v>
      </c>
      <c r="CY18" s="16" t="s">
        <v>5</v>
      </c>
      <c r="CZ18" s="15">
        <v>21</v>
      </c>
      <c r="DA18" s="15">
        <v>239818</v>
      </c>
      <c r="DB18" s="14">
        <v>769.56581256000004</v>
      </c>
      <c r="DC18" s="14">
        <v>1745.66025281</v>
      </c>
      <c r="DD18" s="14">
        <v>-976.09444024999902</v>
      </c>
      <c r="DE18" s="112">
        <v>79417.258822799995</v>
      </c>
      <c r="DF18" s="14">
        <v>79512.416525699999</v>
      </c>
      <c r="DG18" s="15">
        <v>0</v>
      </c>
      <c r="DH18" s="14">
        <v>0</v>
      </c>
      <c r="DI18" s="2" t="s">
        <v>52</v>
      </c>
      <c r="DJ18" s="85" t="s">
        <v>129</v>
      </c>
      <c r="DK18" s="86" t="s">
        <v>5</v>
      </c>
      <c r="DL18" s="87">
        <v>21</v>
      </c>
      <c r="DM18" s="87">
        <v>239116</v>
      </c>
      <c r="DN18" s="88">
        <v>514.35412424000106</v>
      </c>
      <c r="DO18" s="88">
        <v>1733.2348380000001</v>
      </c>
      <c r="DP18" s="88">
        <v>-1218.8807137599999</v>
      </c>
      <c r="DQ18" s="111">
        <v>78169.943957509997</v>
      </c>
      <c r="DR18" s="88">
        <v>78906.717798059995</v>
      </c>
      <c r="DS18" s="87">
        <v>0</v>
      </c>
      <c r="DT18" s="88">
        <v>0</v>
      </c>
      <c r="DU18" s="2" t="s">
        <v>52</v>
      </c>
      <c r="DV18" s="136"/>
      <c r="DW18" s="137"/>
      <c r="DX18" s="2" t="s">
        <v>52</v>
      </c>
      <c r="DY18" s="136">
        <f t="shared" si="0"/>
        <v>-0.33163075094386568</v>
      </c>
      <c r="DZ18" s="137">
        <f t="shared" si="1"/>
        <v>0.24873235979893304</v>
      </c>
      <c r="EA18" s="138">
        <f t="shared" si="2"/>
        <v>-7.6176621728535855E-3</v>
      </c>
    </row>
    <row r="19" spans="1:131" x14ac:dyDescent="0.5">
      <c r="A19" s="17" t="s">
        <v>128</v>
      </c>
      <c r="B19" s="16" t="s">
        <v>22</v>
      </c>
      <c r="C19" s="21">
        <v>40989.936324479997</v>
      </c>
      <c r="D19" s="21">
        <v>40630.627890340002</v>
      </c>
      <c r="E19" s="49" t="s">
        <v>52</v>
      </c>
      <c r="F19" s="17" t="s">
        <v>128</v>
      </c>
      <c r="G19" s="16" t="s">
        <v>22</v>
      </c>
      <c r="H19" s="15">
        <v>22</v>
      </c>
      <c r="I19" s="15">
        <v>223026</v>
      </c>
      <c r="J19" s="14">
        <v>2544.9732879799999</v>
      </c>
      <c r="K19" s="14">
        <v>2970.0229979300002</v>
      </c>
      <c r="L19" s="14">
        <v>-425.04970995000002</v>
      </c>
      <c r="M19" s="14">
        <v>41428.661825590003</v>
      </c>
      <c r="N19" s="14">
        <v>41038.384031380003</v>
      </c>
      <c r="O19" s="15">
        <v>0</v>
      </c>
      <c r="P19" s="14">
        <v>0</v>
      </c>
      <c r="Q19" s="49" t="s">
        <v>52</v>
      </c>
      <c r="R19" s="17" t="s">
        <v>128</v>
      </c>
      <c r="S19" s="16" t="s">
        <v>22</v>
      </c>
      <c r="T19" s="15">
        <v>23</v>
      </c>
      <c r="U19" s="15">
        <v>232237</v>
      </c>
      <c r="V19" s="14">
        <v>2738.6611528200001</v>
      </c>
      <c r="W19" s="14">
        <v>1352.7321447700001</v>
      </c>
      <c r="X19" s="14">
        <v>1385.92900805</v>
      </c>
      <c r="Y19" s="14">
        <v>43000.141136300001</v>
      </c>
      <c r="Z19" s="14">
        <v>42256.263815760001</v>
      </c>
      <c r="AA19" s="15">
        <v>0</v>
      </c>
      <c r="AB19" s="14">
        <v>0</v>
      </c>
      <c r="AC19" s="49" t="s">
        <v>52</v>
      </c>
      <c r="AD19" s="17" t="s">
        <v>128</v>
      </c>
      <c r="AE19" s="16" t="s">
        <v>22</v>
      </c>
      <c r="AF19" s="15">
        <v>23</v>
      </c>
      <c r="AG19" s="15">
        <v>232057</v>
      </c>
      <c r="AH19" s="14">
        <v>1562.0074013200001</v>
      </c>
      <c r="AI19" s="14">
        <v>2519.3305023600001</v>
      </c>
      <c r="AJ19" s="14">
        <v>-957.32310104000101</v>
      </c>
      <c r="AK19" s="14">
        <v>41449.723214209997</v>
      </c>
      <c r="AL19" s="14">
        <v>42294.944257950003</v>
      </c>
      <c r="AM19" s="15">
        <v>0</v>
      </c>
      <c r="AN19" s="14">
        <v>0</v>
      </c>
      <c r="AO19" s="49" t="s">
        <v>52</v>
      </c>
      <c r="AP19" s="17" t="s">
        <v>128</v>
      </c>
      <c r="AQ19" s="16" t="s">
        <v>22</v>
      </c>
      <c r="AR19" s="15">
        <v>23</v>
      </c>
      <c r="AS19" s="15">
        <v>232098</v>
      </c>
      <c r="AT19" s="14">
        <v>1929.8525707900001</v>
      </c>
      <c r="AU19" s="14">
        <v>1769.80230155</v>
      </c>
      <c r="AV19" s="14">
        <v>160.05026924000001</v>
      </c>
      <c r="AW19" s="14">
        <v>41789.563127690002</v>
      </c>
      <c r="AX19" s="14">
        <v>42149.902633589998</v>
      </c>
      <c r="AY19" s="15">
        <v>0</v>
      </c>
      <c r="AZ19" s="14">
        <v>0</v>
      </c>
      <c r="BA19" s="49" t="s">
        <v>52</v>
      </c>
      <c r="BB19" s="17" t="s">
        <v>128</v>
      </c>
      <c r="BC19" s="16" t="s">
        <v>22</v>
      </c>
      <c r="BD19" s="15">
        <v>23</v>
      </c>
      <c r="BE19" s="15">
        <v>229584</v>
      </c>
      <c r="BF19" s="14">
        <v>2330.7549784900002</v>
      </c>
      <c r="BG19" s="14">
        <v>3259.1759061500002</v>
      </c>
      <c r="BH19" s="14">
        <v>-928.42092765999996</v>
      </c>
      <c r="BI19" s="14">
        <v>40089.9709945</v>
      </c>
      <c r="BJ19" s="14">
        <v>40439.257301029997</v>
      </c>
      <c r="BK19" s="15">
        <v>0</v>
      </c>
      <c r="BL19" s="14">
        <v>0</v>
      </c>
      <c r="BM19" s="49" t="s">
        <v>52</v>
      </c>
      <c r="BN19" s="20" t="s">
        <v>128</v>
      </c>
      <c r="BO19" s="16" t="s">
        <v>22</v>
      </c>
      <c r="BP19" s="15">
        <v>23</v>
      </c>
      <c r="BQ19" s="15">
        <v>225769</v>
      </c>
      <c r="BR19" s="14">
        <v>2178.0677479000001</v>
      </c>
      <c r="BS19" s="14">
        <v>2793.0571030800002</v>
      </c>
      <c r="BT19" s="14">
        <v>-614.98935518000098</v>
      </c>
      <c r="BU19" s="14">
        <v>40055.16841898</v>
      </c>
      <c r="BV19" s="14">
        <v>40635.104292999997</v>
      </c>
      <c r="BW19" s="18">
        <v>0</v>
      </c>
      <c r="BX19" s="19">
        <v>0</v>
      </c>
      <c r="BY19" s="49" t="s">
        <v>52</v>
      </c>
      <c r="BZ19" s="20" t="s">
        <v>128</v>
      </c>
      <c r="CA19" s="16" t="s">
        <v>22</v>
      </c>
      <c r="CB19" s="15">
        <v>23</v>
      </c>
      <c r="CC19" s="15">
        <v>222590</v>
      </c>
      <c r="CD19" s="14">
        <v>507.683404230002</v>
      </c>
      <c r="CE19" s="14">
        <v>1438.6709867100001</v>
      </c>
      <c r="CF19" s="14">
        <v>-930.98758247999797</v>
      </c>
      <c r="CG19" s="14">
        <v>39325.017492179999</v>
      </c>
      <c r="CH19" s="14">
        <v>39916.684943200002</v>
      </c>
      <c r="CI19" s="18">
        <v>0</v>
      </c>
      <c r="CJ19" s="19">
        <v>0</v>
      </c>
      <c r="CK19" s="49" t="s">
        <v>52</v>
      </c>
      <c r="CL19" s="17" t="s">
        <v>128</v>
      </c>
      <c r="CM19" s="16" t="s">
        <v>22</v>
      </c>
      <c r="CN19" s="15">
        <v>23</v>
      </c>
      <c r="CO19" s="15">
        <v>219637</v>
      </c>
      <c r="CP19" s="14">
        <v>499.72912670999898</v>
      </c>
      <c r="CQ19" s="14">
        <v>676.27553085999898</v>
      </c>
      <c r="CR19" s="14">
        <v>-176.54640415</v>
      </c>
      <c r="CS19" s="14">
        <v>39160.962742479998</v>
      </c>
      <c r="CT19" s="14">
        <v>39290.82877819</v>
      </c>
      <c r="CU19" s="18">
        <v>0</v>
      </c>
      <c r="CV19" s="14">
        <v>0</v>
      </c>
      <c r="CW19" s="49" t="s">
        <v>52</v>
      </c>
      <c r="CX19" s="17" t="s">
        <v>128</v>
      </c>
      <c r="CY19" s="16" t="s">
        <v>22</v>
      </c>
      <c r="CZ19" s="15">
        <v>23</v>
      </c>
      <c r="DA19" s="15">
        <v>215424</v>
      </c>
      <c r="DB19" s="14">
        <v>516.58775362999995</v>
      </c>
      <c r="DC19" s="14">
        <v>1312.78189638</v>
      </c>
      <c r="DD19" s="14">
        <v>-796.19414275000202</v>
      </c>
      <c r="DE19" s="112">
        <v>38514.724595710002</v>
      </c>
      <c r="DF19" s="14">
        <v>38808.925002850003</v>
      </c>
      <c r="DG19" s="15">
        <v>0</v>
      </c>
      <c r="DH19" s="14">
        <v>0</v>
      </c>
      <c r="DI19" s="2" t="s">
        <v>52</v>
      </c>
      <c r="DJ19" s="85" t="s">
        <v>128</v>
      </c>
      <c r="DK19" s="86" t="s">
        <v>22</v>
      </c>
      <c r="DL19" s="87">
        <v>23</v>
      </c>
      <c r="DM19" s="87">
        <v>211129</v>
      </c>
      <c r="DN19" s="88">
        <v>459.22893424</v>
      </c>
      <c r="DO19" s="88">
        <v>1887.72175606</v>
      </c>
      <c r="DP19" s="88">
        <v>-1428.49282182</v>
      </c>
      <c r="DQ19" s="111">
        <v>37115.927019919996</v>
      </c>
      <c r="DR19" s="88">
        <v>37810.512963590001</v>
      </c>
      <c r="DS19" s="87">
        <v>0</v>
      </c>
      <c r="DT19" s="88">
        <v>0</v>
      </c>
      <c r="DU19" s="2" t="s">
        <v>52</v>
      </c>
      <c r="DV19" s="136"/>
      <c r="DW19" s="137"/>
      <c r="DX19" s="2" t="s">
        <v>52</v>
      </c>
      <c r="DY19" s="136">
        <f t="shared" si="0"/>
        <v>-0.11103402855941984</v>
      </c>
      <c r="DZ19" s="137">
        <f t="shared" si="1"/>
        <v>0.79415138233255533</v>
      </c>
      <c r="EA19" s="138">
        <f t="shared" si="2"/>
        <v>-2.572635132734755E-2</v>
      </c>
    </row>
    <row r="20" spans="1:131" x14ac:dyDescent="0.5">
      <c r="A20" s="17" t="s">
        <v>127</v>
      </c>
      <c r="B20" s="16" t="s">
        <v>23</v>
      </c>
      <c r="C20" s="21">
        <v>4938.4415785299998</v>
      </c>
      <c r="D20" s="21">
        <v>4936.3401566299999</v>
      </c>
      <c r="E20" s="49" t="s">
        <v>52</v>
      </c>
      <c r="F20" s="17" t="s">
        <v>127</v>
      </c>
      <c r="G20" s="16" t="s">
        <v>23</v>
      </c>
      <c r="H20" s="15">
        <v>5</v>
      </c>
      <c r="I20" s="15">
        <v>36986</v>
      </c>
      <c r="J20" s="14">
        <v>102.20557955</v>
      </c>
      <c r="K20" s="14">
        <v>140.94136864999999</v>
      </c>
      <c r="L20" s="14">
        <v>-38.735789099999998</v>
      </c>
      <c r="M20" s="14">
        <v>5006.8884865600003</v>
      </c>
      <c r="N20" s="14">
        <v>4972.3251676600003</v>
      </c>
      <c r="O20" s="15">
        <v>0</v>
      </c>
      <c r="P20" s="14">
        <v>0</v>
      </c>
      <c r="Q20" s="49" t="s">
        <v>52</v>
      </c>
      <c r="R20" s="17" t="s">
        <v>127</v>
      </c>
      <c r="S20" s="16" t="s">
        <v>23</v>
      </c>
      <c r="T20" s="15">
        <v>5</v>
      </c>
      <c r="U20" s="15">
        <v>37854</v>
      </c>
      <c r="V20" s="14">
        <v>118.43985324000001</v>
      </c>
      <c r="W20" s="14">
        <v>76.895240939999994</v>
      </c>
      <c r="X20" s="14">
        <v>41.544612299999997</v>
      </c>
      <c r="Y20" s="14">
        <v>5101.4758553499996</v>
      </c>
      <c r="Z20" s="14">
        <v>5056.9567921500002</v>
      </c>
      <c r="AA20" s="15">
        <v>0</v>
      </c>
      <c r="AB20" s="14">
        <v>0</v>
      </c>
      <c r="AC20" s="49" t="s">
        <v>52</v>
      </c>
      <c r="AD20" s="17" t="s">
        <v>127</v>
      </c>
      <c r="AE20" s="16" t="s">
        <v>23</v>
      </c>
      <c r="AF20" s="15">
        <v>5</v>
      </c>
      <c r="AG20" s="15">
        <v>38371</v>
      </c>
      <c r="AH20" s="14">
        <v>50.872600740000003</v>
      </c>
      <c r="AI20" s="14">
        <v>192.66065417999999</v>
      </c>
      <c r="AJ20" s="14">
        <v>-141.78805344</v>
      </c>
      <c r="AK20" s="14">
        <v>4935.0928227699997</v>
      </c>
      <c r="AL20" s="14">
        <v>5024.9166240699997</v>
      </c>
      <c r="AM20" s="15">
        <v>0</v>
      </c>
      <c r="AN20" s="14">
        <v>0</v>
      </c>
      <c r="AO20" s="49" t="s">
        <v>52</v>
      </c>
      <c r="AP20" s="17" t="s">
        <v>127</v>
      </c>
      <c r="AQ20" s="16" t="s">
        <v>23</v>
      </c>
      <c r="AR20" s="15">
        <v>5</v>
      </c>
      <c r="AS20" s="15">
        <v>39036</v>
      </c>
      <c r="AT20" s="14">
        <v>88.13189319</v>
      </c>
      <c r="AU20" s="14">
        <v>214.33523399000001</v>
      </c>
      <c r="AV20" s="14">
        <v>-126.20334080000001</v>
      </c>
      <c r="AW20" s="14">
        <v>4821.7917415000002</v>
      </c>
      <c r="AX20" s="14">
        <v>4856.6345786700003</v>
      </c>
      <c r="AY20" s="15">
        <v>0</v>
      </c>
      <c r="AZ20" s="14">
        <v>0</v>
      </c>
      <c r="BA20" s="49" t="s">
        <v>52</v>
      </c>
      <c r="BB20" s="17" t="s">
        <v>127</v>
      </c>
      <c r="BC20" s="16" t="s">
        <v>23</v>
      </c>
      <c r="BD20" s="15">
        <v>5</v>
      </c>
      <c r="BE20" s="15">
        <v>39073</v>
      </c>
      <c r="BF20" s="14">
        <v>328.06058707</v>
      </c>
      <c r="BG20" s="14">
        <v>159.88854595999999</v>
      </c>
      <c r="BH20" s="14">
        <v>168.17204111000001</v>
      </c>
      <c r="BI20" s="14">
        <v>4934.7261296799998</v>
      </c>
      <c r="BJ20" s="14">
        <v>4746.7638273299999</v>
      </c>
      <c r="BK20" s="15">
        <v>0</v>
      </c>
      <c r="BL20" s="14">
        <v>0</v>
      </c>
      <c r="BM20" s="49" t="s">
        <v>52</v>
      </c>
      <c r="BN20" s="20" t="s">
        <v>127</v>
      </c>
      <c r="BO20" s="16" t="s">
        <v>23</v>
      </c>
      <c r="BP20" s="15">
        <v>5</v>
      </c>
      <c r="BQ20" s="15">
        <v>38766</v>
      </c>
      <c r="BR20" s="14">
        <v>124.37166673999999</v>
      </c>
      <c r="BS20" s="14">
        <v>125.89467361</v>
      </c>
      <c r="BT20" s="14">
        <v>-1.52300687000013</v>
      </c>
      <c r="BU20" s="14">
        <v>4977.9383258600001</v>
      </c>
      <c r="BV20" s="14">
        <v>5007.8980825299996</v>
      </c>
      <c r="BW20" s="18">
        <v>0</v>
      </c>
      <c r="BX20" s="19">
        <v>0</v>
      </c>
      <c r="BY20" s="49" t="s">
        <v>52</v>
      </c>
      <c r="BZ20" s="20" t="s">
        <v>127</v>
      </c>
      <c r="CA20" s="16" t="s">
        <v>23</v>
      </c>
      <c r="CB20" s="15">
        <v>5</v>
      </c>
      <c r="CC20" s="15">
        <v>38270</v>
      </c>
      <c r="CD20" s="14">
        <v>38.57955166</v>
      </c>
      <c r="CE20" s="14">
        <v>63.193692910000003</v>
      </c>
      <c r="CF20" s="14">
        <v>-24.614141249999999</v>
      </c>
      <c r="CG20" s="14">
        <v>4986.5625796900003</v>
      </c>
      <c r="CH20" s="14">
        <v>4999.7334128599996</v>
      </c>
      <c r="CI20" s="18">
        <v>0</v>
      </c>
      <c r="CJ20" s="19">
        <v>0</v>
      </c>
      <c r="CK20" s="49" t="s">
        <v>52</v>
      </c>
      <c r="CL20" s="17" t="s">
        <v>127</v>
      </c>
      <c r="CM20" s="16" t="s">
        <v>23</v>
      </c>
      <c r="CN20" s="15">
        <v>5</v>
      </c>
      <c r="CO20" s="15">
        <v>38070</v>
      </c>
      <c r="CP20" s="14">
        <v>41.886067180000097</v>
      </c>
      <c r="CQ20" s="14">
        <v>86.081763469999899</v>
      </c>
      <c r="CR20" s="14">
        <v>-44.195696289999901</v>
      </c>
      <c r="CS20" s="14">
        <v>4973.6861575499997</v>
      </c>
      <c r="CT20" s="14">
        <v>4981.3776104600001</v>
      </c>
      <c r="CU20" s="18">
        <v>0</v>
      </c>
      <c r="CV20" s="14">
        <v>0</v>
      </c>
      <c r="CW20" s="49" t="s">
        <v>52</v>
      </c>
      <c r="CX20" s="17" t="s">
        <v>127</v>
      </c>
      <c r="CY20" s="16" t="s">
        <v>23</v>
      </c>
      <c r="CZ20" s="15">
        <v>5</v>
      </c>
      <c r="DA20" s="15">
        <v>37606</v>
      </c>
      <c r="DB20" s="14">
        <v>43.563284899999999</v>
      </c>
      <c r="DC20" s="14">
        <v>146.63695235</v>
      </c>
      <c r="DD20" s="14">
        <v>-103.07366745</v>
      </c>
      <c r="DE20" s="14">
        <v>4877.10610722</v>
      </c>
      <c r="DF20" s="14">
        <v>4929.8494351899999</v>
      </c>
      <c r="DG20" s="15">
        <v>0</v>
      </c>
      <c r="DH20" s="14">
        <v>0</v>
      </c>
      <c r="DI20" s="2" t="s">
        <v>52</v>
      </c>
      <c r="DJ20" s="85" t="s">
        <v>127</v>
      </c>
      <c r="DK20" s="86" t="s">
        <v>23</v>
      </c>
      <c r="DL20" s="87">
        <v>5</v>
      </c>
      <c r="DM20" s="87">
        <v>37098</v>
      </c>
      <c r="DN20" s="88">
        <v>67.392471740000005</v>
      </c>
      <c r="DO20" s="88">
        <v>80.447910870000001</v>
      </c>
      <c r="DP20" s="88">
        <v>-13.05543913</v>
      </c>
      <c r="DQ20" s="88">
        <v>4865.29402175</v>
      </c>
      <c r="DR20" s="88">
        <v>4889.2694893500002</v>
      </c>
      <c r="DS20" s="87">
        <v>0</v>
      </c>
      <c r="DT20" s="88">
        <v>0</v>
      </c>
      <c r="DU20" s="2" t="s">
        <v>52</v>
      </c>
      <c r="DV20" s="136"/>
      <c r="DW20" s="137"/>
      <c r="DX20" s="2" t="s">
        <v>52</v>
      </c>
      <c r="DY20" s="136">
        <f t="shared" si="0"/>
        <v>0.54700160685081867</v>
      </c>
      <c r="DZ20" s="137">
        <f t="shared" si="1"/>
        <v>-0.87333875418439866</v>
      </c>
      <c r="EA20" s="138">
        <f t="shared" si="2"/>
        <v>-8.2314777304016654E-3</v>
      </c>
    </row>
    <row r="21" spans="1:131" x14ac:dyDescent="0.5">
      <c r="A21" s="17" t="s">
        <v>126</v>
      </c>
      <c r="B21" s="16" t="s">
        <v>20</v>
      </c>
      <c r="C21" s="21">
        <v>49822.038962389997</v>
      </c>
      <c r="D21" s="21">
        <v>50232.15050281</v>
      </c>
      <c r="E21" s="49" t="s">
        <v>52</v>
      </c>
      <c r="F21" s="17" t="s">
        <v>126</v>
      </c>
      <c r="G21" s="16" t="s">
        <v>20</v>
      </c>
      <c r="H21" s="15">
        <v>12</v>
      </c>
      <c r="I21" s="15">
        <v>197464</v>
      </c>
      <c r="J21" s="14">
        <v>2171.3677027499998</v>
      </c>
      <c r="K21" s="14">
        <v>1600.9595605300001</v>
      </c>
      <c r="L21" s="14">
        <v>570.40814221999995</v>
      </c>
      <c r="M21" s="14">
        <v>50979.751029179999</v>
      </c>
      <c r="N21" s="14">
        <v>50844.966190530002</v>
      </c>
      <c r="O21" s="15">
        <v>0</v>
      </c>
      <c r="P21" s="14">
        <v>0</v>
      </c>
      <c r="Q21" s="49" t="s">
        <v>52</v>
      </c>
      <c r="R21" s="17" t="s">
        <v>126</v>
      </c>
      <c r="S21" s="16" t="s">
        <v>20</v>
      </c>
      <c r="T21" s="15">
        <v>12</v>
      </c>
      <c r="U21" s="15">
        <v>198875</v>
      </c>
      <c r="V21" s="14">
        <v>1315.7081737000001</v>
      </c>
      <c r="W21" s="14">
        <v>1569.7702883500001</v>
      </c>
      <c r="X21" s="14">
        <v>-254.06211465000001</v>
      </c>
      <c r="Y21" s="14">
        <v>51205.422556559999</v>
      </c>
      <c r="Z21" s="14">
        <v>51047.240801239997</v>
      </c>
      <c r="AA21" s="15">
        <v>0</v>
      </c>
      <c r="AB21" s="14">
        <v>0</v>
      </c>
      <c r="AC21" s="49" t="s">
        <v>52</v>
      </c>
      <c r="AD21" s="17" t="s">
        <v>126</v>
      </c>
      <c r="AE21" s="16" t="s">
        <v>20</v>
      </c>
      <c r="AF21" s="15">
        <v>12</v>
      </c>
      <c r="AG21" s="15">
        <v>199600</v>
      </c>
      <c r="AH21" s="14">
        <v>2667.5624586600002</v>
      </c>
      <c r="AI21" s="14">
        <v>2436.8379948400002</v>
      </c>
      <c r="AJ21" s="14">
        <v>230.72446382000001</v>
      </c>
      <c r="AK21" s="14">
        <v>51668.081510210002</v>
      </c>
      <c r="AL21" s="14">
        <v>51830.598392790002</v>
      </c>
      <c r="AM21" s="15">
        <v>0</v>
      </c>
      <c r="AN21" s="14">
        <v>0</v>
      </c>
      <c r="AO21" s="49" t="s">
        <v>52</v>
      </c>
      <c r="AP21" s="17" t="s">
        <v>126</v>
      </c>
      <c r="AQ21" s="16" t="s">
        <v>20</v>
      </c>
      <c r="AR21" s="15">
        <v>12</v>
      </c>
      <c r="AS21" s="15">
        <v>199862</v>
      </c>
      <c r="AT21" s="14">
        <v>2042.5989149100001</v>
      </c>
      <c r="AU21" s="14">
        <v>1878.4345902699999</v>
      </c>
      <c r="AV21" s="14">
        <v>164.16432463999999</v>
      </c>
      <c r="AW21" s="14">
        <v>52161.956679850002</v>
      </c>
      <c r="AX21" s="14">
        <v>51992.37571113</v>
      </c>
      <c r="AY21" s="15">
        <v>0</v>
      </c>
      <c r="AZ21" s="14">
        <v>0</v>
      </c>
      <c r="BA21" s="49" t="s">
        <v>52</v>
      </c>
      <c r="BB21" s="17" t="s">
        <v>126</v>
      </c>
      <c r="BC21" s="16" t="s">
        <v>20</v>
      </c>
      <c r="BD21" s="15">
        <v>12</v>
      </c>
      <c r="BE21" s="15">
        <v>200291</v>
      </c>
      <c r="BF21" s="14">
        <v>1737.8238642700001</v>
      </c>
      <c r="BG21" s="14">
        <v>1942.5392693900001</v>
      </c>
      <c r="BH21" s="14">
        <v>-204.71540512000001</v>
      </c>
      <c r="BI21" s="14">
        <v>52030.545876409997</v>
      </c>
      <c r="BJ21" s="14">
        <v>52456.254132080001</v>
      </c>
      <c r="BK21" s="15">
        <v>0</v>
      </c>
      <c r="BL21" s="14">
        <v>0</v>
      </c>
      <c r="BM21" s="49" t="s">
        <v>52</v>
      </c>
      <c r="BN21" s="20" t="s">
        <v>126</v>
      </c>
      <c r="BO21" s="16" t="s">
        <v>20</v>
      </c>
      <c r="BP21" s="15">
        <v>12</v>
      </c>
      <c r="BQ21" s="15">
        <v>199240</v>
      </c>
      <c r="BR21" s="14">
        <v>984.69171366</v>
      </c>
      <c r="BS21" s="14">
        <v>2510.77598842</v>
      </c>
      <c r="BT21" s="14">
        <v>-1526.08427476</v>
      </c>
      <c r="BU21" s="14">
        <v>50821.35458711</v>
      </c>
      <c r="BV21" s="14">
        <v>51615.005128819997</v>
      </c>
      <c r="BW21" s="18">
        <v>0</v>
      </c>
      <c r="BX21" s="19">
        <v>0</v>
      </c>
      <c r="BY21" s="49" t="s">
        <v>52</v>
      </c>
      <c r="BZ21" s="20" t="s">
        <v>126</v>
      </c>
      <c r="CA21" s="16" t="s">
        <v>20</v>
      </c>
      <c r="CB21" s="15">
        <v>12</v>
      </c>
      <c r="CC21" s="15">
        <v>198921</v>
      </c>
      <c r="CD21" s="14">
        <v>1266.3228252599999</v>
      </c>
      <c r="CE21" s="14">
        <v>1528.8645978699999</v>
      </c>
      <c r="CF21" s="14">
        <v>-262.54177260999899</v>
      </c>
      <c r="CG21" s="14">
        <v>50931.09573452</v>
      </c>
      <c r="CH21" s="14">
        <v>50918.40432293</v>
      </c>
      <c r="CI21" s="18">
        <v>0</v>
      </c>
      <c r="CJ21" s="19">
        <v>0</v>
      </c>
      <c r="CK21" s="49" t="s">
        <v>52</v>
      </c>
      <c r="CL21" s="17" t="s">
        <v>126</v>
      </c>
      <c r="CM21" s="16" t="s">
        <v>20</v>
      </c>
      <c r="CN21" s="15">
        <v>12</v>
      </c>
      <c r="CO21" s="15">
        <v>199167</v>
      </c>
      <c r="CP21" s="14">
        <v>1477.7135063600001</v>
      </c>
      <c r="CQ21" s="14">
        <v>1385.8313671000001</v>
      </c>
      <c r="CR21" s="14">
        <v>91.882139260000301</v>
      </c>
      <c r="CS21" s="14">
        <v>51333.579008380002</v>
      </c>
      <c r="CT21" s="14">
        <v>51199.961249879998</v>
      </c>
      <c r="CU21" s="18">
        <v>0</v>
      </c>
      <c r="CV21" s="14">
        <v>0</v>
      </c>
      <c r="CW21" s="49" t="s">
        <v>52</v>
      </c>
      <c r="CX21" s="17" t="s">
        <v>126</v>
      </c>
      <c r="CY21" s="16" t="s">
        <v>20</v>
      </c>
      <c r="CZ21" s="15">
        <v>12</v>
      </c>
      <c r="DA21" s="15">
        <v>198710</v>
      </c>
      <c r="DB21" s="14">
        <v>2723.2887854000001</v>
      </c>
      <c r="DC21" s="14">
        <v>2000.8530267399999</v>
      </c>
      <c r="DD21" s="14">
        <v>722.43575865999605</v>
      </c>
      <c r="DE21" s="14">
        <v>52217.242245790003</v>
      </c>
      <c r="DF21" s="14">
        <v>51726.612750630004</v>
      </c>
      <c r="DG21" s="15">
        <v>0</v>
      </c>
      <c r="DH21" s="14">
        <v>0</v>
      </c>
      <c r="DI21" s="2" t="s">
        <v>52</v>
      </c>
      <c r="DJ21" s="85" t="s">
        <v>126</v>
      </c>
      <c r="DK21" s="86" t="s">
        <v>20</v>
      </c>
      <c r="DL21" s="87">
        <v>12</v>
      </c>
      <c r="DM21" s="87">
        <v>197564</v>
      </c>
      <c r="DN21" s="88">
        <v>1890.39548709</v>
      </c>
      <c r="DO21" s="88">
        <v>1621.9801888300001</v>
      </c>
      <c r="DP21" s="88">
        <v>268.415298260003</v>
      </c>
      <c r="DQ21" s="88">
        <v>52573.192356359999</v>
      </c>
      <c r="DR21" s="88">
        <v>52680.264844470003</v>
      </c>
      <c r="DS21" s="87">
        <v>0</v>
      </c>
      <c r="DT21" s="88">
        <v>0</v>
      </c>
      <c r="DU21" s="2" t="s">
        <v>52</v>
      </c>
      <c r="DV21" s="136"/>
      <c r="DW21" s="137"/>
      <c r="DX21" s="2" t="s">
        <v>52</v>
      </c>
      <c r="DY21" s="136">
        <f t="shared" si="0"/>
        <v>-0.30584097535864663</v>
      </c>
      <c r="DZ21" s="137">
        <f t="shared" si="1"/>
        <v>-0.62845790086876252</v>
      </c>
      <c r="EA21" s="138">
        <f t="shared" si="2"/>
        <v>1.8436391697200082E-2</v>
      </c>
    </row>
    <row r="22" spans="1:131" x14ac:dyDescent="0.5">
      <c r="A22" s="27" t="s">
        <v>83</v>
      </c>
      <c r="B22" s="27" t="s">
        <v>125</v>
      </c>
      <c r="C22" s="26">
        <f t="shared" ref="C22:D22" si="3">SUM(C6:C21)</f>
        <v>1520705.7602697397</v>
      </c>
      <c r="D22" s="26">
        <f t="shared" si="3"/>
        <v>1696665.4539578902</v>
      </c>
      <c r="E22" s="49" t="s">
        <v>52</v>
      </c>
      <c r="F22" s="27" t="s">
        <v>83</v>
      </c>
      <c r="G22" s="27" t="s">
        <v>125</v>
      </c>
      <c r="H22" s="26">
        <f>SUM(H6:H21)</f>
        <v>322</v>
      </c>
      <c r="I22" s="26">
        <f t="shared" ref="I22" si="4">SUM(I6:I21)</f>
        <v>7036533</v>
      </c>
      <c r="J22" s="26">
        <f t="shared" ref="J22" si="5">SUM(J6:J21)</f>
        <v>1137379.1313809301</v>
      </c>
      <c r="K22" s="26">
        <f t="shared" ref="K22" si="6">SUM(K6:K21)</f>
        <v>918242.86572220991</v>
      </c>
      <c r="L22" s="26">
        <f t="shared" ref="L22" si="7">SUM(L6:L21)</f>
        <v>219136.26565871996</v>
      </c>
      <c r="M22" s="26">
        <f t="shared" ref="M22" si="8">SUM(M6:M21)</f>
        <v>1757215.73451108</v>
      </c>
      <c r="N22" s="26">
        <f t="shared" ref="N22" si="9">SUM(N6:N21)</f>
        <v>1794695.2178333099</v>
      </c>
      <c r="O22" s="26">
        <f t="shared" ref="O22" si="10">SUM(O6:O21)</f>
        <v>7</v>
      </c>
      <c r="P22" s="25" t="e">
        <f>SUM(#REF!)</f>
        <v>#REF!</v>
      </c>
      <c r="Q22" s="49" t="s">
        <v>52</v>
      </c>
      <c r="R22" s="27" t="s">
        <v>83</v>
      </c>
      <c r="S22" s="27" t="s">
        <v>125</v>
      </c>
      <c r="T22" s="26">
        <f>SUM(T6:T21)</f>
        <v>323</v>
      </c>
      <c r="U22" s="26">
        <f t="shared" ref="U22" si="11">SUM(U6:U21)</f>
        <v>7154986</v>
      </c>
      <c r="V22" s="26">
        <f t="shared" ref="V22" si="12">SUM(V6:V21)</f>
        <v>927581.15923441993</v>
      </c>
      <c r="W22" s="26">
        <f t="shared" ref="W22" si="13">SUM(W6:W21)</f>
        <v>943489.64291586005</v>
      </c>
      <c r="X22" s="26">
        <f t="shared" ref="X22" si="14">SUM(X6:X21)</f>
        <v>-15908.483681440028</v>
      </c>
      <c r="Y22" s="26">
        <f t="shared" ref="Y22" si="15">SUM(Y6:Y21)</f>
        <v>1754345.6968598701</v>
      </c>
      <c r="Z22" s="26">
        <f t="shared" ref="Z22" si="16">SUM(Z6:Z21)</f>
        <v>1799195.5928557098</v>
      </c>
      <c r="AA22" s="26">
        <f t="shared" ref="AA22" si="17">SUM(AA6:AA21)</f>
        <v>7</v>
      </c>
      <c r="AB22" s="25" t="e">
        <f>SUM(#REF!)</f>
        <v>#REF!</v>
      </c>
      <c r="AC22" s="49" t="s">
        <v>52</v>
      </c>
      <c r="AD22" s="27" t="s">
        <v>83</v>
      </c>
      <c r="AE22" s="27" t="s">
        <v>125</v>
      </c>
      <c r="AF22" s="26">
        <f>SUM(AF6:AF21)</f>
        <v>324</v>
      </c>
      <c r="AG22" s="26">
        <f t="shared" ref="AG22" si="18">SUM(AG6:AG21)</f>
        <v>7247110</v>
      </c>
      <c r="AH22" s="26">
        <f t="shared" ref="AH22" si="19">SUM(AH6:AH21)</f>
        <v>1261568.58035504</v>
      </c>
      <c r="AI22" s="26">
        <f t="shared" ref="AI22" si="20">SUM(AI6:AI21)</f>
        <v>1263280.045505909</v>
      </c>
      <c r="AJ22" s="26">
        <f t="shared" ref="AJ22" si="21">SUM(AJ6:AJ21)</f>
        <v>-1711.4651508702786</v>
      </c>
      <c r="AK22" s="26">
        <f t="shared" ref="AK22" si="22">SUM(AK6:AK21)</f>
        <v>1758110.17626552</v>
      </c>
      <c r="AL22" s="26">
        <f t="shared" ref="AL22" si="23">SUM(AL6:AL21)</f>
        <v>1857648.0816729695</v>
      </c>
      <c r="AM22" s="26">
        <f t="shared" ref="AM22" si="24">SUM(AM6:AM21)</f>
        <v>7</v>
      </c>
      <c r="AN22" s="25" t="e">
        <f>SUM(#REF!)</f>
        <v>#REF!</v>
      </c>
      <c r="AO22" s="49" t="s">
        <v>52</v>
      </c>
      <c r="AP22" s="27" t="s">
        <v>83</v>
      </c>
      <c r="AQ22" s="27" t="s">
        <v>125</v>
      </c>
      <c r="AR22" s="26">
        <f>SUM(AR6:AR21)</f>
        <v>329</v>
      </c>
      <c r="AS22" s="26">
        <f t="shared" ref="AS22" si="25">SUM(AS6:AS21)</f>
        <v>7511896</v>
      </c>
      <c r="AT22" s="26">
        <f t="shared" ref="AT22" si="26">SUM(AT6:AT21)</f>
        <v>1281467.2511616002</v>
      </c>
      <c r="AU22" s="26">
        <f t="shared" ref="AU22" si="27">SUM(AU6:AU21)</f>
        <v>1174666.0260880503</v>
      </c>
      <c r="AV22" s="26">
        <f t="shared" ref="AV22" si="28">SUM(AV6:AV21)</f>
        <v>106801.22507355009</v>
      </c>
      <c r="AW22" s="26">
        <f t="shared" ref="AW22" si="29">SUM(AW6:AW21)</f>
        <v>1875665.8810306997</v>
      </c>
      <c r="AX22" s="26">
        <f t="shared" ref="AX22" si="30">SUM(AX6:AX21)</f>
        <v>1952747.5774591097</v>
      </c>
      <c r="AY22" s="26">
        <f t="shared" ref="AY22" si="31">SUM(AY6:AY21)</f>
        <v>7</v>
      </c>
      <c r="AZ22" s="25" t="e">
        <f>SUM(#REF!)</f>
        <v>#REF!</v>
      </c>
      <c r="BA22" s="49" t="s">
        <v>52</v>
      </c>
      <c r="BB22" s="27" t="s">
        <v>83</v>
      </c>
      <c r="BC22" s="27" t="s">
        <v>125</v>
      </c>
      <c r="BD22" s="26">
        <f>SUM(BD6:BD21)</f>
        <v>329</v>
      </c>
      <c r="BE22" s="26">
        <f t="shared" ref="BE22" si="32">SUM(BE6:BE21)</f>
        <v>7606419</v>
      </c>
      <c r="BF22" s="26">
        <f t="shared" ref="BF22" si="33">SUM(BF6:BF21)</f>
        <v>980653.72735190974</v>
      </c>
      <c r="BG22" s="26">
        <f t="shared" ref="BG22" si="34">SUM(BG6:BG21)</f>
        <v>988633.56517079985</v>
      </c>
      <c r="BH22" s="26">
        <f t="shared" ref="BH22" si="35">SUM(BH6:BH21)</f>
        <v>-7979.8378188893439</v>
      </c>
      <c r="BI22" s="26">
        <f t="shared" ref="BI22" si="36">SUM(BI6:BI21)</f>
        <v>1871272.6140142502</v>
      </c>
      <c r="BJ22" s="26">
        <f>SUM(BJ6:BJ21)</f>
        <v>1942523.9301686299</v>
      </c>
      <c r="BK22" s="26">
        <f t="shared" ref="BK22" si="37">SUM(BK6:BK21)</f>
        <v>7</v>
      </c>
      <c r="BL22" s="25" t="e">
        <f>SUM(#REF!)</f>
        <v>#REF!</v>
      </c>
      <c r="BM22" s="49" t="s">
        <v>52</v>
      </c>
      <c r="BN22" s="27" t="s">
        <v>83</v>
      </c>
      <c r="BO22" s="27" t="s">
        <v>125</v>
      </c>
      <c r="BP22" s="26">
        <f>SUM(BP6:BP21)</f>
        <v>329</v>
      </c>
      <c r="BQ22" s="26">
        <f t="shared" ref="BQ22" si="38">SUM(BQ6:BQ21)</f>
        <v>7648344</v>
      </c>
      <c r="BR22" s="26">
        <f t="shared" ref="BR22" si="39">SUM(BR6:BR21)</f>
        <v>1200820.3499888997</v>
      </c>
      <c r="BS22" s="26">
        <f t="shared" ref="BS22" si="40">SUM(BS6:BS21)</f>
        <v>1302797.60589236</v>
      </c>
      <c r="BT22" s="26">
        <f t="shared" ref="BT22" si="41">SUM(BT6:BT21)</f>
        <v>-101977.25590346036</v>
      </c>
      <c r="BU22" s="26">
        <f t="shared" ref="BU22" si="42">SUM(BU6:BU21)</f>
        <v>1779828.1031838204</v>
      </c>
      <c r="BV22" s="26">
        <f>SUM(BV6:BV21)</f>
        <v>1901918.8155994799</v>
      </c>
      <c r="BW22" s="26">
        <f t="shared" ref="BW22" si="43">SUM(BW6:BW21)</f>
        <v>7</v>
      </c>
      <c r="BX22" s="25" t="e">
        <f>SUM(#REF!)</f>
        <v>#REF!</v>
      </c>
      <c r="BY22" s="49" t="s">
        <v>52</v>
      </c>
      <c r="BZ22" s="27" t="s">
        <v>83</v>
      </c>
      <c r="CA22" s="27" t="s">
        <v>125</v>
      </c>
      <c r="CB22" s="26">
        <f>SUM(CB6:CB21)</f>
        <v>329</v>
      </c>
      <c r="CC22" s="26">
        <f t="shared" ref="CC22" si="44">SUM(CC6:CC21)</f>
        <v>7780606</v>
      </c>
      <c r="CD22" s="26">
        <f t="shared" ref="CD22" si="45">SUM(CD6:CD21)</f>
        <v>1131299.7609691101</v>
      </c>
      <c r="CE22" s="26">
        <f t="shared" ref="CE22" si="46">SUM(CE6:CE21)</f>
        <v>971341.80556163017</v>
      </c>
      <c r="CF22" s="26">
        <f t="shared" ref="CF22" si="47">SUM(CF6:CF21)</f>
        <v>159957.95540747984</v>
      </c>
      <c r="CG22" s="26">
        <f t="shared" ref="CG22" si="48">SUM(CG6:CG21)</f>
        <v>1951436.1824414302</v>
      </c>
      <c r="CH22" s="26">
        <f>SUM(CH6:CH21)</f>
        <v>1943044.6247319703</v>
      </c>
      <c r="CI22" s="26">
        <f t="shared" ref="CI22" si="49">SUM(CI6:CI21)</f>
        <v>7</v>
      </c>
      <c r="CJ22" s="25" t="e">
        <f>SUM(#REF!)</f>
        <v>#REF!</v>
      </c>
      <c r="CK22" s="49" t="s">
        <v>52</v>
      </c>
      <c r="CL22" s="27" t="s">
        <v>83</v>
      </c>
      <c r="CM22" s="27" t="s">
        <v>125</v>
      </c>
      <c r="CN22" s="26">
        <f>SUM(CN6:CN21)</f>
        <v>331</v>
      </c>
      <c r="CO22" s="26">
        <f t="shared" ref="CO22" si="50">SUM(CO6:CO21)</f>
        <v>7926150</v>
      </c>
      <c r="CP22" s="26">
        <f t="shared" ref="CP22" si="51">SUM(CP6:CP21)</f>
        <v>923543.99149314966</v>
      </c>
      <c r="CQ22" s="26">
        <f t="shared" ref="CQ22" si="52">SUM(CQ6:CQ21)</f>
        <v>949236.62602089986</v>
      </c>
      <c r="CR22" s="26">
        <f t="shared" ref="CR22" si="53">SUM(CR6:CR21)</f>
        <v>-25692.634527750142</v>
      </c>
      <c r="CS22" s="26">
        <f t="shared" ref="CS22" si="54">SUM(CS6:CS21)</f>
        <v>1935535.7711031595</v>
      </c>
      <c r="CT22" s="26">
        <f>SUM(CT6:CT21)</f>
        <v>1981082.2173657899</v>
      </c>
      <c r="CU22" s="26">
        <f t="shared" ref="CU22" si="55">SUM(CU6:CU21)</f>
        <v>7</v>
      </c>
      <c r="CV22" s="25" t="e">
        <f>SUM(#REF!)</f>
        <v>#REF!</v>
      </c>
      <c r="CW22" s="49" t="s">
        <v>52</v>
      </c>
      <c r="CX22" s="27" t="s">
        <v>83</v>
      </c>
      <c r="CY22" s="27" t="s">
        <v>125</v>
      </c>
      <c r="CZ22" s="26">
        <f>SUM(CZ6:CZ21)</f>
        <v>332</v>
      </c>
      <c r="DA22" s="26">
        <f t="shared" ref="DA22" si="56">SUM(DA6:DA21)</f>
        <v>7995618</v>
      </c>
      <c r="DB22" s="26">
        <f t="shared" ref="DB22" si="57">SUM(DB6:DB21)</f>
        <v>1300870.43699489</v>
      </c>
      <c r="DC22" s="26">
        <f t="shared" ref="DC22" si="58">SUM(DC6:DC21)</f>
        <v>1433280.8108752898</v>
      </c>
      <c r="DD22" s="78">
        <f t="shared" ref="DD22" si="59">SUM(DD6:DD21)</f>
        <v>-132410.37388040009</v>
      </c>
      <c r="DE22" s="114">
        <f t="shared" ref="DE22" si="60">SUM(DE6:DE21)</f>
        <v>1809978.4558141797</v>
      </c>
      <c r="DF22" s="26">
        <f>SUM(DF6:DF21)</f>
        <v>1974986.0542700195</v>
      </c>
      <c r="DG22" s="26">
        <f t="shared" ref="DG22" si="61">SUM(DG6:DG21)</f>
        <v>7</v>
      </c>
      <c r="DH22" s="25" t="e">
        <f>SUM(#REF!)</f>
        <v>#REF!</v>
      </c>
      <c r="DI22" s="49" t="s">
        <v>52</v>
      </c>
      <c r="DJ22" s="89" t="s">
        <v>83</v>
      </c>
      <c r="DK22" s="89" t="s">
        <v>125</v>
      </c>
      <c r="DL22" s="26">
        <f>SUM(DL6:DL21)</f>
        <v>335</v>
      </c>
      <c r="DM22" s="26">
        <f t="shared" ref="DM22:DQ22" si="62">SUM(DM6:DM21)</f>
        <v>8065318</v>
      </c>
      <c r="DN22" s="26">
        <f t="shared" si="62"/>
        <v>1198502.6961680003</v>
      </c>
      <c r="DO22" s="26">
        <f t="shared" si="62"/>
        <v>1123675.5619525497</v>
      </c>
      <c r="DP22" s="78">
        <f t="shared" si="62"/>
        <v>74827.134215449958</v>
      </c>
      <c r="DQ22" s="114">
        <f t="shared" si="62"/>
        <v>1890273.2065818703</v>
      </c>
      <c r="DR22" s="26">
        <f>SUM(DR6:DR21)</f>
        <v>1927836.7883857805</v>
      </c>
      <c r="DS22" s="26">
        <f t="shared" ref="DS22" si="63">SUM(DS6:DS21)</f>
        <v>7</v>
      </c>
      <c r="DT22" s="25" t="e">
        <f>SUM(#REF!)</f>
        <v>#REF!</v>
      </c>
      <c r="DU22" s="49" t="s">
        <v>52</v>
      </c>
      <c r="DV22" s="136"/>
      <c r="DW22" s="137"/>
      <c r="DX22" s="49" t="s">
        <v>52</v>
      </c>
      <c r="DY22" s="136">
        <f t="shared" si="0"/>
        <v>-7.8691726643713211E-2</v>
      </c>
      <c r="DZ22" s="137">
        <f t="shared" si="1"/>
        <v>-1.5651153457435119</v>
      </c>
      <c r="EA22" s="138">
        <f t="shared" si="2"/>
        <v>-2.3873214589186544E-2</v>
      </c>
    </row>
    <row r="23" spans="1:131" x14ac:dyDescent="0.5">
      <c r="A23" s="52"/>
      <c r="B23" s="7" t="s">
        <v>83</v>
      </c>
      <c r="C23" s="56"/>
      <c r="D23" s="56"/>
      <c r="E23" s="49" t="s">
        <v>52</v>
      </c>
      <c r="F23" s="52"/>
      <c r="G23" s="7" t="s">
        <v>83</v>
      </c>
      <c r="H23" s="55"/>
      <c r="I23" s="55"/>
      <c r="J23" s="56"/>
      <c r="K23" s="56"/>
      <c r="L23" s="56"/>
      <c r="M23" s="56"/>
      <c r="N23" s="56"/>
      <c r="O23" s="55"/>
      <c r="P23" s="56"/>
      <c r="Q23" s="49" t="s">
        <v>52</v>
      </c>
      <c r="R23" s="52"/>
      <c r="S23" s="7" t="s">
        <v>83</v>
      </c>
      <c r="T23" s="55"/>
      <c r="U23" s="55"/>
      <c r="V23" s="56"/>
      <c r="W23" s="56"/>
      <c r="X23" s="56"/>
      <c r="Y23" s="56"/>
      <c r="Z23" s="56"/>
      <c r="AA23" s="55"/>
      <c r="AB23" s="56"/>
      <c r="AC23" s="49" t="s">
        <v>52</v>
      </c>
      <c r="AD23" s="52"/>
      <c r="AE23" s="7" t="s">
        <v>83</v>
      </c>
      <c r="AF23" s="55"/>
      <c r="AG23" s="55"/>
      <c r="AH23" s="56"/>
      <c r="AI23" s="56"/>
      <c r="AJ23" s="56"/>
      <c r="AK23" s="56"/>
      <c r="AL23" s="56"/>
      <c r="AM23" s="55"/>
      <c r="AN23" s="56"/>
      <c r="AO23" s="49" t="s">
        <v>52</v>
      </c>
      <c r="AP23" s="52"/>
      <c r="AQ23" s="7" t="s">
        <v>83</v>
      </c>
      <c r="AR23" s="55"/>
      <c r="AS23" s="55"/>
      <c r="AT23" s="56"/>
      <c r="AU23" s="56"/>
      <c r="AV23" s="56"/>
      <c r="AW23" s="56"/>
      <c r="AX23" s="56"/>
      <c r="AY23" s="55"/>
      <c r="AZ23" s="56"/>
      <c r="BA23" s="49" t="s">
        <v>52</v>
      </c>
      <c r="BB23" s="52"/>
      <c r="BC23" s="7" t="s">
        <v>83</v>
      </c>
      <c r="BD23" s="55"/>
      <c r="BE23" s="55"/>
      <c r="BF23" s="56"/>
      <c r="BG23" s="56"/>
      <c r="BH23" s="56"/>
      <c r="BI23" s="56"/>
      <c r="BJ23" s="56"/>
      <c r="BK23" s="55"/>
      <c r="BL23" s="56"/>
      <c r="BM23" s="49" t="s">
        <v>52</v>
      </c>
      <c r="BN23" s="57"/>
      <c r="BO23" s="7" t="s">
        <v>83</v>
      </c>
      <c r="BP23" s="55"/>
      <c r="BQ23" s="55"/>
      <c r="BR23" s="56"/>
      <c r="BS23" s="56"/>
      <c r="BT23" s="56"/>
      <c r="BU23" s="56"/>
      <c r="BV23" s="56"/>
      <c r="BW23" s="58"/>
      <c r="BX23" s="59"/>
      <c r="BY23" s="49" t="s">
        <v>52</v>
      </c>
      <c r="BZ23" s="57"/>
      <c r="CA23" s="7" t="s">
        <v>83</v>
      </c>
      <c r="CB23" s="55"/>
      <c r="CC23" s="55"/>
      <c r="CD23" s="56"/>
      <c r="CE23" s="56"/>
      <c r="CF23" s="56"/>
      <c r="CG23" s="56"/>
      <c r="CH23" s="56"/>
      <c r="CI23" s="58"/>
      <c r="CJ23" s="59"/>
      <c r="CK23" s="49" t="s">
        <v>52</v>
      </c>
      <c r="CL23" s="52"/>
      <c r="CM23" s="7" t="s">
        <v>83</v>
      </c>
      <c r="CN23" s="55"/>
      <c r="CO23" s="55"/>
      <c r="CP23" s="56"/>
      <c r="CQ23" s="56"/>
      <c r="CR23" s="56"/>
      <c r="CS23" s="56"/>
      <c r="CT23" s="56"/>
      <c r="CU23" s="58"/>
      <c r="CV23" s="56"/>
      <c r="CW23" s="49" t="s">
        <v>52</v>
      </c>
      <c r="CX23" s="52"/>
      <c r="CY23" s="7" t="s">
        <v>83</v>
      </c>
      <c r="CZ23" s="55"/>
      <c r="DA23" s="55"/>
      <c r="DB23" s="56"/>
      <c r="DC23" s="56"/>
      <c r="DD23" s="56"/>
      <c r="DE23" s="56"/>
      <c r="DF23" s="56"/>
      <c r="DG23" s="55"/>
      <c r="DH23" s="56"/>
      <c r="DI23" s="2" t="s">
        <v>52</v>
      </c>
      <c r="DJ23" s="84"/>
      <c r="DK23" s="90" t="s">
        <v>83</v>
      </c>
      <c r="DL23" s="83"/>
      <c r="DM23" s="83"/>
      <c r="DN23" s="84"/>
      <c r="DO23" s="84"/>
      <c r="DP23" s="84"/>
      <c r="DQ23" s="84"/>
      <c r="DR23" s="84"/>
      <c r="DS23" s="83"/>
      <c r="DT23" s="84"/>
      <c r="DU23" s="2" t="s">
        <v>52</v>
      </c>
      <c r="DV23" s="107"/>
      <c r="DW23" s="107"/>
      <c r="DX23" s="2" t="s">
        <v>52</v>
      </c>
      <c r="DY23" s="107" t="s">
        <v>52</v>
      </c>
      <c r="DZ23" s="107" t="s">
        <v>52</v>
      </c>
      <c r="EA23" s="110" t="s">
        <v>52</v>
      </c>
    </row>
    <row r="24" spans="1:131" x14ac:dyDescent="0.5">
      <c r="A24" s="50" t="s">
        <v>88</v>
      </c>
      <c r="B24" s="22" t="s">
        <v>87</v>
      </c>
      <c r="C24" s="56"/>
      <c r="D24" s="56"/>
      <c r="E24" s="49" t="s">
        <v>52</v>
      </c>
      <c r="F24" s="50" t="s">
        <v>88</v>
      </c>
      <c r="G24" s="22" t="s">
        <v>87</v>
      </c>
      <c r="H24" s="55"/>
      <c r="I24" s="55"/>
      <c r="J24" s="56"/>
      <c r="K24" s="56"/>
      <c r="L24" s="56"/>
      <c r="M24" s="56"/>
      <c r="N24" s="56"/>
      <c r="O24" s="55"/>
      <c r="P24" s="56"/>
      <c r="Q24" s="49" t="s">
        <v>52</v>
      </c>
      <c r="R24" s="50" t="s">
        <v>88</v>
      </c>
      <c r="S24" s="22" t="s">
        <v>87</v>
      </c>
      <c r="T24" s="55"/>
      <c r="U24" s="55"/>
      <c r="V24" s="56"/>
      <c r="W24" s="56"/>
      <c r="X24" s="56"/>
      <c r="Y24" s="56"/>
      <c r="Z24" s="56"/>
      <c r="AA24" s="55"/>
      <c r="AB24" s="56"/>
      <c r="AC24" s="49" t="s">
        <v>52</v>
      </c>
      <c r="AD24" s="50" t="s">
        <v>88</v>
      </c>
      <c r="AE24" s="22" t="s">
        <v>87</v>
      </c>
      <c r="AF24" s="55"/>
      <c r="AG24" s="55"/>
      <c r="AH24" s="56"/>
      <c r="AI24" s="56"/>
      <c r="AJ24" s="56"/>
      <c r="AK24" s="56"/>
      <c r="AL24" s="56"/>
      <c r="AM24" s="55"/>
      <c r="AN24" s="56"/>
      <c r="AO24" s="49" t="s">
        <v>52</v>
      </c>
      <c r="AP24" s="50" t="s">
        <v>88</v>
      </c>
      <c r="AQ24" s="22" t="s">
        <v>87</v>
      </c>
      <c r="AR24" s="55"/>
      <c r="AS24" s="55"/>
      <c r="AT24" s="56"/>
      <c r="AU24" s="56"/>
      <c r="AV24" s="56"/>
      <c r="AW24" s="56"/>
      <c r="AX24" s="56"/>
      <c r="AY24" s="55"/>
      <c r="AZ24" s="56"/>
      <c r="BA24" s="49" t="s">
        <v>52</v>
      </c>
      <c r="BB24" s="50" t="s">
        <v>88</v>
      </c>
      <c r="BC24" s="22" t="s">
        <v>87</v>
      </c>
      <c r="BD24" s="55"/>
      <c r="BE24" s="55"/>
      <c r="BF24" s="56"/>
      <c r="BG24" s="56"/>
      <c r="BH24" s="56"/>
      <c r="BI24" s="56"/>
      <c r="BJ24" s="56"/>
      <c r="BK24" s="55"/>
      <c r="BL24" s="56"/>
      <c r="BM24" s="49" t="s">
        <v>52</v>
      </c>
      <c r="BN24" s="51" t="s">
        <v>88</v>
      </c>
      <c r="BO24" s="22" t="s">
        <v>87</v>
      </c>
      <c r="BP24" s="55"/>
      <c r="BQ24" s="55"/>
      <c r="BR24" s="56"/>
      <c r="BS24" s="56"/>
      <c r="BT24" s="56"/>
      <c r="BU24" s="56"/>
      <c r="BV24" s="56"/>
      <c r="BW24" s="58"/>
      <c r="BX24" s="59"/>
      <c r="BY24" s="49" t="s">
        <v>52</v>
      </c>
      <c r="BZ24" s="51" t="s">
        <v>88</v>
      </c>
      <c r="CA24" s="22" t="s">
        <v>87</v>
      </c>
      <c r="CB24" s="55"/>
      <c r="CC24" s="55"/>
      <c r="CD24" s="56"/>
      <c r="CE24" s="56"/>
      <c r="CF24" s="56"/>
      <c r="CG24" s="56"/>
      <c r="CH24" s="56"/>
      <c r="CI24" s="58"/>
      <c r="CJ24" s="59"/>
      <c r="CK24" s="49" t="s">
        <v>52</v>
      </c>
      <c r="CL24" s="50" t="s">
        <v>88</v>
      </c>
      <c r="CM24" s="22" t="s">
        <v>87</v>
      </c>
      <c r="CN24" s="55"/>
      <c r="CO24" s="55"/>
      <c r="CP24" s="56"/>
      <c r="CQ24" s="56"/>
      <c r="CR24" s="56"/>
      <c r="CS24" s="56"/>
      <c r="CT24" s="56"/>
      <c r="CU24" s="58"/>
      <c r="CV24" s="56"/>
      <c r="CW24" s="49" t="s">
        <v>52</v>
      </c>
      <c r="CX24" s="50" t="s">
        <v>88</v>
      </c>
      <c r="CY24" s="22" t="s">
        <v>87</v>
      </c>
      <c r="CZ24" s="55"/>
      <c r="DA24" s="55"/>
      <c r="DB24" s="56"/>
      <c r="DC24" s="56"/>
      <c r="DD24" s="56"/>
      <c r="DE24" s="56"/>
      <c r="DF24" s="56"/>
      <c r="DG24" s="55"/>
      <c r="DH24" s="56"/>
      <c r="DI24" s="2" t="s">
        <v>52</v>
      </c>
      <c r="DJ24" s="80" t="s">
        <v>88</v>
      </c>
      <c r="DK24" s="82" t="s">
        <v>87</v>
      </c>
      <c r="DL24" s="83"/>
      <c r="DM24" s="83"/>
      <c r="DN24" s="84"/>
      <c r="DO24" s="84"/>
      <c r="DP24" s="84"/>
      <c r="DQ24" s="84"/>
      <c r="DR24" s="84"/>
      <c r="DS24" s="83"/>
      <c r="DT24" s="84"/>
      <c r="DU24" s="2" t="s">
        <v>52</v>
      </c>
      <c r="DV24" s="107"/>
      <c r="DW24" s="107"/>
      <c r="DX24" s="2" t="s">
        <v>52</v>
      </c>
      <c r="DY24" s="107" t="s">
        <v>52</v>
      </c>
      <c r="DZ24" s="107" t="s">
        <v>52</v>
      </c>
      <c r="EA24" s="110" t="s">
        <v>52</v>
      </c>
    </row>
    <row r="25" spans="1:131" x14ac:dyDescent="0.5">
      <c r="A25" s="17" t="s">
        <v>96</v>
      </c>
      <c r="B25" s="16" t="s">
        <v>36</v>
      </c>
      <c r="C25" s="21">
        <v>175724.35047094</v>
      </c>
      <c r="D25" s="21">
        <v>169398.90249618</v>
      </c>
      <c r="E25" s="49" t="s">
        <v>52</v>
      </c>
      <c r="F25" s="17" t="s">
        <v>96</v>
      </c>
      <c r="G25" s="16" t="s">
        <v>36</v>
      </c>
      <c r="H25" s="15">
        <v>30</v>
      </c>
      <c r="I25" s="15">
        <v>9635087</v>
      </c>
      <c r="J25" s="14">
        <v>4377.9626120100002</v>
      </c>
      <c r="K25" s="14">
        <v>1826.25458725</v>
      </c>
      <c r="L25" s="14">
        <v>2551.7080247600002</v>
      </c>
      <c r="M25" s="14">
        <v>183132.80950847999</v>
      </c>
      <c r="N25" s="14">
        <v>177702.64316186</v>
      </c>
      <c r="O25" s="15">
        <v>0</v>
      </c>
      <c r="P25" s="14">
        <v>0</v>
      </c>
      <c r="Q25" s="49" t="s">
        <v>52</v>
      </c>
      <c r="R25" s="17" t="s">
        <v>96</v>
      </c>
      <c r="S25" s="16" t="s">
        <v>36</v>
      </c>
      <c r="T25" s="15">
        <v>31</v>
      </c>
      <c r="U25" s="15">
        <v>9826483</v>
      </c>
      <c r="V25" s="14">
        <v>5240.1589551699999</v>
      </c>
      <c r="W25" s="14">
        <v>2240.87310144</v>
      </c>
      <c r="X25" s="14">
        <v>2999.2858537299999</v>
      </c>
      <c r="Y25" s="14">
        <v>195159.76381127999</v>
      </c>
      <c r="Z25" s="14">
        <v>188891.16962398001</v>
      </c>
      <c r="AA25" s="15">
        <v>0</v>
      </c>
      <c r="AB25" s="14">
        <v>0</v>
      </c>
      <c r="AC25" s="49" t="s">
        <v>52</v>
      </c>
      <c r="AD25" s="17" t="s">
        <v>96</v>
      </c>
      <c r="AE25" s="16" t="s">
        <v>36</v>
      </c>
      <c r="AF25" s="15">
        <v>31</v>
      </c>
      <c r="AG25" s="15">
        <v>10058599</v>
      </c>
      <c r="AH25" s="14">
        <v>4717.8981499600004</v>
      </c>
      <c r="AI25" s="14">
        <v>1923.6963438600001</v>
      </c>
      <c r="AJ25" s="14">
        <v>2794.2018060999999</v>
      </c>
      <c r="AK25" s="14">
        <v>204689.93958085001</v>
      </c>
      <c r="AL25" s="14">
        <v>199461.03524393</v>
      </c>
      <c r="AM25" s="15">
        <v>0</v>
      </c>
      <c r="AN25" s="14">
        <v>0</v>
      </c>
      <c r="AO25" s="49" t="s">
        <v>52</v>
      </c>
      <c r="AP25" s="17" t="s">
        <v>96</v>
      </c>
      <c r="AQ25" s="16" t="s">
        <v>36</v>
      </c>
      <c r="AR25" s="15">
        <v>32</v>
      </c>
      <c r="AS25" s="15">
        <v>10357646</v>
      </c>
      <c r="AT25" s="14">
        <v>5961.1286999900003</v>
      </c>
      <c r="AU25" s="14">
        <v>1970.2899973000001</v>
      </c>
      <c r="AV25" s="14">
        <v>3990.83870269</v>
      </c>
      <c r="AW25" s="14">
        <v>205281.88905942999</v>
      </c>
      <c r="AX25" s="14">
        <v>205917.39326473</v>
      </c>
      <c r="AY25" s="15">
        <v>0</v>
      </c>
      <c r="AZ25" s="14">
        <v>0</v>
      </c>
      <c r="BA25" s="49" t="s">
        <v>52</v>
      </c>
      <c r="BB25" s="17" t="s">
        <v>96</v>
      </c>
      <c r="BC25" s="16" t="s">
        <v>36</v>
      </c>
      <c r="BD25" s="15">
        <v>32</v>
      </c>
      <c r="BE25" s="15">
        <v>10582438</v>
      </c>
      <c r="BF25" s="14">
        <v>4812.7817037499999</v>
      </c>
      <c r="BG25" s="14">
        <v>1619.72674704</v>
      </c>
      <c r="BH25" s="14">
        <v>3193.0549567100002</v>
      </c>
      <c r="BI25" s="14">
        <v>205141.48457689999</v>
      </c>
      <c r="BJ25" s="14">
        <v>205535.81317129999</v>
      </c>
      <c r="BK25" s="15">
        <v>0</v>
      </c>
      <c r="BL25" s="14">
        <v>0</v>
      </c>
      <c r="BM25" s="49" t="s">
        <v>52</v>
      </c>
      <c r="BN25" s="20" t="s">
        <v>96</v>
      </c>
      <c r="BO25" s="16" t="s">
        <v>36</v>
      </c>
      <c r="BP25" s="15">
        <v>32</v>
      </c>
      <c r="BQ25" s="15">
        <v>10786468</v>
      </c>
      <c r="BR25" s="14">
        <v>5783.8014441300002</v>
      </c>
      <c r="BS25" s="14">
        <v>2224.2357436900002</v>
      </c>
      <c r="BT25" s="14">
        <v>3559.56570044</v>
      </c>
      <c r="BU25" s="14">
        <v>210368.98546468999</v>
      </c>
      <c r="BV25" s="14">
        <v>212137.46837496999</v>
      </c>
      <c r="BW25" s="18">
        <v>0</v>
      </c>
      <c r="BX25" s="19">
        <v>0</v>
      </c>
      <c r="BY25" s="49" t="s">
        <v>52</v>
      </c>
      <c r="BZ25" s="20" t="s">
        <v>96</v>
      </c>
      <c r="CA25" s="16" t="s">
        <v>36</v>
      </c>
      <c r="CB25" s="15">
        <v>32</v>
      </c>
      <c r="CC25" s="15">
        <v>10912552</v>
      </c>
      <c r="CD25" s="14">
        <v>4903.9411761399997</v>
      </c>
      <c r="CE25" s="14">
        <v>2403.50842212</v>
      </c>
      <c r="CF25" s="14">
        <v>2500.4327540200002</v>
      </c>
      <c r="CG25" s="14">
        <v>220254.62921996001</v>
      </c>
      <c r="CH25" s="14">
        <v>217508.31871895</v>
      </c>
      <c r="CI25" s="18">
        <v>0</v>
      </c>
      <c r="CJ25" s="19">
        <v>0</v>
      </c>
      <c r="CK25" s="49" t="s">
        <v>52</v>
      </c>
      <c r="CL25" s="17" t="s">
        <v>96</v>
      </c>
      <c r="CM25" s="16" t="s">
        <v>36</v>
      </c>
      <c r="CN25" s="15">
        <v>32</v>
      </c>
      <c r="CO25" s="15">
        <v>11066021</v>
      </c>
      <c r="CP25" s="14">
        <v>5011.8537811699898</v>
      </c>
      <c r="CQ25" s="14">
        <v>2549.0088110000002</v>
      </c>
      <c r="CR25" s="14">
        <v>2462.8449701699901</v>
      </c>
      <c r="CS25" s="14">
        <v>222749.02802932999</v>
      </c>
      <c r="CT25" s="14">
        <v>221497.61697059</v>
      </c>
      <c r="CU25" s="18">
        <v>0</v>
      </c>
      <c r="CV25" s="14">
        <v>0</v>
      </c>
      <c r="CW25" s="49" t="s">
        <v>52</v>
      </c>
      <c r="CX25" s="17" t="s">
        <v>96</v>
      </c>
      <c r="CY25" s="16" t="s">
        <v>36</v>
      </c>
      <c r="CZ25" s="15">
        <v>32</v>
      </c>
      <c r="DA25" s="15">
        <v>11173881</v>
      </c>
      <c r="DB25" s="14">
        <v>5163.28365373</v>
      </c>
      <c r="DC25" s="14">
        <v>2908.3303336899999</v>
      </c>
      <c r="DD25" s="14">
        <v>2254.9533200400001</v>
      </c>
      <c r="DE25" s="112">
        <v>223101.78758390999</v>
      </c>
      <c r="DF25" s="14">
        <v>221480.11918884999</v>
      </c>
      <c r="DG25" s="15">
        <v>0</v>
      </c>
      <c r="DH25" s="14">
        <v>0</v>
      </c>
      <c r="DI25" s="2" t="s">
        <v>52</v>
      </c>
      <c r="DJ25" s="85" t="s">
        <v>96</v>
      </c>
      <c r="DK25" s="86" t="s">
        <v>36</v>
      </c>
      <c r="DL25" s="87">
        <v>32</v>
      </c>
      <c r="DM25" s="87">
        <v>11272944</v>
      </c>
      <c r="DN25" s="88">
        <v>5043.0452627300001</v>
      </c>
      <c r="DO25" s="88">
        <v>3047.8131740499998</v>
      </c>
      <c r="DP25" s="88">
        <v>1995.2320886800001</v>
      </c>
      <c r="DQ25" s="111">
        <v>216445.38892108001</v>
      </c>
      <c r="DR25" s="88">
        <v>218817.57505424999</v>
      </c>
      <c r="DS25" s="87">
        <v>0</v>
      </c>
      <c r="DT25" s="88">
        <v>0</v>
      </c>
      <c r="DU25" s="2" t="s">
        <v>52</v>
      </c>
      <c r="DV25" s="136"/>
      <c r="DW25" s="137"/>
      <c r="DX25" s="2" t="s">
        <v>52</v>
      </c>
      <c r="DY25" s="136">
        <f t="shared" ref="DY25:DY36" si="64">(DN25-DB25)/DB25</f>
        <v>-2.3287194557505789E-2</v>
      </c>
      <c r="DZ25" s="137">
        <f t="shared" ref="DZ25:DZ36" si="65">(DP25-DD25)/DD25</f>
        <v>-0.11517809661593922</v>
      </c>
      <c r="EA25" s="138">
        <f t="shared" ref="EA25:EA36" si="66">(DR25-DF25)/DF25</f>
        <v>-1.2021594282824647E-2</v>
      </c>
    </row>
    <row r="26" spans="1:131" x14ac:dyDescent="0.5">
      <c r="A26" s="17" t="s">
        <v>95</v>
      </c>
      <c r="B26" s="16" t="s">
        <v>27</v>
      </c>
      <c r="C26" s="21">
        <v>359775.39060436003</v>
      </c>
      <c r="D26" s="21">
        <v>348889.45110200002</v>
      </c>
      <c r="E26" s="49" t="s">
        <v>52</v>
      </c>
      <c r="F26" s="17" t="s">
        <v>95</v>
      </c>
      <c r="G26" s="16" t="s">
        <v>27</v>
      </c>
      <c r="H26" s="15">
        <v>33</v>
      </c>
      <c r="I26" s="15">
        <v>16090916</v>
      </c>
      <c r="J26" s="14">
        <v>5891.4497738</v>
      </c>
      <c r="K26" s="14">
        <v>3219.9861349500002</v>
      </c>
      <c r="L26" s="14">
        <v>2671.4636388499998</v>
      </c>
      <c r="M26" s="14">
        <v>374519.71010755998</v>
      </c>
      <c r="N26" s="14">
        <v>361853.45959419</v>
      </c>
      <c r="O26" s="15">
        <v>0</v>
      </c>
      <c r="P26" s="14">
        <v>0</v>
      </c>
      <c r="Q26" s="49" t="s">
        <v>52</v>
      </c>
      <c r="R26" s="17" t="s">
        <v>95</v>
      </c>
      <c r="S26" s="16" t="s">
        <v>27</v>
      </c>
      <c r="T26" s="15">
        <v>33</v>
      </c>
      <c r="U26" s="15">
        <v>16175181</v>
      </c>
      <c r="V26" s="14">
        <v>5240.6990430100004</v>
      </c>
      <c r="W26" s="14">
        <v>3990.22480503</v>
      </c>
      <c r="X26" s="14">
        <v>1250.47423798</v>
      </c>
      <c r="Y26" s="14">
        <v>383666.58564228</v>
      </c>
      <c r="Z26" s="14">
        <v>380250.63119730999</v>
      </c>
      <c r="AA26" s="15">
        <v>0</v>
      </c>
      <c r="AB26" s="14">
        <v>0</v>
      </c>
      <c r="AC26" s="49" t="s">
        <v>52</v>
      </c>
      <c r="AD26" s="17" t="s">
        <v>95</v>
      </c>
      <c r="AE26" s="16" t="s">
        <v>27</v>
      </c>
      <c r="AF26" s="15">
        <v>33</v>
      </c>
      <c r="AG26" s="15">
        <v>16304538</v>
      </c>
      <c r="AH26" s="14">
        <v>5171.3407195199998</v>
      </c>
      <c r="AI26" s="14">
        <v>3477.0088753300001</v>
      </c>
      <c r="AJ26" s="14">
        <v>1694.3318441900001</v>
      </c>
      <c r="AK26" s="14">
        <v>397470.46665677999</v>
      </c>
      <c r="AL26" s="14">
        <v>389566.40510030999</v>
      </c>
      <c r="AM26" s="15">
        <v>0</v>
      </c>
      <c r="AN26" s="14">
        <v>0</v>
      </c>
      <c r="AO26" s="49" t="s">
        <v>52</v>
      </c>
      <c r="AP26" s="17" t="s">
        <v>95</v>
      </c>
      <c r="AQ26" s="16" t="s">
        <v>27</v>
      </c>
      <c r="AR26" s="15">
        <v>33</v>
      </c>
      <c r="AS26" s="15">
        <v>16444374</v>
      </c>
      <c r="AT26" s="14">
        <v>5503.6665759500002</v>
      </c>
      <c r="AU26" s="14">
        <v>3378.5763134899998</v>
      </c>
      <c r="AV26" s="14">
        <v>2125.0902624599998</v>
      </c>
      <c r="AW26" s="14">
        <v>391762.72899624001</v>
      </c>
      <c r="AX26" s="14">
        <v>394905.26883144001</v>
      </c>
      <c r="AY26" s="15">
        <v>0</v>
      </c>
      <c r="AZ26" s="14">
        <v>0</v>
      </c>
      <c r="BA26" s="49" t="s">
        <v>52</v>
      </c>
      <c r="BB26" s="17" t="s">
        <v>95</v>
      </c>
      <c r="BC26" s="16" t="s">
        <v>27</v>
      </c>
      <c r="BD26" s="15">
        <v>33</v>
      </c>
      <c r="BE26" s="15">
        <v>16539476</v>
      </c>
      <c r="BF26" s="14">
        <v>5475.3980843700001</v>
      </c>
      <c r="BG26" s="14">
        <v>2640.5166059200001</v>
      </c>
      <c r="BH26" s="14">
        <v>2834.88147845</v>
      </c>
      <c r="BI26" s="14">
        <v>389982.59098833002</v>
      </c>
      <c r="BJ26" s="14">
        <v>392379.06413369998</v>
      </c>
      <c r="BK26" s="15">
        <v>0</v>
      </c>
      <c r="BL26" s="14">
        <v>0</v>
      </c>
      <c r="BM26" s="49" t="s">
        <v>52</v>
      </c>
      <c r="BN26" s="20" t="s">
        <v>95</v>
      </c>
      <c r="BO26" s="16" t="s">
        <v>27</v>
      </c>
      <c r="BP26" s="15">
        <v>33</v>
      </c>
      <c r="BQ26" s="15">
        <v>16625122</v>
      </c>
      <c r="BR26" s="14">
        <v>5576.8187395100003</v>
      </c>
      <c r="BS26" s="14">
        <v>3257.7771446199999</v>
      </c>
      <c r="BT26" s="14">
        <v>2319.0415948899999</v>
      </c>
      <c r="BU26" s="14">
        <v>395093.32180022</v>
      </c>
      <c r="BV26" s="14">
        <v>399779.69459428999</v>
      </c>
      <c r="BW26" s="18">
        <v>0</v>
      </c>
      <c r="BX26" s="19">
        <v>0</v>
      </c>
      <c r="BY26" s="49" t="s">
        <v>52</v>
      </c>
      <c r="BZ26" s="20" t="s">
        <v>95</v>
      </c>
      <c r="CA26" s="16" t="s">
        <v>27</v>
      </c>
      <c r="CB26" s="15">
        <v>33</v>
      </c>
      <c r="CC26" s="15">
        <v>16696893</v>
      </c>
      <c r="CD26" s="14">
        <v>5293.2680017100001</v>
      </c>
      <c r="CE26" s="14">
        <v>4321.2960152599999</v>
      </c>
      <c r="CF26" s="14">
        <v>971.97198645000003</v>
      </c>
      <c r="CG26" s="14">
        <v>410156.51085413003</v>
      </c>
      <c r="CH26" s="14">
        <v>407307.68494173</v>
      </c>
      <c r="CI26" s="18">
        <v>0</v>
      </c>
      <c r="CJ26" s="19">
        <v>0</v>
      </c>
      <c r="CK26" s="49" t="s">
        <v>52</v>
      </c>
      <c r="CL26" s="17" t="s">
        <v>95</v>
      </c>
      <c r="CM26" s="16" t="s">
        <v>27</v>
      </c>
      <c r="CN26" s="15">
        <v>33</v>
      </c>
      <c r="CO26" s="15">
        <v>16796845</v>
      </c>
      <c r="CP26" s="14">
        <v>4942.35690729001</v>
      </c>
      <c r="CQ26" s="14">
        <v>3302.5522569300001</v>
      </c>
      <c r="CR26" s="14">
        <v>1639.8046503600101</v>
      </c>
      <c r="CS26" s="14">
        <v>418524.97741656</v>
      </c>
      <c r="CT26" s="14">
        <v>413988.87952448003</v>
      </c>
      <c r="CU26" s="18">
        <v>0</v>
      </c>
      <c r="CV26" s="14">
        <v>0</v>
      </c>
      <c r="CW26" s="49" t="s">
        <v>52</v>
      </c>
      <c r="CX26" s="17" t="s">
        <v>95</v>
      </c>
      <c r="CY26" s="16" t="s">
        <v>27</v>
      </c>
      <c r="CZ26" s="15">
        <v>33</v>
      </c>
      <c r="DA26" s="15">
        <v>16870064</v>
      </c>
      <c r="DB26" s="14">
        <v>5499.60241941</v>
      </c>
      <c r="DC26" s="14">
        <v>3932.1796229400002</v>
      </c>
      <c r="DD26" s="14">
        <v>1567.4227964700001</v>
      </c>
      <c r="DE26" s="112">
        <v>418726.65441258001</v>
      </c>
      <c r="DF26" s="14">
        <v>417491.57692109997</v>
      </c>
      <c r="DG26" s="15">
        <v>0</v>
      </c>
      <c r="DH26" s="14">
        <v>0</v>
      </c>
      <c r="DI26" s="2" t="s">
        <v>52</v>
      </c>
      <c r="DJ26" s="85" t="s">
        <v>95</v>
      </c>
      <c r="DK26" s="86" t="s">
        <v>27</v>
      </c>
      <c r="DL26" s="87">
        <v>33</v>
      </c>
      <c r="DM26" s="87">
        <v>16949451</v>
      </c>
      <c r="DN26" s="88">
        <v>5523.6290121700004</v>
      </c>
      <c r="DO26" s="88">
        <v>3518.65182964</v>
      </c>
      <c r="DP26" s="88">
        <v>2004.9771825299999</v>
      </c>
      <c r="DQ26" s="111">
        <v>408303.50130638003</v>
      </c>
      <c r="DR26" s="88">
        <v>413609.66550236999</v>
      </c>
      <c r="DS26" s="87">
        <v>0</v>
      </c>
      <c r="DT26" s="88">
        <v>0</v>
      </c>
      <c r="DU26" s="2" t="s">
        <v>52</v>
      </c>
      <c r="DV26" s="136"/>
      <c r="DW26" s="137"/>
      <c r="DX26" s="2" t="s">
        <v>52</v>
      </c>
      <c r="DY26" s="136">
        <f t="shared" si="64"/>
        <v>4.3687872190909935E-3</v>
      </c>
      <c r="DZ26" s="137">
        <f t="shared" si="65"/>
        <v>0.27915530324390969</v>
      </c>
      <c r="EA26" s="138">
        <f t="shared" si="66"/>
        <v>-9.2981790132345889E-3</v>
      </c>
    </row>
    <row r="27" spans="1:131" x14ac:dyDescent="0.5">
      <c r="A27" s="17" t="s">
        <v>100</v>
      </c>
      <c r="B27" s="16" t="s">
        <v>26</v>
      </c>
      <c r="C27" s="21">
        <v>263206.56330922002</v>
      </c>
      <c r="D27" s="21">
        <v>254637.14921192001</v>
      </c>
      <c r="E27" s="49" t="s">
        <v>52</v>
      </c>
      <c r="F27" s="17" t="s">
        <v>100</v>
      </c>
      <c r="G27" s="16" t="s">
        <v>26</v>
      </c>
      <c r="H27" s="15">
        <v>31</v>
      </c>
      <c r="I27" s="15">
        <v>11957644</v>
      </c>
      <c r="J27" s="14">
        <v>5485.4327591600004</v>
      </c>
      <c r="K27" s="14">
        <v>2933.3765659999999</v>
      </c>
      <c r="L27" s="14">
        <v>2552.05619316</v>
      </c>
      <c r="M27" s="14">
        <v>273258.42166549002</v>
      </c>
      <c r="N27" s="14">
        <v>265202.48406459001</v>
      </c>
      <c r="O27" s="15">
        <v>0</v>
      </c>
      <c r="P27" s="14">
        <v>0</v>
      </c>
      <c r="Q27" s="49" t="s">
        <v>52</v>
      </c>
      <c r="R27" s="17" t="s">
        <v>100</v>
      </c>
      <c r="S27" s="16" t="s">
        <v>26</v>
      </c>
      <c r="T27" s="15">
        <v>31</v>
      </c>
      <c r="U27" s="15">
        <v>12069826</v>
      </c>
      <c r="V27" s="14">
        <v>5352.7174770399997</v>
      </c>
      <c r="W27" s="14">
        <v>2662.0301056500002</v>
      </c>
      <c r="X27" s="14">
        <v>2690.68737139</v>
      </c>
      <c r="Y27" s="14">
        <v>287392.49950507999</v>
      </c>
      <c r="Z27" s="14">
        <v>280686.22047331999</v>
      </c>
      <c r="AA27" s="15">
        <v>0</v>
      </c>
      <c r="AB27" s="14">
        <v>0</v>
      </c>
      <c r="AC27" s="49" t="s">
        <v>52</v>
      </c>
      <c r="AD27" s="17" t="s">
        <v>100</v>
      </c>
      <c r="AE27" s="16" t="s">
        <v>26</v>
      </c>
      <c r="AF27" s="15">
        <v>32</v>
      </c>
      <c r="AG27" s="15">
        <v>12262237</v>
      </c>
      <c r="AH27" s="14">
        <v>5847.93548336</v>
      </c>
      <c r="AI27" s="14">
        <v>2351.0241513000001</v>
      </c>
      <c r="AJ27" s="14">
        <v>3496.9113320599999</v>
      </c>
      <c r="AK27" s="14">
        <v>302139.03351576999</v>
      </c>
      <c r="AL27" s="14">
        <v>294474.57736616</v>
      </c>
      <c r="AM27" s="15">
        <v>0</v>
      </c>
      <c r="AN27" s="14">
        <v>0</v>
      </c>
      <c r="AO27" s="49" t="s">
        <v>52</v>
      </c>
      <c r="AP27" s="17" t="s">
        <v>100</v>
      </c>
      <c r="AQ27" s="16" t="s">
        <v>26</v>
      </c>
      <c r="AR27" s="15">
        <v>33</v>
      </c>
      <c r="AS27" s="15">
        <v>12511660</v>
      </c>
      <c r="AT27" s="14">
        <v>7399.65698574</v>
      </c>
      <c r="AU27" s="14">
        <v>2364.9434188499999</v>
      </c>
      <c r="AV27" s="14">
        <v>5034.71356689</v>
      </c>
      <c r="AW27" s="14">
        <v>300972.11446238001</v>
      </c>
      <c r="AX27" s="14">
        <v>302807.7796291</v>
      </c>
      <c r="AY27" s="15">
        <v>0</v>
      </c>
      <c r="AZ27" s="14">
        <v>0</v>
      </c>
      <c r="BA27" s="49" t="s">
        <v>52</v>
      </c>
      <c r="BB27" s="17" t="s">
        <v>100</v>
      </c>
      <c r="BC27" s="16" t="s">
        <v>26</v>
      </c>
      <c r="BD27" s="15">
        <v>33</v>
      </c>
      <c r="BE27" s="15">
        <v>12691674</v>
      </c>
      <c r="BF27" s="14">
        <v>5501.95244344</v>
      </c>
      <c r="BG27" s="14">
        <v>2176.2950186899998</v>
      </c>
      <c r="BH27" s="14">
        <v>3325.6574247499998</v>
      </c>
      <c r="BI27" s="14">
        <v>299335.04848410998</v>
      </c>
      <c r="BJ27" s="14">
        <v>301161.32598046999</v>
      </c>
      <c r="BK27" s="15">
        <v>0</v>
      </c>
      <c r="BL27" s="14">
        <v>0</v>
      </c>
      <c r="BM27" s="49" t="s">
        <v>52</v>
      </c>
      <c r="BN27" s="20" t="s">
        <v>100</v>
      </c>
      <c r="BO27" s="16" t="s">
        <v>26</v>
      </c>
      <c r="BP27" s="15">
        <v>33</v>
      </c>
      <c r="BQ27" s="15">
        <v>12853471</v>
      </c>
      <c r="BR27" s="14">
        <v>6769.3997198300003</v>
      </c>
      <c r="BS27" s="14">
        <v>2964.2346178100001</v>
      </c>
      <c r="BT27" s="14">
        <v>3805.1651020200002</v>
      </c>
      <c r="BU27" s="14">
        <v>306903.34852112998</v>
      </c>
      <c r="BV27" s="14">
        <v>309862.40085752</v>
      </c>
      <c r="BW27" s="18">
        <v>0</v>
      </c>
      <c r="BX27" s="19">
        <v>0</v>
      </c>
      <c r="BY27" s="49" t="s">
        <v>52</v>
      </c>
      <c r="BZ27" s="20" t="s">
        <v>100</v>
      </c>
      <c r="CA27" s="16" t="s">
        <v>26</v>
      </c>
      <c r="CB27" s="15">
        <v>33</v>
      </c>
      <c r="CC27" s="15">
        <v>12989734</v>
      </c>
      <c r="CD27" s="14">
        <v>6037.2191524099999</v>
      </c>
      <c r="CE27" s="14">
        <v>2860.1506349699998</v>
      </c>
      <c r="CF27" s="14">
        <v>3177.0685174400001</v>
      </c>
      <c r="CG27" s="14">
        <v>322158.20918876003</v>
      </c>
      <c r="CH27" s="14">
        <v>317917.72289514</v>
      </c>
      <c r="CI27" s="18">
        <v>0</v>
      </c>
      <c r="CJ27" s="19">
        <v>0</v>
      </c>
      <c r="CK27" s="49" t="s">
        <v>52</v>
      </c>
      <c r="CL27" s="17" t="s">
        <v>100</v>
      </c>
      <c r="CM27" s="16" t="s">
        <v>26</v>
      </c>
      <c r="CN27" s="15">
        <v>33</v>
      </c>
      <c r="CO27" s="15">
        <v>13165462</v>
      </c>
      <c r="CP27" s="14">
        <v>6979.0164458099998</v>
      </c>
      <c r="CQ27" s="14">
        <v>2475.7016182000002</v>
      </c>
      <c r="CR27" s="14">
        <v>4503.3148276100001</v>
      </c>
      <c r="CS27" s="14">
        <v>329325.16180146002</v>
      </c>
      <c r="CT27" s="14">
        <v>325878.91120436997</v>
      </c>
      <c r="CU27" s="18">
        <v>0</v>
      </c>
      <c r="CV27" s="14">
        <v>0</v>
      </c>
      <c r="CW27" s="49" t="s">
        <v>52</v>
      </c>
      <c r="CX27" s="17" t="s">
        <v>100</v>
      </c>
      <c r="CY27" s="16" t="s">
        <v>26</v>
      </c>
      <c r="CZ27" s="15">
        <v>33</v>
      </c>
      <c r="DA27" s="15">
        <v>13297987</v>
      </c>
      <c r="DB27" s="14">
        <v>7079.1563496799999</v>
      </c>
      <c r="DC27" s="14">
        <v>2985.65040163</v>
      </c>
      <c r="DD27" s="14">
        <v>4093.5059480499999</v>
      </c>
      <c r="DE27" s="112">
        <v>331287.38093935</v>
      </c>
      <c r="DF27" s="14">
        <v>328384.33916913002</v>
      </c>
      <c r="DG27" s="15">
        <v>0</v>
      </c>
      <c r="DH27" s="14">
        <v>0</v>
      </c>
      <c r="DI27" s="2" t="s">
        <v>52</v>
      </c>
      <c r="DJ27" s="85" t="s">
        <v>100</v>
      </c>
      <c r="DK27" s="86" t="s">
        <v>26</v>
      </c>
      <c r="DL27" s="87">
        <v>33</v>
      </c>
      <c r="DM27" s="87">
        <v>13434952</v>
      </c>
      <c r="DN27" s="88">
        <v>6423.9104507100001</v>
      </c>
      <c r="DO27" s="88">
        <v>3242.0195594800002</v>
      </c>
      <c r="DP27" s="88">
        <v>3181.8908912299999</v>
      </c>
      <c r="DQ27" s="111">
        <v>324621.32522157999</v>
      </c>
      <c r="DR27" s="88">
        <v>327288.01528754999</v>
      </c>
      <c r="DS27" s="87">
        <v>0</v>
      </c>
      <c r="DT27" s="88">
        <v>0</v>
      </c>
      <c r="DU27" s="2" t="s">
        <v>52</v>
      </c>
      <c r="DV27" s="136"/>
      <c r="DW27" s="137"/>
      <c r="DX27" s="2" t="s">
        <v>52</v>
      </c>
      <c r="DY27" s="136">
        <f t="shared" si="64"/>
        <v>-9.2559885190220306E-2</v>
      </c>
      <c r="DZ27" s="137">
        <f t="shared" si="65"/>
        <v>-0.22269787033148467</v>
      </c>
      <c r="EA27" s="138">
        <f t="shared" si="66"/>
        <v>-3.3385388729374865E-3</v>
      </c>
    </row>
    <row r="28" spans="1:131" x14ac:dyDescent="0.5">
      <c r="A28" s="17" t="s">
        <v>99</v>
      </c>
      <c r="B28" s="16" t="s">
        <v>34</v>
      </c>
      <c r="C28" s="21">
        <v>368992.07599232998</v>
      </c>
      <c r="D28" s="21">
        <v>356671.84378477</v>
      </c>
      <c r="E28" s="49" t="s">
        <v>52</v>
      </c>
      <c r="F28" s="17" t="s">
        <v>99</v>
      </c>
      <c r="G28" s="16" t="s">
        <v>34</v>
      </c>
      <c r="H28" s="15">
        <v>30</v>
      </c>
      <c r="I28" s="15">
        <v>21310959</v>
      </c>
      <c r="J28" s="14">
        <v>6748.9694071900003</v>
      </c>
      <c r="K28" s="14">
        <v>3434.9938818800001</v>
      </c>
      <c r="L28" s="14">
        <v>3313.9755253100002</v>
      </c>
      <c r="M28" s="14">
        <v>383083.71355494001</v>
      </c>
      <c r="N28" s="14">
        <v>370097.35101233999</v>
      </c>
      <c r="O28" s="15">
        <v>0</v>
      </c>
      <c r="P28" s="14">
        <v>0</v>
      </c>
      <c r="Q28" s="49" t="s">
        <v>52</v>
      </c>
      <c r="R28" s="17" t="s">
        <v>99</v>
      </c>
      <c r="S28" s="16" t="s">
        <v>34</v>
      </c>
      <c r="T28" s="15">
        <v>30</v>
      </c>
      <c r="U28" s="15">
        <v>21538476</v>
      </c>
      <c r="V28" s="14">
        <v>6812.2398546200002</v>
      </c>
      <c r="W28" s="14">
        <v>4003.5601479500001</v>
      </c>
      <c r="X28" s="14">
        <v>2808.6797066700001</v>
      </c>
      <c r="Y28" s="14">
        <v>408092.68058066</v>
      </c>
      <c r="Z28" s="14">
        <v>395846.07139673998</v>
      </c>
      <c r="AA28" s="15">
        <v>0</v>
      </c>
      <c r="AB28" s="14">
        <v>0</v>
      </c>
      <c r="AC28" s="49" t="s">
        <v>52</v>
      </c>
      <c r="AD28" s="17" t="s">
        <v>99</v>
      </c>
      <c r="AE28" s="16" t="s">
        <v>34</v>
      </c>
      <c r="AF28" s="15">
        <v>30</v>
      </c>
      <c r="AG28" s="15">
        <v>22005565</v>
      </c>
      <c r="AH28" s="14">
        <v>7539.5286528899996</v>
      </c>
      <c r="AI28" s="14">
        <v>3785.1093197800001</v>
      </c>
      <c r="AJ28" s="14">
        <v>3754.41933311</v>
      </c>
      <c r="AK28" s="14">
        <v>431699.79269590997</v>
      </c>
      <c r="AL28" s="14">
        <v>419404.14019261999</v>
      </c>
      <c r="AM28" s="15">
        <v>0</v>
      </c>
      <c r="AN28" s="14">
        <v>0</v>
      </c>
      <c r="AO28" s="49" t="s">
        <v>52</v>
      </c>
      <c r="AP28" s="17" t="s">
        <v>99</v>
      </c>
      <c r="AQ28" s="16" t="s">
        <v>34</v>
      </c>
      <c r="AR28" s="15">
        <v>30</v>
      </c>
      <c r="AS28" s="15">
        <v>22564162</v>
      </c>
      <c r="AT28" s="14">
        <v>8711.4567251699991</v>
      </c>
      <c r="AU28" s="14">
        <v>3528.96650189</v>
      </c>
      <c r="AV28" s="14">
        <v>5182.4902232799996</v>
      </c>
      <c r="AW28" s="14">
        <v>428582.49916458002</v>
      </c>
      <c r="AX28" s="14">
        <v>431587.59212203999</v>
      </c>
      <c r="AY28" s="15">
        <v>0</v>
      </c>
      <c r="AZ28" s="14">
        <v>0</v>
      </c>
      <c r="BA28" s="49" t="s">
        <v>52</v>
      </c>
      <c r="BB28" s="17" t="s">
        <v>99</v>
      </c>
      <c r="BC28" s="16" t="s">
        <v>34</v>
      </c>
      <c r="BD28" s="15">
        <v>31</v>
      </c>
      <c r="BE28" s="15">
        <v>23000768</v>
      </c>
      <c r="BF28" s="14">
        <v>8288.3146876600003</v>
      </c>
      <c r="BG28" s="14">
        <v>2957.69018654</v>
      </c>
      <c r="BH28" s="14">
        <v>5330.6245011199999</v>
      </c>
      <c r="BI28" s="14">
        <v>426623.48378170998</v>
      </c>
      <c r="BJ28" s="14">
        <v>428719.13545035</v>
      </c>
      <c r="BK28" s="15">
        <v>0</v>
      </c>
      <c r="BL28" s="14">
        <v>0</v>
      </c>
      <c r="BM28" s="49" t="s">
        <v>52</v>
      </c>
      <c r="BN28" s="20" t="s">
        <v>99</v>
      </c>
      <c r="BO28" s="16" t="s">
        <v>34</v>
      </c>
      <c r="BP28" s="15">
        <v>31</v>
      </c>
      <c r="BQ28" s="15">
        <v>23343247</v>
      </c>
      <c r="BR28" s="14">
        <v>8793.4981886900005</v>
      </c>
      <c r="BS28" s="14">
        <v>3708.1023489200002</v>
      </c>
      <c r="BT28" s="14">
        <v>5085.3958397699998</v>
      </c>
      <c r="BU28" s="14">
        <v>433540.24533280003</v>
      </c>
      <c r="BV28" s="14">
        <v>439969.23713338998</v>
      </c>
      <c r="BW28" s="18">
        <v>0</v>
      </c>
      <c r="BX28" s="19">
        <v>0</v>
      </c>
      <c r="BY28" s="49" t="s">
        <v>52</v>
      </c>
      <c r="BZ28" s="20" t="s">
        <v>99</v>
      </c>
      <c r="CA28" s="16" t="s">
        <v>34</v>
      </c>
      <c r="CB28" s="15">
        <v>31</v>
      </c>
      <c r="CC28" s="15">
        <v>23535313</v>
      </c>
      <c r="CD28" s="14">
        <v>8169.02743156</v>
      </c>
      <c r="CE28" s="14">
        <v>4361.9155889800004</v>
      </c>
      <c r="CF28" s="14">
        <v>3807.11184257999</v>
      </c>
      <c r="CG28" s="14">
        <v>454606.48502828</v>
      </c>
      <c r="CH28" s="14">
        <v>449162.62106015999</v>
      </c>
      <c r="CI28" s="18">
        <v>0</v>
      </c>
      <c r="CJ28" s="19">
        <v>0</v>
      </c>
      <c r="CK28" s="49" t="s">
        <v>52</v>
      </c>
      <c r="CL28" s="17" t="s">
        <v>99</v>
      </c>
      <c r="CM28" s="16" t="s">
        <v>34</v>
      </c>
      <c r="CN28" s="15">
        <v>31</v>
      </c>
      <c r="CO28" s="15">
        <v>23815587</v>
      </c>
      <c r="CP28" s="14">
        <v>8226.1357146800001</v>
      </c>
      <c r="CQ28" s="14">
        <v>3739.2220962800002</v>
      </c>
      <c r="CR28" s="14">
        <v>4486.9136183999999</v>
      </c>
      <c r="CS28" s="14">
        <v>461830.87223760999</v>
      </c>
      <c r="CT28" s="14">
        <v>458447.93127768999</v>
      </c>
      <c r="CU28" s="18">
        <v>0</v>
      </c>
      <c r="CV28" s="14">
        <v>0</v>
      </c>
      <c r="CW28" s="49" t="s">
        <v>52</v>
      </c>
      <c r="CX28" s="17" t="s">
        <v>99</v>
      </c>
      <c r="CY28" s="16" t="s">
        <v>34</v>
      </c>
      <c r="CZ28" s="15">
        <v>31</v>
      </c>
      <c r="DA28" s="15">
        <v>23987318</v>
      </c>
      <c r="DB28" s="14">
        <v>9004.0088609499999</v>
      </c>
      <c r="DC28" s="14">
        <v>4828.2008386500002</v>
      </c>
      <c r="DD28" s="14">
        <v>4175.8080222999997</v>
      </c>
      <c r="DE28" s="112">
        <v>461271.22804333002</v>
      </c>
      <c r="DF28" s="14">
        <v>458515.51878928998</v>
      </c>
      <c r="DG28" s="15">
        <v>0</v>
      </c>
      <c r="DH28" s="14">
        <v>0</v>
      </c>
      <c r="DI28" s="2" t="s">
        <v>52</v>
      </c>
      <c r="DJ28" s="85" t="s">
        <v>99</v>
      </c>
      <c r="DK28" s="86" t="s">
        <v>34</v>
      </c>
      <c r="DL28" s="87">
        <v>31</v>
      </c>
      <c r="DM28" s="87">
        <v>24168250</v>
      </c>
      <c r="DN28" s="88">
        <v>8259.5798491900096</v>
      </c>
      <c r="DO28" s="88">
        <v>5074.1054307900004</v>
      </c>
      <c r="DP28" s="88">
        <v>3185.4744184000001</v>
      </c>
      <c r="DQ28" s="111">
        <v>449438.76302239002</v>
      </c>
      <c r="DR28" s="88">
        <v>454270.77133080998</v>
      </c>
      <c r="DS28" s="87">
        <v>0</v>
      </c>
      <c r="DT28" s="88">
        <v>0</v>
      </c>
      <c r="DU28" s="2" t="s">
        <v>52</v>
      </c>
      <c r="DV28" s="136"/>
      <c r="DW28" s="137"/>
      <c r="DX28" s="2" t="s">
        <v>52</v>
      </c>
      <c r="DY28" s="136">
        <f t="shared" si="64"/>
        <v>-8.2677507680889453E-2</v>
      </c>
      <c r="DZ28" s="137">
        <f t="shared" si="65"/>
        <v>-0.23715975413892046</v>
      </c>
      <c r="EA28" s="138">
        <f t="shared" si="66"/>
        <v>-9.2575873324598941E-3</v>
      </c>
    </row>
    <row r="29" spans="1:131" x14ac:dyDescent="0.5">
      <c r="A29" s="17" t="s">
        <v>115</v>
      </c>
      <c r="B29" s="16" t="s">
        <v>41</v>
      </c>
      <c r="C29" s="21">
        <v>295478.84401927999</v>
      </c>
      <c r="D29" s="21">
        <v>288473.48950492003</v>
      </c>
      <c r="E29" s="49" t="s">
        <v>52</v>
      </c>
      <c r="F29" s="17" t="s">
        <v>115</v>
      </c>
      <c r="G29" s="16" t="s">
        <v>41</v>
      </c>
      <c r="H29" s="15">
        <v>30</v>
      </c>
      <c r="I29" s="15">
        <v>25141474</v>
      </c>
      <c r="J29" s="14">
        <v>7017.9000491899997</v>
      </c>
      <c r="K29" s="14">
        <v>3017.9473179500001</v>
      </c>
      <c r="L29" s="14">
        <v>3999.95273124</v>
      </c>
      <c r="M29" s="14">
        <v>307168.10748578003</v>
      </c>
      <c r="N29" s="14">
        <v>302451.85784692998</v>
      </c>
      <c r="O29" s="15">
        <v>0</v>
      </c>
      <c r="P29" s="14">
        <v>0</v>
      </c>
      <c r="Q29" s="49" t="s">
        <v>52</v>
      </c>
      <c r="R29" s="17" t="s">
        <v>115</v>
      </c>
      <c r="S29" s="16" t="s">
        <v>41</v>
      </c>
      <c r="T29" s="15">
        <v>30</v>
      </c>
      <c r="U29" s="15">
        <v>25248991</v>
      </c>
      <c r="V29" s="14">
        <v>6754.21259852</v>
      </c>
      <c r="W29" s="14">
        <v>3540.0069503999998</v>
      </c>
      <c r="X29" s="14">
        <v>3214.2056481200002</v>
      </c>
      <c r="Y29" s="14">
        <v>336005.20806956</v>
      </c>
      <c r="Z29" s="14">
        <v>321670.43205941003</v>
      </c>
      <c r="AA29" s="15">
        <v>0</v>
      </c>
      <c r="AB29" s="14">
        <v>0</v>
      </c>
      <c r="AC29" s="49" t="s">
        <v>52</v>
      </c>
      <c r="AD29" s="17" t="s">
        <v>115</v>
      </c>
      <c r="AE29" s="16" t="s">
        <v>41</v>
      </c>
      <c r="AF29" s="15">
        <v>30</v>
      </c>
      <c r="AG29" s="15">
        <v>25614974</v>
      </c>
      <c r="AH29" s="14">
        <v>7426.633143</v>
      </c>
      <c r="AI29" s="14">
        <v>3402.1355472099999</v>
      </c>
      <c r="AJ29" s="14">
        <v>4024.4975957900001</v>
      </c>
      <c r="AK29" s="14">
        <v>354550.63244335999</v>
      </c>
      <c r="AL29" s="14">
        <v>344307.60395219002</v>
      </c>
      <c r="AM29" s="15">
        <v>0</v>
      </c>
      <c r="AN29" s="14">
        <v>0</v>
      </c>
      <c r="AO29" s="49" t="s">
        <v>52</v>
      </c>
      <c r="AP29" s="17" t="s">
        <v>115</v>
      </c>
      <c r="AQ29" s="16" t="s">
        <v>41</v>
      </c>
      <c r="AR29" s="15">
        <v>31</v>
      </c>
      <c r="AS29" s="15">
        <v>26255276</v>
      </c>
      <c r="AT29" s="14">
        <v>9776.2415903900001</v>
      </c>
      <c r="AU29" s="14">
        <v>3291.8128051399999</v>
      </c>
      <c r="AV29" s="14">
        <v>6484.4287852500001</v>
      </c>
      <c r="AW29" s="14">
        <v>355901.83822482999</v>
      </c>
      <c r="AX29" s="14">
        <v>358771.29939673998</v>
      </c>
      <c r="AY29" s="15">
        <v>0</v>
      </c>
      <c r="AZ29" s="14">
        <v>0</v>
      </c>
      <c r="BA29" s="49" t="s">
        <v>52</v>
      </c>
      <c r="BB29" s="17" t="s">
        <v>115</v>
      </c>
      <c r="BC29" s="16" t="s">
        <v>41</v>
      </c>
      <c r="BD29" s="15">
        <v>31</v>
      </c>
      <c r="BE29" s="15">
        <v>26635485</v>
      </c>
      <c r="BF29" s="14">
        <v>7619.2616988199998</v>
      </c>
      <c r="BG29" s="14">
        <v>2626.3521160599998</v>
      </c>
      <c r="BH29" s="14">
        <v>4992.9095827600004</v>
      </c>
      <c r="BI29" s="14">
        <v>350555.21389901999</v>
      </c>
      <c r="BJ29" s="14">
        <v>352644.66137703002</v>
      </c>
      <c r="BK29" s="15">
        <v>0</v>
      </c>
      <c r="BL29" s="14">
        <v>0</v>
      </c>
      <c r="BM29" s="49" t="s">
        <v>52</v>
      </c>
      <c r="BN29" s="20" t="s">
        <v>115</v>
      </c>
      <c r="BO29" s="16" t="s">
        <v>41</v>
      </c>
      <c r="BP29" s="15">
        <v>31</v>
      </c>
      <c r="BQ29" s="15">
        <v>26894961</v>
      </c>
      <c r="BR29" s="14">
        <v>8065.5209008299998</v>
      </c>
      <c r="BS29" s="14">
        <v>3702.60708264</v>
      </c>
      <c r="BT29" s="14">
        <v>4362.9138181899998</v>
      </c>
      <c r="BU29" s="14">
        <v>356740.74637454998</v>
      </c>
      <c r="BV29" s="14">
        <v>362741.69336218003</v>
      </c>
      <c r="BW29" s="18">
        <v>0</v>
      </c>
      <c r="BX29" s="19">
        <v>0</v>
      </c>
      <c r="BY29" s="49" t="s">
        <v>52</v>
      </c>
      <c r="BZ29" s="20" t="s">
        <v>115</v>
      </c>
      <c r="CA29" s="16" t="s">
        <v>41</v>
      </c>
      <c r="CB29" s="15">
        <v>31</v>
      </c>
      <c r="CC29" s="15">
        <v>27017320</v>
      </c>
      <c r="CD29" s="14">
        <v>7660.9878442299996</v>
      </c>
      <c r="CE29" s="14">
        <v>4184.9446508999999</v>
      </c>
      <c r="CF29" s="14">
        <v>3476.0431933300001</v>
      </c>
      <c r="CG29" s="14">
        <v>372362.30735458003</v>
      </c>
      <c r="CH29" s="14">
        <v>366798.06176138</v>
      </c>
      <c r="CI29" s="18">
        <v>0</v>
      </c>
      <c r="CJ29" s="19">
        <v>0</v>
      </c>
      <c r="CK29" s="49" t="s">
        <v>52</v>
      </c>
      <c r="CL29" s="17" t="s">
        <v>115</v>
      </c>
      <c r="CM29" s="16" t="s">
        <v>41</v>
      </c>
      <c r="CN29" s="15">
        <v>32</v>
      </c>
      <c r="CO29" s="15">
        <v>27263667</v>
      </c>
      <c r="CP29" s="14">
        <v>8106.9203662800001</v>
      </c>
      <c r="CQ29" s="14">
        <v>3700.0194108000001</v>
      </c>
      <c r="CR29" s="14">
        <v>4406.9009554800004</v>
      </c>
      <c r="CS29" s="14">
        <v>369881.91529044003</v>
      </c>
      <c r="CT29" s="14">
        <v>370912.88999204</v>
      </c>
      <c r="CU29" s="18">
        <v>0</v>
      </c>
      <c r="CV29" s="14">
        <v>0</v>
      </c>
      <c r="CW29" s="49" t="s">
        <v>52</v>
      </c>
      <c r="CX29" s="17" t="s">
        <v>115</v>
      </c>
      <c r="CY29" s="16" t="s">
        <v>41</v>
      </c>
      <c r="CZ29" s="15">
        <v>33</v>
      </c>
      <c r="DA29" s="15">
        <v>27335457</v>
      </c>
      <c r="DB29" s="14">
        <v>8396.0789903299992</v>
      </c>
      <c r="DC29" s="14">
        <v>4572.2551886700003</v>
      </c>
      <c r="DD29" s="14">
        <v>3823.8238016599998</v>
      </c>
      <c r="DE29" s="112">
        <v>369003.08614198002</v>
      </c>
      <c r="DF29" s="14">
        <v>366387.31932920997</v>
      </c>
      <c r="DG29" s="15">
        <v>0</v>
      </c>
      <c r="DH29" s="14">
        <v>0</v>
      </c>
      <c r="DI29" s="2" t="s">
        <v>52</v>
      </c>
      <c r="DJ29" s="85" t="s">
        <v>115</v>
      </c>
      <c r="DK29" s="86" t="s">
        <v>41</v>
      </c>
      <c r="DL29" s="87">
        <v>34</v>
      </c>
      <c r="DM29" s="87">
        <v>27471864</v>
      </c>
      <c r="DN29" s="88">
        <v>8133.4169414600001</v>
      </c>
      <c r="DO29" s="88">
        <v>5191.3054630899996</v>
      </c>
      <c r="DP29" s="88">
        <v>2942.11147837</v>
      </c>
      <c r="DQ29" s="111">
        <v>354789.97170459002</v>
      </c>
      <c r="DR29" s="88">
        <v>359055.59063466999</v>
      </c>
      <c r="DS29" s="87">
        <v>0</v>
      </c>
      <c r="DT29" s="88">
        <v>0</v>
      </c>
      <c r="DU29" s="2" t="s">
        <v>52</v>
      </c>
      <c r="DV29" s="136"/>
      <c r="DW29" s="137"/>
      <c r="DX29" s="2" t="s">
        <v>52</v>
      </c>
      <c r="DY29" s="136">
        <f t="shared" si="64"/>
        <v>-3.1283894443169771E-2</v>
      </c>
      <c r="DZ29" s="137">
        <f t="shared" si="65"/>
        <v>-0.23058393090895835</v>
      </c>
      <c r="EA29" s="138">
        <f t="shared" si="66"/>
        <v>-2.0010869120588217E-2</v>
      </c>
    </row>
    <row r="30" spans="1:131" x14ac:dyDescent="0.5">
      <c r="A30" s="17" t="s">
        <v>114</v>
      </c>
      <c r="B30" s="16" t="s">
        <v>13</v>
      </c>
      <c r="C30" s="21">
        <v>30588.927584910001</v>
      </c>
      <c r="D30" s="21">
        <v>29703.900167899999</v>
      </c>
      <c r="E30" s="49" t="s">
        <v>52</v>
      </c>
      <c r="F30" s="17" t="s">
        <v>114</v>
      </c>
      <c r="G30" s="16" t="s">
        <v>13</v>
      </c>
      <c r="H30" s="15">
        <v>10</v>
      </c>
      <c r="I30" s="15">
        <v>1200423</v>
      </c>
      <c r="J30" s="14">
        <v>374.6097972</v>
      </c>
      <c r="K30" s="14">
        <v>323.14180957000002</v>
      </c>
      <c r="L30" s="14">
        <v>51.467987630000003</v>
      </c>
      <c r="M30" s="14">
        <v>31332.911870340002</v>
      </c>
      <c r="N30" s="14">
        <v>30501.594969739999</v>
      </c>
      <c r="O30" s="15">
        <v>0</v>
      </c>
      <c r="P30" s="14">
        <v>0</v>
      </c>
      <c r="Q30" s="49" t="s">
        <v>52</v>
      </c>
      <c r="R30" s="17" t="s">
        <v>114</v>
      </c>
      <c r="S30" s="16" t="s">
        <v>13</v>
      </c>
      <c r="T30" s="15">
        <v>10</v>
      </c>
      <c r="U30" s="15">
        <v>1200267</v>
      </c>
      <c r="V30" s="14">
        <v>369.64900783000002</v>
      </c>
      <c r="W30" s="14">
        <v>390.46696899</v>
      </c>
      <c r="X30" s="14">
        <v>-20.817961159999999</v>
      </c>
      <c r="Y30" s="14">
        <v>32177.144297499999</v>
      </c>
      <c r="Z30" s="14">
        <v>31766.580217300001</v>
      </c>
      <c r="AA30" s="15">
        <v>0</v>
      </c>
      <c r="AB30" s="14">
        <v>0</v>
      </c>
      <c r="AC30" s="49" t="s">
        <v>52</v>
      </c>
      <c r="AD30" s="17" t="s">
        <v>114</v>
      </c>
      <c r="AE30" s="16" t="s">
        <v>13</v>
      </c>
      <c r="AF30" s="15">
        <v>10</v>
      </c>
      <c r="AG30" s="15">
        <v>1202199</v>
      </c>
      <c r="AH30" s="14">
        <v>385.37556016000002</v>
      </c>
      <c r="AI30" s="14">
        <v>339.82827553999999</v>
      </c>
      <c r="AJ30" s="14">
        <v>45.5472846199999</v>
      </c>
      <c r="AK30" s="14">
        <v>33161.754214530003</v>
      </c>
      <c r="AL30" s="14">
        <v>32586.64957052</v>
      </c>
      <c r="AM30" s="15">
        <v>0</v>
      </c>
      <c r="AN30" s="14">
        <v>0</v>
      </c>
      <c r="AO30" s="49" t="s">
        <v>52</v>
      </c>
      <c r="AP30" s="17" t="s">
        <v>114</v>
      </c>
      <c r="AQ30" s="16" t="s">
        <v>13</v>
      </c>
      <c r="AR30" s="15">
        <v>10</v>
      </c>
      <c r="AS30" s="15">
        <v>1204368</v>
      </c>
      <c r="AT30" s="14">
        <v>481.56155617000002</v>
      </c>
      <c r="AU30" s="14">
        <v>384.90880006999998</v>
      </c>
      <c r="AV30" s="14">
        <v>96.652756100000303</v>
      </c>
      <c r="AW30" s="14">
        <v>32558.583684220001</v>
      </c>
      <c r="AX30" s="14">
        <v>32991.976460899998</v>
      </c>
      <c r="AY30" s="15">
        <v>0</v>
      </c>
      <c r="AZ30" s="14">
        <v>0</v>
      </c>
      <c r="BA30" s="49" t="s">
        <v>52</v>
      </c>
      <c r="BB30" s="17" t="s">
        <v>114</v>
      </c>
      <c r="BC30" s="16" t="s">
        <v>13</v>
      </c>
      <c r="BD30" s="15">
        <v>10</v>
      </c>
      <c r="BE30" s="15">
        <v>1205305</v>
      </c>
      <c r="BF30" s="14">
        <v>301.51411218999999</v>
      </c>
      <c r="BG30" s="14">
        <v>476.20100411999999</v>
      </c>
      <c r="BH30" s="14">
        <v>-174.68689193</v>
      </c>
      <c r="BI30" s="14">
        <v>31985.923607839999</v>
      </c>
      <c r="BJ30" s="14">
        <v>32231.62898637</v>
      </c>
      <c r="BK30" s="15">
        <v>0</v>
      </c>
      <c r="BL30" s="14">
        <v>0</v>
      </c>
      <c r="BM30" s="49" t="s">
        <v>52</v>
      </c>
      <c r="BN30" s="20" t="s">
        <v>114</v>
      </c>
      <c r="BO30" s="16" t="s">
        <v>13</v>
      </c>
      <c r="BP30" s="15">
        <v>10</v>
      </c>
      <c r="BQ30" s="15">
        <v>1201716</v>
      </c>
      <c r="BR30" s="14">
        <v>437.84596011999997</v>
      </c>
      <c r="BS30" s="14">
        <v>605.62971496</v>
      </c>
      <c r="BT30" s="14">
        <v>-167.78375484</v>
      </c>
      <c r="BU30" s="14">
        <v>32240.979630369999</v>
      </c>
      <c r="BV30" s="14">
        <v>32554.17204279</v>
      </c>
      <c r="BW30" s="18">
        <v>0</v>
      </c>
      <c r="BX30" s="19">
        <v>0</v>
      </c>
      <c r="BY30" s="49" t="s">
        <v>52</v>
      </c>
      <c r="BZ30" s="20" t="s">
        <v>114</v>
      </c>
      <c r="CA30" s="16" t="s">
        <v>13</v>
      </c>
      <c r="CB30" s="15">
        <v>10</v>
      </c>
      <c r="CC30" s="15">
        <v>1194639</v>
      </c>
      <c r="CD30" s="14">
        <v>295.59052543000001</v>
      </c>
      <c r="CE30" s="14">
        <v>474.54709955999999</v>
      </c>
      <c r="CF30" s="14">
        <v>-178.95657413000001</v>
      </c>
      <c r="CG30" s="14">
        <v>33210.961779190002</v>
      </c>
      <c r="CH30" s="14">
        <v>32993.513052139999</v>
      </c>
      <c r="CI30" s="18">
        <v>0</v>
      </c>
      <c r="CJ30" s="19">
        <v>0</v>
      </c>
      <c r="CK30" s="49" t="s">
        <v>52</v>
      </c>
      <c r="CL30" s="17" t="s">
        <v>114</v>
      </c>
      <c r="CM30" s="16" t="s">
        <v>13</v>
      </c>
      <c r="CN30" s="15">
        <v>10</v>
      </c>
      <c r="CO30" s="15">
        <v>1190781</v>
      </c>
      <c r="CP30" s="14">
        <v>302.16430924999997</v>
      </c>
      <c r="CQ30" s="14">
        <v>579.90346933000001</v>
      </c>
      <c r="CR30" s="14">
        <v>-277.73916007999998</v>
      </c>
      <c r="CS30" s="14">
        <v>33075.760356979998</v>
      </c>
      <c r="CT30" s="14">
        <v>33066.854989090003</v>
      </c>
      <c r="CU30" s="18">
        <v>0</v>
      </c>
      <c r="CV30" s="14">
        <v>0</v>
      </c>
      <c r="CW30" s="49" t="s">
        <v>52</v>
      </c>
      <c r="CX30" s="17" t="s">
        <v>114</v>
      </c>
      <c r="CY30" s="16" t="s">
        <v>13</v>
      </c>
      <c r="CZ30" s="15">
        <v>10</v>
      </c>
      <c r="DA30" s="15">
        <v>1185004</v>
      </c>
      <c r="DB30" s="14">
        <v>299.86400206000002</v>
      </c>
      <c r="DC30" s="14">
        <v>554.18180820999896</v>
      </c>
      <c r="DD30" s="103">
        <v>-254.317806149999</v>
      </c>
      <c r="DE30" s="112">
        <v>32862.763684780002</v>
      </c>
      <c r="DF30" s="14">
        <v>32791.608159199997</v>
      </c>
      <c r="DG30" s="15">
        <v>0</v>
      </c>
      <c r="DH30" s="14">
        <v>0</v>
      </c>
      <c r="DI30" s="2" t="s">
        <v>52</v>
      </c>
      <c r="DJ30" s="85" t="s">
        <v>114</v>
      </c>
      <c r="DK30" s="86" t="s">
        <v>13</v>
      </c>
      <c r="DL30" s="87">
        <v>11</v>
      </c>
      <c r="DM30" s="87">
        <v>1202510</v>
      </c>
      <c r="DN30" s="88">
        <v>524.74233233999996</v>
      </c>
      <c r="DO30" s="88">
        <v>476.9138552</v>
      </c>
      <c r="DP30" s="104">
        <v>47.828477139999499</v>
      </c>
      <c r="DQ30" s="111">
        <v>32451.327946670001</v>
      </c>
      <c r="DR30" s="88">
        <v>32480.449078990001</v>
      </c>
      <c r="DS30" s="87">
        <v>0</v>
      </c>
      <c r="DT30" s="88">
        <v>0</v>
      </c>
      <c r="DU30" s="2" t="s">
        <v>52</v>
      </c>
      <c r="DV30" s="136"/>
      <c r="DW30" s="137"/>
      <c r="DX30" s="2" t="s">
        <v>52</v>
      </c>
      <c r="DY30" s="136">
        <f t="shared" si="64"/>
        <v>0.7499343993781683</v>
      </c>
      <c r="DZ30" s="137">
        <f t="shared" si="65"/>
        <v>-1.1880657821961149</v>
      </c>
      <c r="EA30" s="138">
        <f t="shared" si="66"/>
        <v>-9.4889850689648982E-3</v>
      </c>
    </row>
    <row r="31" spans="1:131" x14ac:dyDescent="0.5">
      <c r="A31" s="17" t="s">
        <v>124</v>
      </c>
      <c r="B31" s="16" t="s">
        <v>43</v>
      </c>
      <c r="C31" s="21">
        <v>183906.06511937999</v>
      </c>
      <c r="D31" s="21">
        <v>178490.5724868</v>
      </c>
      <c r="E31" s="49" t="s">
        <v>52</v>
      </c>
      <c r="F31" s="17" t="s">
        <v>124</v>
      </c>
      <c r="G31" s="16" t="s">
        <v>43</v>
      </c>
      <c r="H31" s="15">
        <v>24</v>
      </c>
      <c r="I31" s="15">
        <v>8307959</v>
      </c>
      <c r="J31" s="14">
        <v>2713.7137660200001</v>
      </c>
      <c r="K31" s="14">
        <v>1640.5000126</v>
      </c>
      <c r="L31" s="14">
        <v>1073.2137534200001</v>
      </c>
      <c r="M31" s="14">
        <v>190856.60220347001</v>
      </c>
      <c r="N31" s="14">
        <v>184757.14555628001</v>
      </c>
      <c r="O31" s="15">
        <v>0</v>
      </c>
      <c r="P31" s="14">
        <v>0</v>
      </c>
      <c r="Q31" s="49" t="s">
        <v>52</v>
      </c>
      <c r="R31" s="17" t="s">
        <v>124</v>
      </c>
      <c r="S31" s="16" t="s">
        <v>43</v>
      </c>
      <c r="T31" s="15">
        <v>24</v>
      </c>
      <c r="U31" s="15">
        <v>8368668</v>
      </c>
      <c r="V31" s="14">
        <v>2812.7100481100001</v>
      </c>
      <c r="W31" s="14">
        <v>2904.98957969</v>
      </c>
      <c r="X31" s="14">
        <v>-92.2795315799995</v>
      </c>
      <c r="Y31" s="14">
        <v>196339.39359886001</v>
      </c>
      <c r="Z31" s="14">
        <v>193702.93213011001</v>
      </c>
      <c r="AA31" s="15">
        <v>0</v>
      </c>
      <c r="AB31" s="14">
        <v>0</v>
      </c>
      <c r="AC31" s="49" t="s">
        <v>52</v>
      </c>
      <c r="AD31" s="17" t="s">
        <v>124</v>
      </c>
      <c r="AE31" s="16" t="s">
        <v>43</v>
      </c>
      <c r="AF31" s="15">
        <v>24</v>
      </c>
      <c r="AG31" s="15">
        <v>8450603</v>
      </c>
      <c r="AH31" s="14">
        <v>2803.5816528400001</v>
      </c>
      <c r="AI31" s="14">
        <v>1644.1425053299999</v>
      </c>
      <c r="AJ31" s="14">
        <v>1159.4391475100001</v>
      </c>
      <c r="AK31" s="14">
        <v>203756.28392223999</v>
      </c>
      <c r="AL31" s="14">
        <v>199511.25331412</v>
      </c>
      <c r="AM31" s="15">
        <v>0</v>
      </c>
      <c r="AN31" s="14">
        <v>0</v>
      </c>
      <c r="AO31" s="49" t="s">
        <v>52</v>
      </c>
      <c r="AP31" s="17" t="s">
        <v>124</v>
      </c>
      <c r="AQ31" s="16" t="s">
        <v>43</v>
      </c>
      <c r="AR31" s="15">
        <v>24</v>
      </c>
      <c r="AS31" s="15">
        <v>8547004</v>
      </c>
      <c r="AT31" s="14">
        <v>3135.2836849999999</v>
      </c>
      <c r="AU31" s="14">
        <v>1665.2760367599999</v>
      </c>
      <c r="AV31" s="14">
        <v>1470.00764824</v>
      </c>
      <c r="AW31" s="14">
        <v>201203.7874304</v>
      </c>
      <c r="AX31" s="14">
        <v>203431.47962057</v>
      </c>
      <c r="AY31" s="15">
        <v>0</v>
      </c>
      <c r="AZ31" s="14">
        <v>0</v>
      </c>
      <c r="BA31" s="49" t="s">
        <v>52</v>
      </c>
      <c r="BB31" s="17" t="s">
        <v>124</v>
      </c>
      <c r="BC31" s="16" t="s">
        <v>43</v>
      </c>
      <c r="BD31" s="15">
        <v>24</v>
      </c>
      <c r="BE31" s="15">
        <v>8612986</v>
      </c>
      <c r="BF31" s="14">
        <v>2576.5061277</v>
      </c>
      <c r="BG31" s="14">
        <v>1435.4749432399999</v>
      </c>
      <c r="BH31" s="14">
        <v>1141.0311844600001</v>
      </c>
      <c r="BI31" s="14">
        <v>198969.55748004999</v>
      </c>
      <c r="BJ31" s="14">
        <v>200275.62927067</v>
      </c>
      <c r="BK31" s="15">
        <v>0</v>
      </c>
      <c r="BL31" s="14">
        <v>0</v>
      </c>
      <c r="BM31" s="49" t="s">
        <v>52</v>
      </c>
      <c r="BN31" s="20" t="s">
        <v>124</v>
      </c>
      <c r="BO31" s="16" t="s">
        <v>43</v>
      </c>
      <c r="BP31" s="15">
        <v>25</v>
      </c>
      <c r="BQ31" s="15">
        <v>8785142</v>
      </c>
      <c r="BR31" s="14">
        <v>4033.7857802399999</v>
      </c>
      <c r="BS31" s="14">
        <v>1925.85475296</v>
      </c>
      <c r="BT31" s="14">
        <v>2107.9310272799999</v>
      </c>
      <c r="BU31" s="14">
        <v>204298.57642296</v>
      </c>
      <c r="BV31" s="14">
        <v>205770.81304821</v>
      </c>
      <c r="BW31" s="18">
        <v>0</v>
      </c>
      <c r="BX31" s="19">
        <v>0</v>
      </c>
      <c r="BY31" s="49" t="s">
        <v>52</v>
      </c>
      <c r="BZ31" s="20" t="s">
        <v>124</v>
      </c>
      <c r="CA31" s="16" t="s">
        <v>43</v>
      </c>
      <c r="CB31" s="15">
        <v>25</v>
      </c>
      <c r="CC31" s="15">
        <v>8788244</v>
      </c>
      <c r="CD31" s="14">
        <v>2590.6719140199998</v>
      </c>
      <c r="CE31" s="14">
        <v>2222.2821149199999</v>
      </c>
      <c r="CF31" s="14">
        <v>368.38979909999898</v>
      </c>
      <c r="CG31" s="14">
        <v>213021.3496557</v>
      </c>
      <c r="CH31" s="14">
        <v>210507.56854407999</v>
      </c>
      <c r="CI31" s="18">
        <v>0</v>
      </c>
      <c r="CJ31" s="19">
        <v>0</v>
      </c>
      <c r="CK31" s="49" t="s">
        <v>52</v>
      </c>
      <c r="CL31" s="17" t="s">
        <v>124</v>
      </c>
      <c r="CM31" s="16" t="s">
        <v>43</v>
      </c>
      <c r="CN31" s="15">
        <v>25</v>
      </c>
      <c r="CO31" s="15">
        <v>8830956</v>
      </c>
      <c r="CP31" s="14">
        <v>3215.1080496499999</v>
      </c>
      <c r="CQ31" s="14">
        <v>1995.66394969</v>
      </c>
      <c r="CR31" s="14">
        <v>1219.4440999599999</v>
      </c>
      <c r="CS31" s="14">
        <v>217555.4410851</v>
      </c>
      <c r="CT31" s="14">
        <v>215017.29110952999</v>
      </c>
      <c r="CU31" s="18">
        <v>0</v>
      </c>
      <c r="CV31" s="14">
        <v>0</v>
      </c>
      <c r="CW31" s="49" t="s">
        <v>52</v>
      </c>
      <c r="CX31" s="17" t="s">
        <v>124</v>
      </c>
      <c r="CY31" s="16" t="s">
        <v>43</v>
      </c>
      <c r="CZ31" s="15">
        <v>25</v>
      </c>
      <c r="DA31" s="15">
        <v>8857029</v>
      </c>
      <c r="DB31" s="14">
        <v>3444.8384782100002</v>
      </c>
      <c r="DC31" s="14">
        <v>2356.32817527</v>
      </c>
      <c r="DD31" s="14">
        <v>1088.51030294</v>
      </c>
      <c r="DE31" s="112">
        <v>219127.72184817999</v>
      </c>
      <c r="DF31" s="14">
        <v>217176.20433529999</v>
      </c>
      <c r="DG31" s="15">
        <v>0</v>
      </c>
      <c r="DH31" s="14">
        <v>0</v>
      </c>
      <c r="DI31" s="2" t="s">
        <v>52</v>
      </c>
      <c r="DJ31" s="85" t="s">
        <v>124</v>
      </c>
      <c r="DK31" s="86" t="s">
        <v>43</v>
      </c>
      <c r="DL31" s="87">
        <v>25</v>
      </c>
      <c r="DM31" s="87">
        <v>8885986</v>
      </c>
      <c r="DN31" s="88">
        <v>3054.7943743999999</v>
      </c>
      <c r="DO31" s="88">
        <v>2061.9068453499999</v>
      </c>
      <c r="DP31" s="88">
        <v>992.88752905000001</v>
      </c>
      <c r="DQ31" s="111">
        <v>214214.78468864999</v>
      </c>
      <c r="DR31" s="88">
        <v>215977.28429606999</v>
      </c>
      <c r="DS31" s="87">
        <v>0</v>
      </c>
      <c r="DT31" s="88">
        <v>0</v>
      </c>
      <c r="DU31" s="2" t="s">
        <v>52</v>
      </c>
      <c r="DV31" s="136"/>
      <c r="DW31" s="137"/>
      <c r="DX31" s="2" t="s">
        <v>52</v>
      </c>
      <c r="DY31" s="136">
        <f t="shared" si="64"/>
        <v>-0.11322565811929568</v>
      </c>
      <c r="DZ31" s="137">
        <f t="shared" si="65"/>
        <v>-8.7847376025498955E-2</v>
      </c>
      <c r="EA31" s="138">
        <f t="shared" si="66"/>
        <v>-5.5204944892534146E-3</v>
      </c>
    </row>
    <row r="32" spans="1:131" x14ac:dyDescent="0.5">
      <c r="A32" s="17" t="s">
        <v>123</v>
      </c>
      <c r="B32" s="16" t="s">
        <v>21</v>
      </c>
      <c r="C32" s="21">
        <v>144791.03750303001</v>
      </c>
      <c r="D32" s="21">
        <v>139975.77951952</v>
      </c>
      <c r="E32" s="49" t="s">
        <v>52</v>
      </c>
      <c r="F32" s="17" t="s">
        <v>123</v>
      </c>
      <c r="G32" s="16" t="s">
        <v>21</v>
      </c>
      <c r="H32" s="15">
        <v>28</v>
      </c>
      <c r="I32" s="15">
        <v>5233413</v>
      </c>
      <c r="J32" s="14">
        <v>2409.0274406600001</v>
      </c>
      <c r="K32" s="14">
        <v>1524.26992064</v>
      </c>
      <c r="L32" s="14">
        <v>884.75752002000002</v>
      </c>
      <c r="M32" s="14">
        <v>150223.04519614001</v>
      </c>
      <c r="N32" s="14">
        <v>145808.93101857</v>
      </c>
      <c r="O32" s="15">
        <v>0</v>
      </c>
      <c r="P32" s="14">
        <v>0</v>
      </c>
      <c r="Q32" s="49" t="s">
        <v>52</v>
      </c>
      <c r="R32" s="17" t="s">
        <v>123</v>
      </c>
      <c r="S32" s="16" t="s">
        <v>21</v>
      </c>
      <c r="T32" s="15">
        <v>28</v>
      </c>
      <c r="U32" s="15">
        <v>5246530</v>
      </c>
      <c r="V32" s="14">
        <v>2715.7807756299999</v>
      </c>
      <c r="W32" s="14">
        <v>1768.6016261300001</v>
      </c>
      <c r="X32" s="14">
        <v>947.17914949999999</v>
      </c>
      <c r="Y32" s="14">
        <v>155870.43706572001</v>
      </c>
      <c r="Z32" s="14">
        <v>153127.92285559</v>
      </c>
      <c r="AA32" s="15">
        <v>0</v>
      </c>
      <c r="AB32" s="14">
        <v>0</v>
      </c>
      <c r="AC32" s="49" t="s">
        <v>52</v>
      </c>
      <c r="AD32" s="17" t="s">
        <v>123</v>
      </c>
      <c r="AE32" s="16" t="s">
        <v>21</v>
      </c>
      <c r="AF32" s="15">
        <v>28</v>
      </c>
      <c r="AG32" s="15">
        <v>5270077</v>
      </c>
      <c r="AH32" s="14">
        <v>2338.9051508100001</v>
      </c>
      <c r="AI32" s="14">
        <v>1373.8587352899999</v>
      </c>
      <c r="AJ32" s="14">
        <v>965.04641551999998</v>
      </c>
      <c r="AK32" s="14">
        <v>162172.56565809</v>
      </c>
      <c r="AL32" s="14">
        <v>158520.26016676999</v>
      </c>
      <c r="AM32" s="15">
        <v>0</v>
      </c>
      <c r="AN32" s="14">
        <v>0</v>
      </c>
      <c r="AO32" s="49" t="s">
        <v>52</v>
      </c>
      <c r="AP32" s="17" t="s">
        <v>123</v>
      </c>
      <c r="AQ32" s="16" t="s">
        <v>21</v>
      </c>
      <c r="AR32" s="15">
        <v>28</v>
      </c>
      <c r="AS32" s="15">
        <v>5298700</v>
      </c>
      <c r="AT32" s="14">
        <v>2981.6852032400002</v>
      </c>
      <c r="AU32" s="14">
        <v>1375.7235318999999</v>
      </c>
      <c r="AV32" s="14">
        <v>1605.9616713400001</v>
      </c>
      <c r="AW32" s="14">
        <v>160567.17803635</v>
      </c>
      <c r="AX32" s="14">
        <v>161580.84632317</v>
      </c>
      <c r="AY32" s="15">
        <v>0</v>
      </c>
      <c r="AZ32" s="14">
        <v>0</v>
      </c>
      <c r="BA32" s="49" t="s">
        <v>52</v>
      </c>
      <c r="BB32" s="17" t="s">
        <v>123</v>
      </c>
      <c r="BC32" s="16" t="s">
        <v>21</v>
      </c>
      <c r="BD32" s="15">
        <v>28</v>
      </c>
      <c r="BE32" s="15">
        <v>5325168</v>
      </c>
      <c r="BF32" s="14">
        <v>2315.8984577400001</v>
      </c>
      <c r="BG32" s="14">
        <v>1160.7197008099999</v>
      </c>
      <c r="BH32" s="14">
        <v>1155.17875693</v>
      </c>
      <c r="BI32" s="14">
        <v>159952.07218752001</v>
      </c>
      <c r="BJ32" s="14">
        <v>160556.69104017</v>
      </c>
      <c r="BK32" s="15">
        <v>0</v>
      </c>
      <c r="BL32" s="14">
        <v>0</v>
      </c>
      <c r="BM32" s="49" t="s">
        <v>52</v>
      </c>
      <c r="BN32" s="20" t="s">
        <v>123</v>
      </c>
      <c r="BO32" s="16" t="s">
        <v>21</v>
      </c>
      <c r="BP32" s="15">
        <v>28</v>
      </c>
      <c r="BQ32" s="15">
        <v>5346169</v>
      </c>
      <c r="BR32" s="14">
        <v>2866.8032488200001</v>
      </c>
      <c r="BS32" s="14">
        <v>1459.57573342</v>
      </c>
      <c r="BT32" s="14">
        <v>1407.2275153999999</v>
      </c>
      <c r="BU32" s="14">
        <v>162968.75162739999</v>
      </c>
      <c r="BV32" s="14">
        <v>164734.31961487999</v>
      </c>
      <c r="BW32" s="18">
        <v>0</v>
      </c>
      <c r="BX32" s="19">
        <v>0</v>
      </c>
      <c r="BY32" s="49" t="s">
        <v>52</v>
      </c>
      <c r="BZ32" s="20" t="s">
        <v>123</v>
      </c>
      <c r="CA32" s="16" t="s">
        <v>21</v>
      </c>
      <c r="CB32" s="15">
        <v>28</v>
      </c>
      <c r="CC32" s="15">
        <v>5359834</v>
      </c>
      <c r="CD32" s="14">
        <v>2538.69326611</v>
      </c>
      <c r="CE32" s="14">
        <v>1599.63494681</v>
      </c>
      <c r="CF32" s="14">
        <v>939.05831929999999</v>
      </c>
      <c r="CG32" s="14">
        <v>170127.72426613999</v>
      </c>
      <c r="CH32" s="14">
        <v>168387.19951814</v>
      </c>
      <c r="CI32" s="18">
        <v>0</v>
      </c>
      <c r="CJ32" s="19">
        <v>0</v>
      </c>
      <c r="CK32" s="49" t="s">
        <v>52</v>
      </c>
      <c r="CL32" s="17" t="s">
        <v>123</v>
      </c>
      <c r="CM32" s="16" t="s">
        <v>21</v>
      </c>
      <c r="CN32" s="15">
        <v>28</v>
      </c>
      <c r="CO32" s="15">
        <v>5386533</v>
      </c>
      <c r="CP32" s="14">
        <v>3575.7647985399999</v>
      </c>
      <c r="CQ32" s="14">
        <v>1536.03010595</v>
      </c>
      <c r="CR32" s="14">
        <v>2039.7346925899999</v>
      </c>
      <c r="CS32" s="14">
        <v>174618.42302677999</v>
      </c>
      <c r="CT32" s="14">
        <v>172377.75740525001</v>
      </c>
      <c r="CU32" s="18">
        <v>0</v>
      </c>
      <c r="CV32" s="14">
        <v>0</v>
      </c>
      <c r="CW32" s="49" t="s">
        <v>52</v>
      </c>
      <c r="CX32" s="17" t="s">
        <v>123</v>
      </c>
      <c r="CY32" s="16" t="s">
        <v>21</v>
      </c>
      <c r="CZ32" s="15">
        <v>28</v>
      </c>
      <c r="DA32" s="15">
        <v>5415223</v>
      </c>
      <c r="DB32" s="14">
        <v>2720.2335842399998</v>
      </c>
      <c r="DC32" s="14">
        <v>1663.4088710399999</v>
      </c>
      <c r="DD32" s="14">
        <v>1056.8247131999999</v>
      </c>
      <c r="DE32" s="112">
        <v>174834.13304965</v>
      </c>
      <c r="DF32" s="14">
        <v>174196.74026538999</v>
      </c>
      <c r="DG32" s="15">
        <v>0</v>
      </c>
      <c r="DH32" s="14">
        <v>0</v>
      </c>
      <c r="DI32" s="2" t="s">
        <v>52</v>
      </c>
      <c r="DJ32" s="85" t="s">
        <v>123</v>
      </c>
      <c r="DK32" s="86" t="s">
        <v>21</v>
      </c>
      <c r="DL32" s="87">
        <v>28</v>
      </c>
      <c r="DM32" s="87">
        <v>5450285</v>
      </c>
      <c r="DN32" s="88">
        <v>3280.7989900900002</v>
      </c>
      <c r="DO32" s="88">
        <v>1723.8434718999999</v>
      </c>
      <c r="DP32" s="88">
        <v>1556.95551819</v>
      </c>
      <c r="DQ32" s="111">
        <v>171535.16248850999</v>
      </c>
      <c r="DR32" s="88">
        <v>173290.06214351</v>
      </c>
      <c r="DS32" s="87">
        <v>0</v>
      </c>
      <c r="DT32" s="88">
        <v>0</v>
      </c>
      <c r="DU32" s="2" t="s">
        <v>52</v>
      </c>
      <c r="DV32" s="136"/>
      <c r="DW32" s="137"/>
      <c r="DX32" s="2" t="s">
        <v>52</v>
      </c>
      <c r="DY32" s="136">
        <f t="shared" si="64"/>
        <v>0.20607252593957498</v>
      </c>
      <c r="DZ32" s="137">
        <f t="shared" si="65"/>
        <v>0.47323912730582818</v>
      </c>
      <c r="EA32" s="138">
        <f t="shared" si="66"/>
        <v>-5.2049086595917764E-3</v>
      </c>
    </row>
    <row r="33" spans="1:131" x14ac:dyDescent="0.5">
      <c r="A33" s="17" t="s">
        <v>122</v>
      </c>
      <c r="B33" s="16" t="s">
        <v>39</v>
      </c>
      <c r="C33" s="21">
        <v>455088.24022217997</v>
      </c>
      <c r="D33" s="21">
        <v>443499.83888355002</v>
      </c>
      <c r="E33" s="49" t="s">
        <v>52</v>
      </c>
      <c r="F33" s="17" t="s">
        <v>122</v>
      </c>
      <c r="G33" s="16" t="s">
        <v>39</v>
      </c>
      <c r="H33" s="15">
        <v>213</v>
      </c>
      <c r="I33" s="15">
        <v>30895904</v>
      </c>
      <c r="J33" s="14">
        <v>10060.0673804</v>
      </c>
      <c r="K33" s="14">
        <v>8059.1215501099996</v>
      </c>
      <c r="L33" s="14">
        <v>2000.94583029</v>
      </c>
      <c r="M33" s="14">
        <v>470339.04291386</v>
      </c>
      <c r="N33" s="14">
        <v>457166.11956761999</v>
      </c>
      <c r="O33" s="15">
        <v>0</v>
      </c>
      <c r="P33" s="14">
        <v>0</v>
      </c>
      <c r="Q33" s="49" t="s">
        <v>52</v>
      </c>
      <c r="R33" s="17" t="s">
        <v>122</v>
      </c>
      <c r="S33" s="16" t="s">
        <v>39</v>
      </c>
      <c r="T33" s="15">
        <v>215</v>
      </c>
      <c r="U33" s="15">
        <v>30982541</v>
      </c>
      <c r="V33" s="14">
        <v>10621.09657847</v>
      </c>
      <c r="W33" s="14">
        <v>8568.6121825999999</v>
      </c>
      <c r="X33" s="14">
        <v>2052.4843958699998</v>
      </c>
      <c r="Y33" s="14">
        <v>492403.80702026002</v>
      </c>
      <c r="Z33" s="14">
        <v>481284.63695180998</v>
      </c>
      <c r="AA33" s="15">
        <v>0</v>
      </c>
      <c r="AB33" s="14">
        <v>0</v>
      </c>
      <c r="AC33" s="49" t="s">
        <v>52</v>
      </c>
      <c r="AD33" s="17" t="s">
        <v>122</v>
      </c>
      <c r="AE33" s="16" t="s">
        <v>39</v>
      </c>
      <c r="AF33" s="15">
        <v>217</v>
      </c>
      <c r="AG33" s="15">
        <v>31140356</v>
      </c>
      <c r="AH33" s="14">
        <v>9633.7915697400003</v>
      </c>
      <c r="AI33" s="14">
        <v>9158.1857159499996</v>
      </c>
      <c r="AJ33" s="14">
        <v>475.605853789999</v>
      </c>
      <c r="AK33" s="14">
        <v>509344.82643616002</v>
      </c>
      <c r="AL33" s="14">
        <v>499575.10148151999</v>
      </c>
      <c r="AM33" s="15">
        <v>0</v>
      </c>
      <c r="AN33" s="14">
        <v>0</v>
      </c>
      <c r="AO33" s="49" t="s">
        <v>52</v>
      </c>
      <c r="AP33" s="17" t="s">
        <v>122</v>
      </c>
      <c r="AQ33" s="16" t="s">
        <v>39</v>
      </c>
      <c r="AR33" s="15">
        <v>224</v>
      </c>
      <c r="AS33" s="15">
        <v>31771659</v>
      </c>
      <c r="AT33" s="14">
        <v>18092.629433769998</v>
      </c>
      <c r="AU33" s="14">
        <v>8666.6032059099998</v>
      </c>
      <c r="AV33" s="14">
        <v>9426.0262278600003</v>
      </c>
      <c r="AW33" s="14">
        <v>509519.20849021</v>
      </c>
      <c r="AX33" s="14">
        <v>509953.74211766</v>
      </c>
      <c r="AY33" s="15">
        <v>0</v>
      </c>
      <c r="AZ33" s="14">
        <v>0</v>
      </c>
      <c r="BA33" s="49" t="s">
        <v>52</v>
      </c>
      <c r="BB33" s="17" t="s">
        <v>122</v>
      </c>
      <c r="BC33" s="16" t="s">
        <v>39</v>
      </c>
      <c r="BD33" s="15">
        <v>226</v>
      </c>
      <c r="BE33" s="15">
        <v>31939915</v>
      </c>
      <c r="BF33" s="14">
        <v>10929.155241779999</v>
      </c>
      <c r="BG33" s="14">
        <v>7035.9918498400002</v>
      </c>
      <c r="BH33" s="14">
        <v>3893.1633919400001</v>
      </c>
      <c r="BI33" s="14">
        <v>506571.70174574002</v>
      </c>
      <c r="BJ33" s="14">
        <v>508546.18455134</v>
      </c>
      <c r="BK33" s="15">
        <v>0</v>
      </c>
      <c r="BL33" s="14">
        <v>0</v>
      </c>
      <c r="BM33" s="49" t="s">
        <v>52</v>
      </c>
      <c r="BN33" s="20" t="s">
        <v>122</v>
      </c>
      <c r="BO33" s="16" t="s">
        <v>39</v>
      </c>
      <c r="BP33" s="15">
        <v>227</v>
      </c>
      <c r="BQ33" s="15">
        <v>31889078</v>
      </c>
      <c r="BR33" s="14">
        <v>11167.475479909999</v>
      </c>
      <c r="BS33" s="14">
        <v>9946.5845271500002</v>
      </c>
      <c r="BT33" s="14">
        <v>1220.8909527599999</v>
      </c>
      <c r="BU33" s="14">
        <v>513469.43603570003</v>
      </c>
      <c r="BV33" s="14">
        <v>520090.14626114001</v>
      </c>
      <c r="BW33" s="18">
        <v>0</v>
      </c>
      <c r="BX33" s="19">
        <v>0</v>
      </c>
      <c r="BY33" s="49" t="s">
        <v>52</v>
      </c>
      <c r="BZ33" s="20" t="s">
        <v>122</v>
      </c>
      <c r="CA33" s="16" t="s">
        <v>39</v>
      </c>
      <c r="CB33" s="15">
        <v>231</v>
      </c>
      <c r="CC33" s="15">
        <v>31811396</v>
      </c>
      <c r="CD33" s="14">
        <v>11776.9534215</v>
      </c>
      <c r="CE33" s="14">
        <v>10410.791826000001</v>
      </c>
      <c r="CF33" s="14">
        <v>1366.1615955</v>
      </c>
      <c r="CG33" s="14">
        <v>533830.68176430999</v>
      </c>
      <c r="CH33" s="14">
        <v>527588.94075028005</v>
      </c>
      <c r="CI33" s="18">
        <v>0</v>
      </c>
      <c r="CJ33" s="19">
        <v>0</v>
      </c>
      <c r="CK33" s="49" t="s">
        <v>52</v>
      </c>
      <c r="CL33" s="17" t="s">
        <v>122</v>
      </c>
      <c r="CM33" s="16" t="s">
        <v>39</v>
      </c>
      <c r="CN33" s="15">
        <v>235</v>
      </c>
      <c r="CO33" s="15">
        <v>31879923</v>
      </c>
      <c r="CP33" s="14">
        <v>10959.58849151</v>
      </c>
      <c r="CQ33" s="14">
        <v>9094.6007761500005</v>
      </c>
      <c r="CR33" s="14">
        <v>1864.98771535999</v>
      </c>
      <c r="CS33" s="14">
        <v>538180.28754315001</v>
      </c>
      <c r="CT33" s="14">
        <v>534941.46133474004</v>
      </c>
      <c r="CU33" s="18">
        <v>0</v>
      </c>
      <c r="CV33" s="14">
        <v>0</v>
      </c>
      <c r="CW33" s="49" t="s">
        <v>52</v>
      </c>
      <c r="CX33" s="17" t="s">
        <v>122</v>
      </c>
      <c r="CY33" s="16" t="s">
        <v>39</v>
      </c>
      <c r="CZ33" s="15">
        <v>238</v>
      </c>
      <c r="DA33" s="15">
        <v>31747483</v>
      </c>
      <c r="DB33" s="14">
        <v>11033.94346253</v>
      </c>
      <c r="DC33" s="14">
        <v>10087.95590252</v>
      </c>
      <c r="DD33" s="14">
        <v>945.98756001000595</v>
      </c>
      <c r="DE33" s="112">
        <v>537666.59754183004</v>
      </c>
      <c r="DF33" s="14">
        <v>535256.97107296996</v>
      </c>
      <c r="DG33" s="15">
        <v>0</v>
      </c>
      <c r="DH33" s="14">
        <v>0</v>
      </c>
      <c r="DI33" s="2" t="s">
        <v>52</v>
      </c>
      <c r="DJ33" s="85" t="s">
        <v>122</v>
      </c>
      <c r="DK33" s="86" t="s">
        <v>39</v>
      </c>
      <c r="DL33" s="87">
        <v>240</v>
      </c>
      <c r="DM33" s="87">
        <v>31681759</v>
      </c>
      <c r="DN33" s="88">
        <v>11116.92214208</v>
      </c>
      <c r="DO33" s="88">
        <v>10074.35754777</v>
      </c>
      <c r="DP33" s="88">
        <v>1042.5645943100001</v>
      </c>
      <c r="DQ33" s="111">
        <v>523743.15011643001</v>
      </c>
      <c r="DR33" s="88">
        <v>529376.93834588001</v>
      </c>
      <c r="DS33" s="87">
        <v>0</v>
      </c>
      <c r="DT33" s="88">
        <v>0</v>
      </c>
      <c r="DU33" s="2" t="s">
        <v>52</v>
      </c>
      <c r="DV33" s="136"/>
      <c r="DW33" s="137"/>
      <c r="DX33" s="2" t="s">
        <v>52</v>
      </c>
      <c r="DY33" s="136">
        <f t="shared" si="64"/>
        <v>7.520310379673995E-3</v>
      </c>
      <c r="DZ33" s="137">
        <f t="shared" si="65"/>
        <v>0.10209123077577532</v>
      </c>
      <c r="EA33" s="138">
        <f t="shared" si="66"/>
        <v>-1.0985438854356063E-2</v>
      </c>
    </row>
    <row r="34" spans="1:131" x14ac:dyDescent="0.5">
      <c r="A34" s="17" t="s">
        <v>121</v>
      </c>
      <c r="B34" s="16" t="s">
        <v>15</v>
      </c>
      <c r="C34" s="21">
        <v>232245.47352176</v>
      </c>
      <c r="D34" s="21">
        <v>225225.53399371001</v>
      </c>
      <c r="E34" s="49" t="s">
        <v>52</v>
      </c>
      <c r="F34" s="17" t="s">
        <v>121</v>
      </c>
      <c r="G34" s="16" t="s">
        <v>15</v>
      </c>
      <c r="H34" s="15">
        <v>43</v>
      </c>
      <c r="I34" s="15">
        <v>16974967</v>
      </c>
      <c r="J34" s="14">
        <v>1642.78456575</v>
      </c>
      <c r="K34" s="14">
        <v>2014.7841411300001</v>
      </c>
      <c r="L34" s="14">
        <v>-371.99957538000001</v>
      </c>
      <c r="M34" s="14">
        <v>239050.61797095</v>
      </c>
      <c r="N34" s="14">
        <v>232312.33257763999</v>
      </c>
      <c r="O34" s="15">
        <v>0</v>
      </c>
      <c r="P34" s="14">
        <v>0</v>
      </c>
      <c r="Q34" s="49" t="s">
        <v>52</v>
      </c>
      <c r="R34" s="17" t="s">
        <v>121</v>
      </c>
      <c r="S34" s="16" t="s">
        <v>15</v>
      </c>
      <c r="T34" s="15">
        <v>43</v>
      </c>
      <c r="U34" s="15">
        <v>16919934</v>
      </c>
      <c r="V34" s="14">
        <v>1443.58951561</v>
      </c>
      <c r="W34" s="14">
        <v>2121.6951973199998</v>
      </c>
      <c r="X34" s="14">
        <v>-678.10568171</v>
      </c>
      <c r="Y34" s="14">
        <v>246293.04875091999</v>
      </c>
      <c r="Z34" s="14">
        <v>242700.54945635001</v>
      </c>
      <c r="AA34" s="15">
        <v>0</v>
      </c>
      <c r="AB34" s="14">
        <v>0</v>
      </c>
      <c r="AC34" s="49" t="s">
        <v>52</v>
      </c>
      <c r="AD34" s="17" t="s">
        <v>121</v>
      </c>
      <c r="AE34" s="16" t="s">
        <v>15</v>
      </c>
      <c r="AF34" s="15">
        <v>43</v>
      </c>
      <c r="AG34" s="15">
        <v>16894182</v>
      </c>
      <c r="AH34" s="14">
        <v>1553.64328641</v>
      </c>
      <c r="AI34" s="14">
        <v>2109.7554039199999</v>
      </c>
      <c r="AJ34" s="14">
        <v>-556.11211750999996</v>
      </c>
      <c r="AK34" s="14">
        <v>253585.36145215001</v>
      </c>
      <c r="AL34" s="14">
        <v>249033.12964922001</v>
      </c>
      <c r="AM34" s="15">
        <v>0</v>
      </c>
      <c r="AN34" s="14">
        <v>0</v>
      </c>
      <c r="AO34" s="49" t="s">
        <v>52</v>
      </c>
      <c r="AP34" s="17" t="s">
        <v>121</v>
      </c>
      <c r="AQ34" s="16" t="s">
        <v>15</v>
      </c>
      <c r="AR34" s="15">
        <v>43</v>
      </c>
      <c r="AS34" s="15">
        <v>16873721</v>
      </c>
      <c r="AT34" s="14">
        <v>1662.7394610599999</v>
      </c>
      <c r="AU34" s="14">
        <v>2030.92329017</v>
      </c>
      <c r="AV34" s="14">
        <v>-368.18382910999901</v>
      </c>
      <c r="AW34" s="14">
        <v>248202.51751418001</v>
      </c>
      <c r="AX34" s="14">
        <v>251295.46809794</v>
      </c>
      <c r="AY34" s="15">
        <v>0</v>
      </c>
      <c r="AZ34" s="14">
        <v>0</v>
      </c>
      <c r="BA34" s="49" t="s">
        <v>52</v>
      </c>
      <c r="BB34" s="17" t="s">
        <v>121</v>
      </c>
      <c r="BC34" s="16" t="s">
        <v>15</v>
      </c>
      <c r="BD34" s="15">
        <v>43</v>
      </c>
      <c r="BE34" s="15">
        <v>16859956</v>
      </c>
      <c r="BF34" s="14">
        <v>1522.4070903899999</v>
      </c>
      <c r="BG34" s="14">
        <v>1463.2531401900001</v>
      </c>
      <c r="BH34" s="14">
        <v>59.153950199998697</v>
      </c>
      <c r="BI34" s="14">
        <v>243981.85512635999</v>
      </c>
      <c r="BJ34" s="14">
        <v>246466.97808492999</v>
      </c>
      <c r="BK34" s="15">
        <v>0</v>
      </c>
      <c r="BL34" s="14">
        <v>0</v>
      </c>
      <c r="BM34" s="49" t="s">
        <v>52</v>
      </c>
      <c r="BN34" s="20" t="s">
        <v>121</v>
      </c>
      <c r="BO34" s="16" t="s">
        <v>15</v>
      </c>
      <c r="BP34" s="15">
        <v>42</v>
      </c>
      <c r="BQ34" s="15">
        <v>16690290</v>
      </c>
      <c r="BR34" s="14">
        <v>1554.0614755500001</v>
      </c>
      <c r="BS34" s="14">
        <v>1861.9851456900001</v>
      </c>
      <c r="BT34" s="14">
        <v>-307.92367014000001</v>
      </c>
      <c r="BU34" s="14">
        <v>244774.58314408001</v>
      </c>
      <c r="BV34" s="14">
        <v>248332.09422743999</v>
      </c>
      <c r="BW34" s="18">
        <v>0</v>
      </c>
      <c r="BX34" s="19">
        <v>0</v>
      </c>
      <c r="BY34" s="49" t="s">
        <v>52</v>
      </c>
      <c r="BZ34" s="20" t="s">
        <v>121</v>
      </c>
      <c r="CA34" s="16" t="s">
        <v>15</v>
      </c>
      <c r="CB34" s="15">
        <v>42</v>
      </c>
      <c r="CC34" s="15">
        <v>16644818</v>
      </c>
      <c r="CD34" s="14">
        <v>1376.3036598799999</v>
      </c>
      <c r="CE34" s="14">
        <v>2041.9604413699999</v>
      </c>
      <c r="CF34" s="14">
        <v>-665.65678148999905</v>
      </c>
      <c r="CG34" s="14">
        <v>253264.08520251</v>
      </c>
      <c r="CH34" s="14">
        <v>251624.33816864999</v>
      </c>
      <c r="CI34" s="18">
        <v>0</v>
      </c>
      <c r="CJ34" s="19">
        <v>0</v>
      </c>
      <c r="CK34" s="49" t="s">
        <v>52</v>
      </c>
      <c r="CL34" s="17" t="s">
        <v>121</v>
      </c>
      <c r="CM34" s="16" t="s">
        <v>15</v>
      </c>
      <c r="CN34" s="15">
        <v>42</v>
      </c>
      <c r="CO34" s="15">
        <v>16604897</v>
      </c>
      <c r="CP34" s="14">
        <v>1337.4156421800001</v>
      </c>
      <c r="CQ34" s="14">
        <v>1907.5850813100001</v>
      </c>
      <c r="CR34" s="14">
        <v>-570.16943913000102</v>
      </c>
      <c r="CS34" s="14">
        <v>254888.1650797</v>
      </c>
      <c r="CT34" s="14">
        <v>253628.44893611001</v>
      </c>
      <c r="CU34" s="18">
        <v>0</v>
      </c>
      <c r="CV34" s="14">
        <v>0</v>
      </c>
      <c r="CW34" s="49" t="s">
        <v>52</v>
      </c>
      <c r="CX34" s="17" t="s">
        <v>121</v>
      </c>
      <c r="CY34" s="16" t="s">
        <v>15</v>
      </c>
      <c r="CZ34" s="15">
        <v>42</v>
      </c>
      <c r="DA34" s="15">
        <v>16556812</v>
      </c>
      <c r="DB34" s="14">
        <v>1431.58915486</v>
      </c>
      <c r="DC34" s="14">
        <v>2149.31924807</v>
      </c>
      <c r="DD34" s="14">
        <v>-717.73009320999904</v>
      </c>
      <c r="DE34" s="112">
        <v>252700.00898265</v>
      </c>
      <c r="DF34" s="14">
        <v>252252.97371014999</v>
      </c>
      <c r="DG34" s="15">
        <v>0</v>
      </c>
      <c r="DH34" s="14">
        <v>0</v>
      </c>
      <c r="DI34" s="2" t="s">
        <v>52</v>
      </c>
      <c r="DJ34" s="85" t="s">
        <v>121</v>
      </c>
      <c r="DK34" s="86" t="s">
        <v>15</v>
      </c>
      <c r="DL34" s="87">
        <v>41</v>
      </c>
      <c r="DM34" s="87">
        <v>16501822</v>
      </c>
      <c r="DN34" s="88">
        <v>1479.04627239</v>
      </c>
      <c r="DO34" s="88">
        <v>2072.7387766400002</v>
      </c>
      <c r="DP34" s="88">
        <v>-593.692504250002</v>
      </c>
      <c r="DQ34" s="111">
        <v>244287.63750869001</v>
      </c>
      <c r="DR34" s="88">
        <v>247617.18099026001</v>
      </c>
      <c r="DS34" s="87">
        <v>0</v>
      </c>
      <c r="DT34" s="88">
        <v>0</v>
      </c>
      <c r="DU34" s="2" t="s">
        <v>52</v>
      </c>
      <c r="DV34" s="136"/>
      <c r="DW34" s="137"/>
      <c r="DX34" s="2" t="s">
        <v>52</v>
      </c>
      <c r="DY34" s="136">
        <f t="shared" si="64"/>
        <v>3.3149956025366092E-2</v>
      </c>
      <c r="DZ34" s="137">
        <f t="shared" si="65"/>
        <v>-0.17281926748430926</v>
      </c>
      <c r="EA34" s="138">
        <f t="shared" si="66"/>
        <v>-1.8377554292845402E-2</v>
      </c>
    </row>
    <row r="35" spans="1:131" x14ac:dyDescent="0.5">
      <c r="A35" s="17" t="s">
        <v>120</v>
      </c>
      <c r="B35" s="16" t="s">
        <v>19</v>
      </c>
      <c r="C35" s="21">
        <v>435508.96836394002</v>
      </c>
      <c r="D35" s="21">
        <v>422113.97876527999</v>
      </c>
      <c r="E35" s="49" t="s">
        <v>52</v>
      </c>
      <c r="F35" s="17" t="s">
        <v>120</v>
      </c>
      <c r="G35" s="16" t="s">
        <v>19</v>
      </c>
      <c r="H35" s="15">
        <v>39</v>
      </c>
      <c r="I35" s="15">
        <v>18209314</v>
      </c>
      <c r="J35" s="14">
        <v>10026.302537359999</v>
      </c>
      <c r="K35" s="14">
        <v>4484.5884410299996</v>
      </c>
      <c r="L35" s="14">
        <v>5541.7140963299998</v>
      </c>
      <c r="M35" s="14">
        <v>454667.90722698002</v>
      </c>
      <c r="N35" s="14">
        <v>440289.91115334001</v>
      </c>
      <c r="O35" s="15">
        <v>0</v>
      </c>
      <c r="P35" s="14">
        <v>0</v>
      </c>
      <c r="Q35" s="49" t="s">
        <v>52</v>
      </c>
      <c r="R35" s="17" t="s">
        <v>120</v>
      </c>
      <c r="S35" s="16" t="s">
        <v>19</v>
      </c>
      <c r="T35" s="15">
        <v>39</v>
      </c>
      <c r="U35" s="15">
        <v>18510887</v>
      </c>
      <c r="V35" s="14">
        <v>9241.5931910500003</v>
      </c>
      <c r="W35" s="14">
        <v>5400.2710642599995</v>
      </c>
      <c r="X35" s="14">
        <v>3841.3221267899999</v>
      </c>
      <c r="Y35" s="14">
        <v>471974.47724047001</v>
      </c>
      <c r="Z35" s="14">
        <v>464765.75560953002</v>
      </c>
      <c r="AA35" s="15">
        <v>0</v>
      </c>
      <c r="AB35" s="14">
        <v>0</v>
      </c>
      <c r="AC35" s="49" t="s">
        <v>52</v>
      </c>
      <c r="AD35" s="17" t="s">
        <v>120</v>
      </c>
      <c r="AE35" s="16" t="s">
        <v>19</v>
      </c>
      <c r="AF35" s="15">
        <v>40</v>
      </c>
      <c r="AG35" s="15">
        <v>18938944</v>
      </c>
      <c r="AH35" s="14">
        <v>9525.6885205500002</v>
      </c>
      <c r="AI35" s="14">
        <v>3792.5288971</v>
      </c>
      <c r="AJ35" s="14">
        <v>5733.1596234500003</v>
      </c>
      <c r="AK35" s="14">
        <v>494278.82600007998</v>
      </c>
      <c r="AL35" s="14">
        <v>482665.22640117002</v>
      </c>
      <c r="AM35" s="15">
        <v>0</v>
      </c>
      <c r="AN35" s="14">
        <v>0</v>
      </c>
      <c r="AO35" s="49" t="s">
        <v>52</v>
      </c>
      <c r="AP35" s="17" t="s">
        <v>120</v>
      </c>
      <c r="AQ35" s="16" t="s">
        <v>19</v>
      </c>
      <c r="AR35" s="15">
        <v>40</v>
      </c>
      <c r="AS35" s="15">
        <v>19448661</v>
      </c>
      <c r="AT35" s="14">
        <v>11378.2289679</v>
      </c>
      <c r="AU35" s="14">
        <v>3723.9018924299999</v>
      </c>
      <c r="AV35" s="14">
        <v>7654.3270754699997</v>
      </c>
      <c r="AW35" s="14">
        <v>493229.47165585001</v>
      </c>
      <c r="AX35" s="14">
        <v>494656.51863463002</v>
      </c>
      <c r="AY35" s="15">
        <v>0</v>
      </c>
      <c r="AZ35" s="14">
        <v>0</v>
      </c>
      <c r="BA35" s="49" t="s">
        <v>52</v>
      </c>
      <c r="BB35" s="17" t="s">
        <v>120</v>
      </c>
      <c r="BC35" s="16" t="s">
        <v>19</v>
      </c>
      <c r="BD35" s="15">
        <v>41</v>
      </c>
      <c r="BE35" s="15">
        <v>19838017</v>
      </c>
      <c r="BF35" s="14">
        <v>11664.64107634</v>
      </c>
      <c r="BG35" s="14">
        <v>3985.2392961400001</v>
      </c>
      <c r="BH35" s="14">
        <v>7679.4017801999998</v>
      </c>
      <c r="BI35" s="14">
        <v>495445.67712889001</v>
      </c>
      <c r="BJ35" s="14">
        <v>497155.76409940002</v>
      </c>
      <c r="BK35" s="15">
        <v>0</v>
      </c>
      <c r="BL35" s="14">
        <v>0</v>
      </c>
      <c r="BM35" s="49" t="s">
        <v>52</v>
      </c>
      <c r="BN35" s="20" t="s">
        <v>120</v>
      </c>
      <c r="BO35" s="16" t="s">
        <v>19</v>
      </c>
      <c r="BP35" s="15">
        <v>41</v>
      </c>
      <c r="BQ35" s="15">
        <v>20206005</v>
      </c>
      <c r="BR35" s="14">
        <v>11354.99941807</v>
      </c>
      <c r="BS35" s="14">
        <v>4325.73725681</v>
      </c>
      <c r="BT35" s="14">
        <v>7029.2621612599996</v>
      </c>
      <c r="BU35" s="14">
        <v>507916.03085569001</v>
      </c>
      <c r="BV35" s="14">
        <v>512367.91943334998</v>
      </c>
      <c r="BW35" s="18">
        <v>0</v>
      </c>
      <c r="BX35" s="19">
        <v>0</v>
      </c>
      <c r="BY35" s="49" t="s">
        <v>52</v>
      </c>
      <c r="BZ35" s="20" t="s">
        <v>120</v>
      </c>
      <c r="CA35" s="16" t="s">
        <v>19</v>
      </c>
      <c r="CB35" s="15">
        <v>43</v>
      </c>
      <c r="CC35" s="15">
        <v>21182395</v>
      </c>
      <c r="CD35" s="14">
        <v>12968.500833849999</v>
      </c>
      <c r="CE35" s="14">
        <v>4039.7957858599998</v>
      </c>
      <c r="CF35" s="14">
        <v>8928.7050479900008</v>
      </c>
      <c r="CG35" s="14">
        <v>533756.16522278998</v>
      </c>
      <c r="CH35" s="14">
        <v>527143.34334101004</v>
      </c>
      <c r="CI35" s="18">
        <v>0</v>
      </c>
      <c r="CJ35" s="19">
        <v>0</v>
      </c>
      <c r="CK35" s="49" t="s">
        <v>52</v>
      </c>
      <c r="CL35" s="17" t="s">
        <v>120</v>
      </c>
      <c r="CM35" s="16" t="s">
        <v>19</v>
      </c>
      <c r="CN35" s="15">
        <v>43</v>
      </c>
      <c r="CO35" s="15">
        <v>21635346</v>
      </c>
      <c r="CP35" s="14">
        <v>11822.383030679999</v>
      </c>
      <c r="CQ35" s="14">
        <v>3687.3705479199998</v>
      </c>
      <c r="CR35" s="14">
        <v>8135.0124827600102</v>
      </c>
      <c r="CS35" s="14">
        <v>545189.58110011998</v>
      </c>
      <c r="CT35" s="14">
        <v>539124.73962521995</v>
      </c>
      <c r="CU35" s="18">
        <v>0</v>
      </c>
      <c r="CV35" s="14">
        <v>0</v>
      </c>
      <c r="CW35" s="49" t="s">
        <v>52</v>
      </c>
      <c r="CX35" s="17" t="s">
        <v>120</v>
      </c>
      <c r="CY35" s="16" t="s">
        <v>19</v>
      </c>
      <c r="CZ35" s="15">
        <v>44</v>
      </c>
      <c r="DA35" s="15">
        <v>22050009</v>
      </c>
      <c r="DB35" s="14">
        <v>14910.64979657</v>
      </c>
      <c r="DC35" s="14">
        <v>4891.3811242800002</v>
      </c>
      <c r="DD35" s="14">
        <v>10019.26867229</v>
      </c>
      <c r="DE35" s="112">
        <v>551962.16862502997</v>
      </c>
      <c r="DF35" s="14">
        <v>546559.61220010999</v>
      </c>
      <c r="DG35" s="15">
        <v>0</v>
      </c>
      <c r="DH35" s="14">
        <v>0</v>
      </c>
      <c r="DI35" s="2" t="s">
        <v>52</v>
      </c>
      <c r="DJ35" s="85" t="s">
        <v>120</v>
      </c>
      <c r="DK35" s="86" t="s">
        <v>19</v>
      </c>
      <c r="DL35" s="87">
        <v>44</v>
      </c>
      <c r="DM35" s="87">
        <v>22515391</v>
      </c>
      <c r="DN35" s="88">
        <v>12827.394836990001</v>
      </c>
      <c r="DO35" s="88">
        <v>5155.03481328</v>
      </c>
      <c r="DP35" s="88">
        <v>7672.36002371</v>
      </c>
      <c r="DQ35" s="111">
        <v>546946.61441014998</v>
      </c>
      <c r="DR35" s="88">
        <v>549566.70879199996</v>
      </c>
      <c r="DS35" s="87">
        <v>0</v>
      </c>
      <c r="DT35" s="88">
        <v>0</v>
      </c>
      <c r="DU35" s="2" t="s">
        <v>52</v>
      </c>
      <c r="DV35" s="136"/>
      <c r="DW35" s="137"/>
      <c r="DX35" s="2" t="s">
        <v>52</v>
      </c>
      <c r="DY35" s="136">
        <f t="shared" si="64"/>
        <v>-0.13971590695257458</v>
      </c>
      <c r="DZ35" s="137">
        <f t="shared" si="65"/>
        <v>-0.23423951641009258</v>
      </c>
      <c r="EA35" s="138">
        <f t="shared" si="66"/>
        <v>5.501863885963452E-3</v>
      </c>
    </row>
    <row r="36" spans="1:131" x14ac:dyDescent="0.5">
      <c r="A36" s="27" t="s">
        <v>83</v>
      </c>
      <c r="B36" s="27" t="s">
        <v>119</v>
      </c>
      <c r="C36" s="26">
        <f t="shared" ref="C36:D36" si="67">SUM(C25:C35)</f>
        <v>2945305.93671133</v>
      </c>
      <c r="D36" s="26">
        <f t="shared" si="67"/>
        <v>2857080.4399165497</v>
      </c>
      <c r="E36" s="49" t="s">
        <v>52</v>
      </c>
      <c r="F36" s="27" t="s">
        <v>83</v>
      </c>
      <c r="G36" s="27" t="s">
        <v>119</v>
      </c>
      <c r="H36" s="26">
        <f t="shared" ref="H36" si="68">SUM(H25:H35)</f>
        <v>511</v>
      </c>
      <c r="I36" s="26">
        <f t="shared" ref="I36" si="69">SUM(I25:I35)</f>
        <v>164958060</v>
      </c>
      <c r="J36" s="26">
        <f t="shared" ref="J36" si="70">SUM(J25:J35)</f>
        <v>56748.220088739996</v>
      </c>
      <c r="K36" s="26">
        <f t="shared" ref="K36" si="71">SUM(K25:K35)</f>
        <v>32478.964363109993</v>
      </c>
      <c r="L36" s="26">
        <f t="shared" ref="L36" si="72">SUM(L25:L35)</f>
        <v>24269.255725629999</v>
      </c>
      <c r="M36" s="26">
        <f t="shared" ref="M36" si="73">SUM(M25:M35)</f>
        <v>3057632.8897039904</v>
      </c>
      <c r="N36" s="26">
        <f t="shared" ref="N36" si="74">SUM(N25:N35)</f>
        <v>2968143.8305230998</v>
      </c>
      <c r="O36" s="26">
        <f t="shared" ref="O36:P36" si="75">SUM(O25:O35)</f>
        <v>0</v>
      </c>
      <c r="P36" s="26">
        <f t="shared" si="75"/>
        <v>0</v>
      </c>
      <c r="Q36" s="49" t="s">
        <v>52</v>
      </c>
      <c r="R36" s="27" t="s">
        <v>83</v>
      </c>
      <c r="S36" s="27" t="s">
        <v>119</v>
      </c>
      <c r="T36" s="26">
        <f t="shared" ref="T36" si="76">SUM(T25:T35)</f>
        <v>514</v>
      </c>
      <c r="U36" s="26">
        <f t="shared" ref="U36" si="77">SUM(U25:U35)</f>
        <v>166087784</v>
      </c>
      <c r="V36" s="26">
        <f t="shared" ref="V36" si="78">SUM(V25:V35)</f>
        <v>56604.447045060006</v>
      </c>
      <c r="W36" s="26">
        <f t="shared" ref="W36" si="79">SUM(W25:W35)</f>
        <v>37591.331729459998</v>
      </c>
      <c r="X36" s="26">
        <f t="shared" ref="X36" si="80">SUM(X25:X35)</f>
        <v>19013.1153156</v>
      </c>
      <c r="Y36" s="26">
        <f t="shared" ref="Y36" si="81">SUM(Y25:Y35)</f>
        <v>3205375.0455825897</v>
      </c>
      <c r="Z36" s="26">
        <f t="shared" ref="Z36" si="82">SUM(Z25:Z35)</f>
        <v>3134692.9019714501</v>
      </c>
      <c r="AA36" s="26">
        <f t="shared" ref="AA36:AB36" si="83">SUM(AA25:AA35)</f>
        <v>0</v>
      </c>
      <c r="AB36" s="26">
        <f t="shared" si="83"/>
        <v>0</v>
      </c>
      <c r="AC36" s="49" t="s">
        <v>52</v>
      </c>
      <c r="AD36" s="27" t="s">
        <v>83</v>
      </c>
      <c r="AE36" s="27" t="s">
        <v>119</v>
      </c>
      <c r="AF36" s="26">
        <f t="shared" ref="AF36" si="84">SUM(AF25:AF35)</f>
        <v>518</v>
      </c>
      <c r="AG36" s="26">
        <f t="shared" ref="AG36" si="85">SUM(AG25:AG35)</f>
        <v>168142274</v>
      </c>
      <c r="AH36" s="26">
        <f t="shared" ref="AH36" si="86">SUM(AH25:AH35)</f>
        <v>56944.321889240004</v>
      </c>
      <c r="AI36" s="26">
        <f t="shared" ref="AI36" si="87">SUM(AI25:AI35)</f>
        <v>33357.273770610002</v>
      </c>
      <c r="AJ36" s="26">
        <f t="shared" ref="AJ36" si="88">SUM(AJ25:AJ35)</f>
        <v>23587.048118629995</v>
      </c>
      <c r="AK36" s="26">
        <f t="shared" ref="AK36" si="89">SUM(AK25:AK35)</f>
        <v>3346849.4825759199</v>
      </c>
      <c r="AL36" s="26">
        <f t="shared" ref="AL36" si="90">SUM(AL25:AL35)</f>
        <v>3269105.3824385302</v>
      </c>
      <c r="AM36" s="26">
        <f t="shared" ref="AM36:AN36" si="91">SUM(AM25:AM35)</f>
        <v>0</v>
      </c>
      <c r="AN36" s="26">
        <f t="shared" si="91"/>
        <v>0</v>
      </c>
      <c r="AO36" s="49" t="s">
        <v>52</v>
      </c>
      <c r="AP36" s="27" t="s">
        <v>83</v>
      </c>
      <c r="AQ36" s="27" t="s">
        <v>119</v>
      </c>
      <c r="AR36" s="26">
        <f t="shared" ref="AR36" si="92">SUM(AR25:AR35)</f>
        <v>528</v>
      </c>
      <c r="AS36" s="26">
        <f t="shared" ref="AS36" si="93">SUM(AS25:AS35)</f>
        <v>171277231</v>
      </c>
      <c r="AT36" s="26">
        <f t="shared" ref="AT36" si="94">SUM(AT25:AT35)</f>
        <v>75084.278884379994</v>
      </c>
      <c r="AU36" s="26">
        <f t="shared" ref="AU36" si="95">SUM(AU25:AU35)</f>
        <v>32381.925793909999</v>
      </c>
      <c r="AV36" s="26">
        <f t="shared" ref="AV36" si="96">SUM(AV25:AV35)</f>
        <v>42702.353090470002</v>
      </c>
      <c r="AW36" s="26">
        <f t="shared" ref="AW36" si="97">SUM(AW25:AW35)</f>
        <v>3327781.8167186701</v>
      </c>
      <c r="AX36" s="26">
        <f t="shared" ref="AX36" si="98">SUM(AX25:AX35)</f>
        <v>3347899.3644989203</v>
      </c>
      <c r="AY36" s="26">
        <f t="shared" ref="AY36:AZ36" si="99">SUM(AY25:AY35)</f>
        <v>0</v>
      </c>
      <c r="AZ36" s="26">
        <f t="shared" si="99"/>
        <v>0</v>
      </c>
      <c r="BA36" s="49" t="s">
        <v>52</v>
      </c>
      <c r="BB36" s="27" t="s">
        <v>83</v>
      </c>
      <c r="BC36" s="27" t="s">
        <v>119</v>
      </c>
      <c r="BD36" s="26">
        <f t="shared" ref="BD36" si="100">SUM(BD25:BD35)</f>
        <v>532</v>
      </c>
      <c r="BE36" s="26">
        <f t="shared" ref="BE36" si="101">SUM(BE25:BE35)</f>
        <v>173231188</v>
      </c>
      <c r="BF36" s="26">
        <f t="shared" ref="BF36" si="102">SUM(BF25:BF35)</f>
        <v>61007.830724179992</v>
      </c>
      <c r="BG36" s="26">
        <f t="shared" ref="BG36" si="103">SUM(BG25:BG35)</f>
        <v>27577.460608590001</v>
      </c>
      <c r="BH36" s="26">
        <f t="shared" ref="BH36" si="104">SUM(BH25:BH35)</f>
        <v>33430.370115589998</v>
      </c>
      <c r="BI36" s="26">
        <f t="shared" ref="BI36" si="105">SUM(BI25:BI35)</f>
        <v>3308544.6090064701</v>
      </c>
      <c r="BJ36" s="26">
        <f t="shared" ref="BJ36" si="106">SUM(BJ25:BJ35)</f>
        <v>3325672.8761457293</v>
      </c>
      <c r="BK36" s="26">
        <f t="shared" ref="BK36:BL36" si="107">SUM(BK25:BK35)</f>
        <v>0</v>
      </c>
      <c r="BL36" s="26">
        <f t="shared" si="107"/>
        <v>0</v>
      </c>
      <c r="BM36" s="49" t="s">
        <v>52</v>
      </c>
      <c r="BN36" s="27" t="s">
        <v>83</v>
      </c>
      <c r="BO36" s="27" t="s">
        <v>119</v>
      </c>
      <c r="BP36" s="26">
        <f t="shared" ref="BP36" si="108">SUM(BP25:BP35)</f>
        <v>533</v>
      </c>
      <c r="BQ36" s="26">
        <f t="shared" ref="BQ36" si="109">SUM(BQ25:BQ35)</f>
        <v>174621669</v>
      </c>
      <c r="BR36" s="26">
        <f t="shared" ref="BR36" si="110">SUM(BR25:BR35)</f>
        <v>66404.010355699997</v>
      </c>
      <c r="BS36" s="26">
        <f t="shared" ref="BS36" si="111">SUM(BS25:BS35)</f>
        <v>35982.324068670001</v>
      </c>
      <c r="BT36" s="26">
        <f t="shared" ref="BT36" si="112">SUM(BT25:BT35)</f>
        <v>30421.686287030003</v>
      </c>
      <c r="BU36" s="26">
        <f t="shared" ref="BU36" si="113">SUM(BU25:BU35)</f>
        <v>3368315.0052095903</v>
      </c>
      <c r="BV36" s="26">
        <f t="shared" ref="BV36" si="114">SUM(BV25:BV35)</f>
        <v>3408339.958950161</v>
      </c>
      <c r="BW36" s="26">
        <f t="shared" ref="BW36:BX36" si="115">SUM(BW25:BW35)</f>
        <v>0</v>
      </c>
      <c r="BX36" s="26">
        <f t="shared" si="115"/>
        <v>0</v>
      </c>
      <c r="BY36" s="49" t="s">
        <v>52</v>
      </c>
      <c r="BZ36" s="27" t="s">
        <v>83</v>
      </c>
      <c r="CA36" s="27" t="s">
        <v>119</v>
      </c>
      <c r="CB36" s="26">
        <f t="shared" ref="CB36" si="116">SUM(CB25:CB35)</f>
        <v>539</v>
      </c>
      <c r="CC36" s="26">
        <f t="shared" ref="CC36" si="117">SUM(CC25:CC35)</f>
        <v>176133138</v>
      </c>
      <c r="CD36" s="26">
        <f t="shared" ref="CD36" si="118">SUM(CD25:CD35)</f>
        <v>63611.157226839998</v>
      </c>
      <c r="CE36" s="26">
        <f t="shared" ref="CE36" si="119">SUM(CE25:CE35)</f>
        <v>38920.827526749999</v>
      </c>
      <c r="CF36" s="26">
        <f t="shared" ref="CF36" si="120">SUM(CF25:CF35)</f>
        <v>24690.329700089995</v>
      </c>
      <c r="CG36" s="26">
        <f t="shared" ref="CG36" si="121">SUM(CG25:CG35)</f>
        <v>3516749.1095363502</v>
      </c>
      <c r="CH36" s="26">
        <f t="shared" ref="CH36" si="122">SUM(CH25:CH35)</f>
        <v>3476939.3127516601</v>
      </c>
      <c r="CI36" s="26">
        <f t="shared" ref="CI36:CJ36" si="123">SUM(CI25:CI35)</f>
        <v>0</v>
      </c>
      <c r="CJ36" s="26">
        <f t="shared" si="123"/>
        <v>0</v>
      </c>
      <c r="CK36" s="49" t="s">
        <v>52</v>
      </c>
      <c r="CL36" s="27" t="s">
        <v>83</v>
      </c>
      <c r="CM36" s="27" t="s">
        <v>119</v>
      </c>
      <c r="CN36" s="26">
        <f t="shared" ref="CN36" si="124">SUM(CN25:CN35)</f>
        <v>544</v>
      </c>
      <c r="CO36" s="26">
        <f t="shared" ref="CO36" si="125">SUM(CO25:CO35)</f>
        <v>177636018</v>
      </c>
      <c r="CP36" s="26">
        <f t="shared" ref="CP36" si="126">SUM(CP25:CP35)</f>
        <v>64478.707537040005</v>
      </c>
      <c r="CQ36" s="26">
        <f t="shared" ref="CQ36" si="127">SUM(CQ25:CQ35)</f>
        <v>34567.658123560002</v>
      </c>
      <c r="CR36" s="26">
        <f t="shared" ref="CR36" si="128">SUM(CR25:CR35)</f>
        <v>29911.049413480003</v>
      </c>
      <c r="CS36" s="26">
        <f t="shared" ref="CS36" si="129">SUM(CS25:CS35)</f>
        <v>3565819.6129672294</v>
      </c>
      <c r="CT36" s="26">
        <f t="shared" ref="CT36" si="130">SUM(CT25:CT35)</f>
        <v>3538882.7823691098</v>
      </c>
      <c r="CU36" s="26">
        <f t="shared" ref="CU36:CV36" si="131">SUM(CU25:CU35)</f>
        <v>0</v>
      </c>
      <c r="CV36" s="26">
        <f t="shared" si="131"/>
        <v>0</v>
      </c>
      <c r="CW36" s="49" t="s">
        <v>52</v>
      </c>
      <c r="CX36" s="27" t="s">
        <v>83</v>
      </c>
      <c r="CY36" s="27" t="s">
        <v>119</v>
      </c>
      <c r="CZ36" s="26">
        <f t="shared" ref="CZ36" si="132">SUM(CZ25:CZ35)</f>
        <v>549</v>
      </c>
      <c r="DA36" s="26">
        <f t="shared" ref="DA36" si="133">SUM(DA25:DA35)</f>
        <v>178476267</v>
      </c>
      <c r="DB36" s="26">
        <f t="shared" ref="DB36" si="134">SUM(DB25:DB35)</f>
        <v>68983.248752569998</v>
      </c>
      <c r="DC36" s="26">
        <f t="shared" ref="DC36" si="135">SUM(DC25:DC35)</f>
        <v>40929.19151497</v>
      </c>
      <c r="DD36" s="78">
        <f t="shared" ref="DD36" si="136">SUM(DD25:DD35)</f>
        <v>28054.057237600005</v>
      </c>
      <c r="DE36" s="114">
        <f t="shared" ref="DE36" si="137">SUM(DE25:DE35)</f>
        <v>3572543.5308532706</v>
      </c>
      <c r="DF36" s="26">
        <f t="shared" ref="DF36" si="138">SUM(DF25:DF35)</f>
        <v>3550492.9831406996</v>
      </c>
      <c r="DG36" s="26">
        <f t="shared" ref="DG36:DH36" si="139">SUM(DG25:DG35)</f>
        <v>0</v>
      </c>
      <c r="DH36" s="26">
        <f t="shared" si="139"/>
        <v>0</v>
      </c>
      <c r="DI36" s="49" t="s">
        <v>52</v>
      </c>
      <c r="DJ36" s="89" t="s">
        <v>83</v>
      </c>
      <c r="DK36" s="89" t="s">
        <v>119</v>
      </c>
      <c r="DL36" s="26">
        <f t="shared" ref="DL36:DT36" si="140">SUM(DL25:DL35)</f>
        <v>552</v>
      </c>
      <c r="DM36" s="26">
        <f t="shared" si="140"/>
        <v>179535214</v>
      </c>
      <c r="DN36" s="26">
        <f t="shared" si="140"/>
        <v>65667.280464550015</v>
      </c>
      <c r="DO36" s="26">
        <f t="shared" si="140"/>
        <v>41638.690767190004</v>
      </c>
      <c r="DP36" s="78">
        <f t="shared" si="140"/>
        <v>24028.589697359996</v>
      </c>
      <c r="DQ36" s="114">
        <f t="shared" si="140"/>
        <v>3486777.62733512</v>
      </c>
      <c r="DR36" s="26">
        <f t="shared" si="140"/>
        <v>3521350.2414563606</v>
      </c>
      <c r="DS36" s="26">
        <f t="shared" si="140"/>
        <v>0</v>
      </c>
      <c r="DT36" s="26">
        <f t="shared" si="140"/>
        <v>0</v>
      </c>
      <c r="DU36" s="49" t="s">
        <v>52</v>
      </c>
      <c r="DV36" s="136"/>
      <c r="DW36" s="137"/>
      <c r="DX36" s="49" t="s">
        <v>52</v>
      </c>
      <c r="DY36" s="136">
        <f t="shared" si="64"/>
        <v>-4.8069181257521534E-2</v>
      </c>
      <c r="DZ36" s="137">
        <f t="shared" si="65"/>
        <v>-0.143489674457668</v>
      </c>
      <c r="EA36" s="138">
        <f t="shared" si="66"/>
        <v>-8.2080831655551925E-3</v>
      </c>
    </row>
    <row r="37" spans="1:131" x14ac:dyDescent="0.5">
      <c r="A37" s="52"/>
      <c r="B37" s="7" t="s">
        <v>83</v>
      </c>
      <c r="C37" s="56"/>
      <c r="D37" s="56"/>
      <c r="E37" s="49" t="s">
        <v>52</v>
      </c>
      <c r="F37" s="52"/>
      <c r="G37" s="7" t="s">
        <v>83</v>
      </c>
      <c r="H37" s="55"/>
      <c r="I37" s="55"/>
      <c r="J37" s="56"/>
      <c r="K37" s="56"/>
      <c r="L37" s="56"/>
      <c r="M37" s="56"/>
      <c r="N37" s="56"/>
      <c r="O37" s="55"/>
      <c r="P37" s="56"/>
      <c r="Q37" s="49" t="s">
        <v>52</v>
      </c>
      <c r="R37" s="52"/>
      <c r="S37" s="7" t="s">
        <v>83</v>
      </c>
      <c r="T37" s="55"/>
      <c r="U37" s="55"/>
      <c r="V37" s="56"/>
      <c r="W37" s="56"/>
      <c r="X37" s="56"/>
      <c r="Y37" s="56"/>
      <c r="Z37" s="56"/>
      <c r="AA37" s="55"/>
      <c r="AB37" s="56"/>
      <c r="AC37" s="49" t="s">
        <v>52</v>
      </c>
      <c r="AD37" s="52"/>
      <c r="AE37" s="7" t="s">
        <v>83</v>
      </c>
      <c r="AF37" s="55"/>
      <c r="AG37" s="55"/>
      <c r="AH37" s="56"/>
      <c r="AI37" s="56"/>
      <c r="AJ37" s="56"/>
      <c r="AK37" s="56"/>
      <c r="AL37" s="56"/>
      <c r="AM37" s="55"/>
      <c r="AN37" s="56"/>
      <c r="AO37" s="49" t="s">
        <v>52</v>
      </c>
      <c r="AP37" s="52"/>
      <c r="AQ37" s="7" t="s">
        <v>83</v>
      </c>
      <c r="AR37" s="55"/>
      <c r="AS37" s="55"/>
      <c r="AT37" s="56"/>
      <c r="AU37" s="56"/>
      <c r="AV37" s="56"/>
      <c r="AW37" s="56"/>
      <c r="AX37" s="56"/>
      <c r="AY37" s="55"/>
      <c r="AZ37" s="56"/>
      <c r="BA37" s="49" t="s">
        <v>52</v>
      </c>
      <c r="BB37" s="60"/>
      <c r="BC37" s="7" t="s">
        <v>83</v>
      </c>
      <c r="BD37" s="61"/>
      <c r="BE37" s="61"/>
      <c r="BF37" s="62"/>
      <c r="BG37" s="62"/>
      <c r="BH37" s="62"/>
      <c r="BI37" s="62"/>
      <c r="BJ37" s="62"/>
      <c r="BK37" s="61"/>
      <c r="BL37" s="62"/>
      <c r="BM37" s="49" t="s">
        <v>52</v>
      </c>
      <c r="BN37" s="57"/>
      <c r="BO37" s="7" t="s">
        <v>83</v>
      </c>
      <c r="BP37" s="55"/>
      <c r="BQ37" s="55"/>
      <c r="BR37" s="56"/>
      <c r="BS37" s="56"/>
      <c r="BT37" s="56"/>
      <c r="BU37" s="56"/>
      <c r="BV37" s="56"/>
      <c r="BW37" s="58"/>
      <c r="BX37" s="59"/>
      <c r="BY37" s="49" t="s">
        <v>52</v>
      </c>
      <c r="BZ37" s="57"/>
      <c r="CA37" s="7" t="s">
        <v>83</v>
      </c>
      <c r="CB37" s="55"/>
      <c r="CC37" s="55"/>
      <c r="CD37" s="56"/>
      <c r="CE37" s="56"/>
      <c r="CF37" s="56"/>
      <c r="CG37" s="56"/>
      <c r="CH37" s="56"/>
      <c r="CI37" s="58"/>
      <c r="CJ37" s="59"/>
      <c r="CK37" s="49" t="s">
        <v>52</v>
      </c>
      <c r="CL37" s="52"/>
      <c r="CM37" s="7" t="s">
        <v>83</v>
      </c>
      <c r="CN37" s="55"/>
      <c r="CO37" s="55"/>
      <c r="CP37" s="56"/>
      <c r="CQ37" s="56"/>
      <c r="CR37" s="56"/>
      <c r="CS37" s="56"/>
      <c r="CT37" s="56"/>
      <c r="CU37" s="58"/>
      <c r="CV37" s="56"/>
      <c r="CW37" s="49" t="s">
        <v>52</v>
      </c>
      <c r="CX37" s="52"/>
      <c r="CY37" s="7" t="s">
        <v>83</v>
      </c>
      <c r="CZ37" s="55"/>
      <c r="DA37" s="55"/>
      <c r="DB37" s="56"/>
      <c r="DC37" s="56"/>
      <c r="DD37" s="56"/>
      <c r="DE37" s="56"/>
      <c r="DF37" s="56"/>
      <c r="DG37" s="55"/>
      <c r="DH37" s="56"/>
      <c r="DI37" s="2" t="s">
        <v>52</v>
      </c>
      <c r="DJ37" s="84"/>
      <c r="DK37" s="90" t="s">
        <v>83</v>
      </c>
      <c r="DL37" s="83"/>
      <c r="DM37" s="83"/>
      <c r="DN37" s="84"/>
      <c r="DO37" s="84"/>
      <c r="DP37" s="84"/>
      <c r="DQ37" s="84"/>
      <c r="DR37" s="84"/>
      <c r="DS37" s="83"/>
      <c r="DT37" s="84"/>
      <c r="DU37" s="2" t="s">
        <v>52</v>
      </c>
      <c r="DV37" s="107"/>
      <c r="DW37" s="107"/>
      <c r="DX37" s="2" t="s">
        <v>52</v>
      </c>
      <c r="DY37" s="107" t="s">
        <v>52</v>
      </c>
      <c r="DZ37" s="107" t="s">
        <v>52</v>
      </c>
      <c r="EA37" s="110" t="s">
        <v>52</v>
      </c>
    </row>
    <row r="38" spans="1:131" x14ac:dyDescent="0.5">
      <c r="A38" s="50" t="s">
        <v>86</v>
      </c>
      <c r="B38" s="22" t="s">
        <v>118</v>
      </c>
      <c r="C38" s="56"/>
      <c r="D38" s="56"/>
      <c r="E38" s="49" t="s">
        <v>52</v>
      </c>
      <c r="F38" s="50" t="s">
        <v>86</v>
      </c>
      <c r="G38" s="22" t="s">
        <v>118</v>
      </c>
      <c r="H38" s="55"/>
      <c r="I38" s="55"/>
      <c r="J38" s="56"/>
      <c r="K38" s="56"/>
      <c r="L38" s="56"/>
      <c r="M38" s="56"/>
      <c r="N38" s="56"/>
      <c r="O38" s="55"/>
      <c r="P38" s="56"/>
      <c r="Q38" s="49" t="s">
        <v>52</v>
      </c>
      <c r="R38" s="50" t="s">
        <v>86</v>
      </c>
      <c r="S38" s="22" t="s">
        <v>118</v>
      </c>
      <c r="T38" s="55"/>
      <c r="U38" s="55"/>
      <c r="V38" s="56"/>
      <c r="W38" s="56"/>
      <c r="X38" s="56"/>
      <c r="Y38" s="56"/>
      <c r="Z38" s="56"/>
      <c r="AA38" s="55"/>
      <c r="AB38" s="56"/>
      <c r="AC38" s="49" t="s">
        <v>52</v>
      </c>
      <c r="AD38" s="50" t="s">
        <v>86</v>
      </c>
      <c r="AE38" s="22" t="s">
        <v>118</v>
      </c>
      <c r="AF38" s="55"/>
      <c r="AG38" s="55"/>
      <c r="AH38" s="56"/>
      <c r="AI38" s="56"/>
      <c r="AJ38" s="56"/>
      <c r="AK38" s="56"/>
      <c r="AL38" s="56"/>
      <c r="AM38" s="55"/>
      <c r="AN38" s="56"/>
      <c r="AO38" s="49" t="s">
        <v>52</v>
      </c>
      <c r="AP38" s="50" t="s">
        <v>86</v>
      </c>
      <c r="AQ38" s="22" t="s">
        <v>118</v>
      </c>
      <c r="AR38" s="55"/>
      <c r="AS38" s="55"/>
      <c r="AT38" s="56"/>
      <c r="AU38" s="56"/>
      <c r="AV38" s="56"/>
      <c r="AW38" s="56"/>
      <c r="AX38" s="56"/>
      <c r="AY38" s="55"/>
      <c r="AZ38" s="56"/>
      <c r="BA38" s="49" t="s">
        <v>52</v>
      </c>
      <c r="BB38" s="50" t="s">
        <v>86</v>
      </c>
      <c r="BC38" s="22" t="s">
        <v>118</v>
      </c>
      <c r="BD38" s="55"/>
      <c r="BE38" s="55"/>
      <c r="BF38" s="56"/>
      <c r="BG38" s="56"/>
      <c r="BH38" s="56"/>
      <c r="BI38" s="56"/>
      <c r="BJ38" s="56"/>
      <c r="BK38" s="55"/>
      <c r="BL38" s="56"/>
      <c r="BM38" s="49" t="s">
        <v>52</v>
      </c>
      <c r="BN38" s="51" t="s">
        <v>86</v>
      </c>
      <c r="BO38" s="22" t="s">
        <v>118</v>
      </c>
      <c r="BP38" s="55"/>
      <c r="BQ38" s="55"/>
      <c r="BR38" s="56"/>
      <c r="BS38" s="56"/>
      <c r="BT38" s="56"/>
      <c r="BU38" s="56"/>
      <c r="BV38" s="56"/>
      <c r="BW38" s="58"/>
      <c r="BX38" s="59"/>
      <c r="BY38" s="49" t="s">
        <v>52</v>
      </c>
      <c r="BZ38" s="51" t="s">
        <v>86</v>
      </c>
      <c r="CA38" s="22" t="s">
        <v>118</v>
      </c>
      <c r="CB38" s="55"/>
      <c r="CC38" s="55"/>
      <c r="CD38" s="56"/>
      <c r="CE38" s="56"/>
      <c r="CF38" s="56"/>
      <c r="CG38" s="56"/>
      <c r="CH38" s="56"/>
      <c r="CI38" s="58"/>
      <c r="CJ38" s="59"/>
      <c r="CK38" s="49" t="s">
        <v>52</v>
      </c>
      <c r="CL38" s="50" t="s">
        <v>86</v>
      </c>
      <c r="CM38" s="22" t="s">
        <v>118</v>
      </c>
      <c r="CN38" s="55"/>
      <c r="CO38" s="55"/>
      <c r="CP38" s="56"/>
      <c r="CQ38" s="56"/>
      <c r="CR38" s="56"/>
      <c r="CS38" s="56"/>
      <c r="CT38" s="56"/>
      <c r="CU38" s="58"/>
      <c r="CV38" s="56"/>
      <c r="CW38" s="49" t="s">
        <v>52</v>
      </c>
      <c r="CX38" s="50" t="s">
        <v>86</v>
      </c>
      <c r="CY38" s="22" t="s">
        <v>118</v>
      </c>
      <c r="CZ38" s="55"/>
      <c r="DA38" s="55"/>
      <c r="DB38" s="56"/>
      <c r="DC38" s="56"/>
      <c r="DD38" s="56"/>
      <c r="DE38" s="56"/>
      <c r="DF38" s="56"/>
      <c r="DG38" s="55"/>
      <c r="DH38" s="56"/>
      <c r="DI38" s="2" t="s">
        <v>52</v>
      </c>
      <c r="DJ38" s="80" t="s">
        <v>86</v>
      </c>
      <c r="DK38" s="82" t="s">
        <v>118</v>
      </c>
      <c r="DL38" s="83"/>
      <c r="DM38" s="83"/>
      <c r="DN38" s="84"/>
      <c r="DO38" s="84"/>
      <c r="DP38" s="84"/>
      <c r="DQ38" s="84"/>
      <c r="DR38" s="84"/>
      <c r="DS38" s="83"/>
      <c r="DT38" s="84"/>
      <c r="DU38" s="2" t="s">
        <v>52</v>
      </c>
      <c r="DV38" s="107"/>
      <c r="DW38" s="107"/>
      <c r="DX38" s="2" t="s">
        <v>52</v>
      </c>
      <c r="DY38" s="107" t="s">
        <v>52</v>
      </c>
      <c r="DZ38" s="107" t="s">
        <v>52</v>
      </c>
      <c r="EA38" s="110" t="s">
        <v>52</v>
      </c>
    </row>
    <row r="39" spans="1:131" x14ac:dyDescent="0.5">
      <c r="A39" s="17" t="s">
        <v>96</v>
      </c>
      <c r="B39" s="16" t="s">
        <v>10</v>
      </c>
      <c r="C39" s="21">
        <v>28124.485527500001</v>
      </c>
      <c r="D39" s="21">
        <v>27918.752722019999</v>
      </c>
      <c r="E39" s="49" t="s">
        <v>52</v>
      </c>
      <c r="F39" s="17" t="s">
        <v>96</v>
      </c>
      <c r="G39" s="16" t="s">
        <v>10</v>
      </c>
      <c r="H39" s="15">
        <v>18</v>
      </c>
      <c r="I39" s="15">
        <v>550659</v>
      </c>
      <c r="J39" s="14">
        <v>311.47520924000003</v>
      </c>
      <c r="K39" s="14">
        <v>547.87967493999997</v>
      </c>
      <c r="L39" s="14">
        <v>-236.4044657</v>
      </c>
      <c r="M39" s="14">
        <v>28359.40550768</v>
      </c>
      <c r="N39" s="14">
        <v>28180.96931756</v>
      </c>
      <c r="O39" s="15">
        <v>1</v>
      </c>
      <c r="P39" s="14">
        <v>0</v>
      </c>
      <c r="Q39" s="49" t="s">
        <v>52</v>
      </c>
      <c r="R39" s="17" t="s">
        <v>96</v>
      </c>
      <c r="S39" s="16" t="s">
        <v>10</v>
      </c>
      <c r="T39" s="15">
        <v>18</v>
      </c>
      <c r="U39" s="15">
        <v>555080</v>
      </c>
      <c r="V39" s="14">
        <v>470.82032982999999</v>
      </c>
      <c r="W39" s="14">
        <v>381.51204806999999</v>
      </c>
      <c r="X39" s="14">
        <v>89.30828176</v>
      </c>
      <c r="Y39" s="14">
        <v>28825.347928700001</v>
      </c>
      <c r="Z39" s="14">
        <v>28579.257698630001</v>
      </c>
      <c r="AA39" s="15">
        <v>1</v>
      </c>
      <c r="AB39" s="14">
        <v>0</v>
      </c>
      <c r="AC39" s="49" t="s">
        <v>52</v>
      </c>
      <c r="AD39" s="17" t="s">
        <v>96</v>
      </c>
      <c r="AE39" s="16" t="s">
        <v>10</v>
      </c>
      <c r="AF39" s="15">
        <v>18</v>
      </c>
      <c r="AG39" s="15">
        <v>560827</v>
      </c>
      <c r="AH39" s="14">
        <v>496.84869965000001</v>
      </c>
      <c r="AI39" s="14">
        <v>358.67259825999997</v>
      </c>
      <c r="AJ39" s="14">
        <v>138.17610139000001</v>
      </c>
      <c r="AK39" s="14">
        <v>29084.828810790001</v>
      </c>
      <c r="AL39" s="14">
        <v>28953.164998119999</v>
      </c>
      <c r="AM39" s="15">
        <v>1</v>
      </c>
      <c r="AN39" s="14">
        <v>0</v>
      </c>
      <c r="AO39" s="49" t="s">
        <v>52</v>
      </c>
      <c r="AP39" s="17" t="s">
        <v>96</v>
      </c>
      <c r="AQ39" s="16" t="s">
        <v>10</v>
      </c>
      <c r="AR39" s="15">
        <v>18</v>
      </c>
      <c r="AS39" s="15">
        <v>566649</v>
      </c>
      <c r="AT39" s="14">
        <v>738.40746181999998</v>
      </c>
      <c r="AU39" s="14">
        <v>430.23692901999999</v>
      </c>
      <c r="AV39" s="14">
        <v>308.17053279999999</v>
      </c>
      <c r="AW39" s="14">
        <v>29421.042467989999</v>
      </c>
      <c r="AX39" s="14">
        <v>29335.745267530001</v>
      </c>
      <c r="AY39" s="15">
        <v>1</v>
      </c>
      <c r="AZ39" s="14">
        <v>0</v>
      </c>
      <c r="BA39" s="49" t="s">
        <v>52</v>
      </c>
      <c r="BB39" s="17" t="s">
        <v>96</v>
      </c>
      <c r="BC39" s="16" t="s">
        <v>10</v>
      </c>
      <c r="BD39" s="15">
        <v>18</v>
      </c>
      <c r="BE39" s="15">
        <v>570583</v>
      </c>
      <c r="BF39" s="14">
        <v>390.59679705000002</v>
      </c>
      <c r="BG39" s="14">
        <v>346.97811288999998</v>
      </c>
      <c r="BH39" s="14">
        <v>43.618684159999901</v>
      </c>
      <c r="BI39" s="14">
        <v>29268.177923390002</v>
      </c>
      <c r="BJ39" s="14">
        <v>29406.615056160001</v>
      </c>
      <c r="BK39" s="15">
        <v>1</v>
      </c>
      <c r="BL39" s="14">
        <v>0</v>
      </c>
      <c r="BM39" s="49" t="s">
        <v>52</v>
      </c>
      <c r="BN39" s="20" t="s">
        <v>96</v>
      </c>
      <c r="BO39" s="16" t="s">
        <v>10</v>
      </c>
      <c r="BP39" s="15">
        <v>18</v>
      </c>
      <c r="BQ39" s="15">
        <v>572447</v>
      </c>
      <c r="BR39" s="14">
        <v>400.75326372000001</v>
      </c>
      <c r="BS39" s="14">
        <v>446.74661541</v>
      </c>
      <c r="BT39" s="14">
        <v>-45.993351689999599</v>
      </c>
      <c r="BU39" s="14">
        <v>29492.114018299999</v>
      </c>
      <c r="BV39" s="14">
        <v>29523.28089088</v>
      </c>
      <c r="BW39" s="18">
        <v>1</v>
      </c>
      <c r="BX39" s="19">
        <v>0</v>
      </c>
      <c r="BY39" s="49" t="s">
        <v>52</v>
      </c>
      <c r="BZ39" s="20" t="s">
        <v>96</v>
      </c>
      <c r="CA39" s="16" t="s">
        <v>10</v>
      </c>
      <c r="CB39" s="15">
        <v>18</v>
      </c>
      <c r="CC39" s="15">
        <v>573771</v>
      </c>
      <c r="CD39" s="14">
        <v>479.64238879999999</v>
      </c>
      <c r="CE39" s="14">
        <v>477.80317936</v>
      </c>
      <c r="CF39" s="14">
        <v>1.8392094399996499</v>
      </c>
      <c r="CG39" s="14">
        <v>29877.7012392</v>
      </c>
      <c r="CH39" s="14">
        <v>29834.40377778</v>
      </c>
      <c r="CI39" s="18">
        <v>1</v>
      </c>
      <c r="CJ39" s="19">
        <v>0</v>
      </c>
      <c r="CK39" s="49" t="s">
        <v>52</v>
      </c>
      <c r="CL39" s="17" t="s">
        <v>96</v>
      </c>
      <c r="CM39" s="16" t="s">
        <v>10</v>
      </c>
      <c r="CN39" s="15">
        <v>18</v>
      </c>
      <c r="CO39" s="15">
        <v>575592</v>
      </c>
      <c r="CP39" s="14">
        <v>367.15741280999998</v>
      </c>
      <c r="CQ39" s="14">
        <v>461.62355572000001</v>
      </c>
      <c r="CR39" s="14">
        <v>-94.466142909999704</v>
      </c>
      <c r="CS39" s="14">
        <v>29936.93840142</v>
      </c>
      <c r="CT39" s="14">
        <v>29947.102159580001</v>
      </c>
      <c r="CU39" s="18">
        <v>1</v>
      </c>
      <c r="CV39" s="14">
        <v>0</v>
      </c>
      <c r="CW39" s="49" t="s">
        <v>52</v>
      </c>
      <c r="CX39" s="17" t="s">
        <v>96</v>
      </c>
      <c r="CY39" s="16" t="s">
        <v>10</v>
      </c>
      <c r="CZ39" s="15">
        <v>18</v>
      </c>
      <c r="DA39" s="15">
        <v>575909</v>
      </c>
      <c r="DB39" s="14">
        <v>381.58755112</v>
      </c>
      <c r="DC39" s="14">
        <v>499.98232431000002</v>
      </c>
      <c r="DD39" s="14">
        <v>-118.39477319</v>
      </c>
      <c r="DE39" s="112">
        <v>29769.235507009998</v>
      </c>
      <c r="DF39" s="14">
        <v>29829.432030380001</v>
      </c>
      <c r="DG39" s="15">
        <v>1</v>
      </c>
      <c r="DH39" s="14">
        <v>0</v>
      </c>
      <c r="DI39" s="2" t="s">
        <v>52</v>
      </c>
      <c r="DJ39" s="85" t="s">
        <v>96</v>
      </c>
      <c r="DK39" s="86" t="s">
        <v>10</v>
      </c>
      <c r="DL39" s="87">
        <v>18</v>
      </c>
      <c r="DM39" s="87">
        <v>576220</v>
      </c>
      <c r="DN39" s="88">
        <v>424.27986910999999</v>
      </c>
      <c r="DO39" s="88">
        <v>501.49357180000101</v>
      </c>
      <c r="DP39" s="88">
        <v>-77.213702690000403</v>
      </c>
      <c r="DQ39" s="111">
        <v>29527.203774379999</v>
      </c>
      <c r="DR39" s="88">
        <v>29674.296552939999</v>
      </c>
      <c r="DS39" s="87">
        <v>1</v>
      </c>
      <c r="DT39" s="88">
        <v>0</v>
      </c>
      <c r="DU39" s="2" t="s">
        <v>52</v>
      </c>
      <c r="DV39" s="136"/>
      <c r="DW39" s="137"/>
      <c r="DX39" s="2" t="s">
        <v>52</v>
      </c>
      <c r="DY39" s="136">
        <f t="shared" ref="DY39:DY45" si="141">(DN39-DB39)/DB39</f>
        <v>0.11188079345013616</v>
      </c>
      <c r="DZ39" s="137">
        <f t="shared" ref="DZ39:DZ45" si="142">(DP39-DD39)/DD39</f>
        <v>-0.34782845044951594</v>
      </c>
      <c r="EA39" s="138">
        <f t="shared" ref="EA39:EA45" si="143">(DR39-DF39)/DF39</f>
        <v>-5.2007519714758086E-3</v>
      </c>
    </row>
    <row r="40" spans="1:131" x14ac:dyDescent="0.5">
      <c r="A40" s="17" t="s">
        <v>95</v>
      </c>
      <c r="B40" s="16" t="s">
        <v>4</v>
      </c>
      <c r="C40" s="21">
        <v>219203.85645640001</v>
      </c>
      <c r="D40" s="21">
        <v>214953.72593523</v>
      </c>
      <c r="E40" s="49" t="s">
        <v>52</v>
      </c>
      <c r="F40" s="17" t="s">
        <v>95</v>
      </c>
      <c r="G40" s="16" t="s">
        <v>4</v>
      </c>
      <c r="H40" s="15">
        <v>31</v>
      </c>
      <c r="I40" s="15">
        <v>5786464</v>
      </c>
      <c r="J40" s="14">
        <v>2442.8368727000002</v>
      </c>
      <c r="K40" s="14">
        <v>2594.3096652300001</v>
      </c>
      <c r="L40" s="14">
        <v>-151.47279252999999</v>
      </c>
      <c r="M40" s="14">
        <v>226008.03756942</v>
      </c>
      <c r="N40" s="14">
        <v>221668.36015423</v>
      </c>
      <c r="O40" s="15">
        <v>1</v>
      </c>
      <c r="P40" s="14">
        <v>0</v>
      </c>
      <c r="Q40" s="49" t="s">
        <v>52</v>
      </c>
      <c r="R40" s="17" t="s">
        <v>95</v>
      </c>
      <c r="S40" s="16" t="s">
        <v>4</v>
      </c>
      <c r="T40" s="15">
        <v>31</v>
      </c>
      <c r="U40" s="15">
        <v>5805601</v>
      </c>
      <c r="V40" s="14">
        <v>2625.0925840700002</v>
      </c>
      <c r="W40" s="14">
        <v>2283.7022737900002</v>
      </c>
      <c r="X40" s="14">
        <v>341.39031027999999</v>
      </c>
      <c r="Y40" s="14">
        <v>231900.97609916001</v>
      </c>
      <c r="Z40" s="14">
        <v>229986.38955148001</v>
      </c>
      <c r="AA40" s="15">
        <v>1</v>
      </c>
      <c r="AB40" s="14">
        <v>0</v>
      </c>
      <c r="AC40" s="49" t="s">
        <v>52</v>
      </c>
      <c r="AD40" s="17" t="s">
        <v>95</v>
      </c>
      <c r="AE40" s="16" t="s">
        <v>4</v>
      </c>
      <c r="AF40" s="15">
        <v>31</v>
      </c>
      <c r="AG40" s="15">
        <v>5847771</v>
      </c>
      <c r="AH40" s="14">
        <v>3323.3975129599999</v>
      </c>
      <c r="AI40" s="14">
        <v>1991.8972348699999</v>
      </c>
      <c r="AJ40" s="14">
        <v>1331.5002780899999</v>
      </c>
      <c r="AK40" s="14">
        <v>238686.35962141</v>
      </c>
      <c r="AL40" s="14">
        <v>236080.74234331</v>
      </c>
      <c r="AM40" s="15">
        <v>1</v>
      </c>
      <c r="AN40" s="14">
        <v>0</v>
      </c>
      <c r="AO40" s="49" t="s">
        <v>52</v>
      </c>
      <c r="AP40" s="17" t="s">
        <v>95</v>
      </c>
      <c r="AQ40" s="16" t="s">
        <v>4</v>
      </c>
      <c r="AR40" s="15">
        <v>31</v>
      </c>
      <c r="AS40" s="15">
        <v>5912528</v>
      </c>
      <c r="AT40" s="14">
        <v>4305.69448242</v>
      </c>
      <c r="AU40" s="14">
        <v>1942.13029039</v>
      </c>
      <c r="AV40" s="14">
        <v>2363.56419203</v>
      </c>
      <c r="AW40" s="14">
        <v>237969.21354423001</v>
      </c>
      <c r="AX40" s="14">
        <v>240277.48253688999</v>
      </c>
      <c r="AY40" s="15">
        <v>1</v>
      </c>
      <c r="AZ40" s="14">
        <v>0</v>
      </c>
      <c r="BA40" s="49" t="s">
        <v>52</v>
      </c>
      <c r="BB40" s="17" t="s">
        <v>95</v>
      </c>
      <c r="BC40" s="16" t="s">
        <v>4</v>
      </c>
      <c r="BD40" s="15">
        <v>31</v>
      </c>
      <c r="BE40" s="15">
        <v>5964898</v>
      </c>
      <c r="BF40" s="14">
        <v>3519.3809643200002</v>
      </c>
      <c r="BG40" s="14">
        <v>1648.9854714999999</v>
      </c>
      <c r="BH40" s="14">
        <v>1870.3954928200001</v>
      </c>
      <c r="BI40" s="14">
        <v>236817.91054911999</v>
      </c>
      <c r="BJ40" s="14">
        <v>238877.01303870999</v>
      </c>
      <c r="BK40" s="15">
        <v>1</v>
      </c>
      <c r="BL40" s="14">
        <v>0</v>
      </c>
      <c r="BM40" s="49" t="s">
        <v>52</v>
      </c>
      <c r="BN40" s="20" t="s">
        <v>95</v>
      </c>
      <c r="BO40" s="16" t="s">
        <v>4</v>
      </c>
      <c r="BP40" s="15">
        <v>31</v>
      </c>
      <c r="BQ40" s="15">
        <v>6011535</v>
      </c>
      <c r="BR40" s="14">
        <v>4032.03076061</v>
      </c>
      <c r="BS40" s="14">
        <v>2018.29650438</v>
      </c>
      <c r="BT40" s="14">
        <v>2013.73425623</v>
      </c>
      <c r="BU40" s="14">
        <v>241559.83442068999</v>
      </c>
      <c r="BV40" s="14">
        <v>243393.86207904</v>
      </c>
      <c r="BW40" s="18">
        <v>1</v>
      </c>
      <c r="BX40" s="19">
        <v>0</v>
      </c>
      <c r="BY40" s="49" t="s">
        <v>52</v>
      </c>
      <c r="BZ40" s="20" t="s">
        <v>95</v>
      </c>
      <c r="CA40" s="16" t="s">
        <v>4</v>
      </c>
      <c r="CB40" s="15">
        <v>31</v>
      </c>
      <c r="CC40" s="15">
        <v>6044444</v>
      </c>
      <c r="CD40" s="14">
        <v>3282.78819634</v>
      </c>
      <c r="CE40" s="14">
        <v>2143.61165575</v>
      </c>
      <c r="CF40" s="14">
        <v>1139.1765405900001</v>
      </c>
      <c r="CG40" s="14">
        <v>250052.41125162001</v>
      </c>
      <c r="CH40" s="14">
        <v>249009.90008138001</v>
      </c>
      <c r="CI40" s="18">
        <v>1</v>
      </c>
      <c r="CJ40" s="19">
        <v>0</v>
      </c>
      <c r="CK40" s="49" t="s">
        <v>52</v>
      </c>
      <c r="CL40" s="17" t="s">
        <v>95</v>
      </c>
      <c r="CM40" s="16" t="s">
        <v>4</v>
      </c>
      <c r="CN40" s="15">
        <v>31</v>
      </c>
      <c r="CO40" s="15">
        <v>6089957</v>
      </c>
      <c r="CP40" s="14">
        <v>3551.1002988800001</v>
      </c>
      <c r="CQ40" s="14">
        <v>2165.76345051</v>
      </c>
      <c r="CR40" s="14">
        <v>1385.3368483700001</v>
      </c>
      <c r="CS40" s="14">
        <v>253121.17780773001</v>
      </c>
      <c r="CT40" s="14">
        <v>252228.23653985001</v>
      </c>
      <c r="CU40" s="18">
        <v>1</v>
      </c>
      <c r="CV40" s="14">
        <v>0</v>
      </c>
      <c r="CW40" s="49" t="s">
        <v>52</v>
      </c>
      <c r="CX40" s="17" t="s">
        <v>95</v>
      </c>
      <c r="CY40" s="16" t="s">
        <v>4</v>
      </c>
      <c r="CZ40" s="15">
        <v>31</v>
      </c>
      <c r="DA40" s="15">
        <v>6134634</v>
      </c>
      <c r="DB40" s="14">
        <v>3824.2099543300001</v>
      </c>
      <c r="DC40" s="14">
        <v>2310.3507498399999</v>
      </c>
      <c r="DD40" s="14">
        <v>1513.8592044899999</v>
      </c>
      <c r="DE40" s="112">
        <v>253233.72907447</v>
      </c>
      <c r="DF40" s="14">
        <v>253602.36232583001</v>
      </c>
      <c r="DG40" s="15">
        <v>1</v>
      </c>
      <c r="DH40" s="14">
        <v>0</v>
      </c>
      <c r="DI40" s="2" t="s">
        <v>52</v>
      </c>
      <c r="DJ40" s="85" t="s">
        <v>95</v>
      </c>
      <c r="DK40" s="86" t="s">
        <v>4</v>
      </c>
      <c r="DL40" s="87">
        <v>31</v>
      </c>
      <c r="DM40" s="87">
        <v>6177349</v>
      </c>
      <c r="DN40" s="88">
        <v>3973.7079815000002</v>
      </c>
      <c r="DO40" s="88">
        <v>2295.54438738</v>
      </c>
      <c r="DP40" s="88">
        <v>1678.16359412</v>
      </c>
      <c r="DQ40" s="111">
        <v>249182.02971813999</v>
      </c>
      <c r="DR40" s="88">
        <v>252120.46850725001</v>
      </c>
      <c r="DS40" s="87">
        <v>1</v>
      </c>
      <c r="DT40" s="88">
        <v>0</v>
      </c>
      <c r="DU40" s="2" t="s">
        <v>52</v>
      </c>
      <c r="DV40" s="136"/>
      <c r="DW40" s="137"/>
      <c r="DX40" s="2" t="s">
        <v>52</v>
      </c>
      <c r="DY40" s="136">
        <f t="shared" si="141"/>
        <v>3.9092526026383433E-2</v>
      </c>
      <c r="DZ40" s="137">
        <f t="shared" si="142"/>
        <v>0.10853346806802429</v>
      </c>
      <c r="EA40" s="138">
        <f t="shared" si="143"/>
        <v>-5.8433754519843367E-3</v>
      </c>
    </row>
    <row r="41" spans="1:131" x14ac:dyDescent="0.5">
      <c r="A41" s="17" t="s">
        <v>100</v>
      </c>
      <c r="B41" s="16" t="s">
        <v>117</v>
      </c>
      <c r="C41" s="21">
        <v>283673.40398094</v>
      </c>
      <c r="D41" s="21">
        <v>279386.23272844998</v>
      </c>
      <c r="E41" s="49" t="s">
        <v>52</v>
      </c>
      <c r="F41" s="17" t="s">
        <v>100</v>
      </c>
      <c r="G41" s="16" t="s">
        <v>117</v>
      </c>
      <c r="H41" s="15">
        <v>35</v>
      </c>
      <c r="I41" s="15">
        <v>5252235</v>
      </c>
      <c r="J41" s="14">
        <v>4010.2015198600002</v>
      </c>
      <c r="K41" s="14">
        <v>3128.9677109300001</v>
      </c>
      <c r="L41" s="14">
        <v>881.23380893000001</v>
      </c>
      <c r="M41" s="14">
        <v>292549.94761397003</v>
      </c>
      <c r="N41" s="14">
        <v>286751.76132995001</v>
      </c>
      <c r="O41" s="15">
        <v>0</v>
      </c>
      <c r="P41" s="14">
        <v>0</v>
      </c>
      <c r="Q41" s="49" t="s">
        <v>52</v>
      </c>
      <c r="R41" s="17" t="s">
        <v>100</v>
      </c>
      <c r="S41" s="16" t="s">
        <v>117</v>
      </c>
      <c r="T41" s="15">
        <v>35</v>
      </c>
      <c r="U41" s="15">
        <v>5288342</v>
      </c>
      <c r="V41" s="14">
        <v>4438.8757786699998</v>
      </c>
      <c r="W41" s="14">
        <v>3302.75959616</v>
      </c>
      <c r="X41" s="14">
        <v>1136.11618251</v>
      </c>
      <c r="Y41" s="14">
        <v>299506.75603659003</v>
      </c>
      <c r="Z41" s="14">
        <v>296512.18956491002</v>
      </c>
      <c r="AA41" s="15">
        <v>0</v>
      </c>
      <c r="AB41" s="14">
        <v>0</v>
      </c>
      <c r="AC41" s="49" t="s">
        <v>52</v>
      </c>
      <c r="AD41" s="17" t="s">
        <v>100</v>
      </c>
      <c r="AE41" s="16" t="s">
        <v>117</v>
      </c>
      <c r="AF41" s="15">
        <v>35</v>
      </c>
      <c r="AG41" s="15">
        <v>5342869</v>
      </c>
      <c r="AH41" s="14">
        <v>4913.1380926499996</v>
      </c>
      <c r="AI41" s="14">
        <v>3027.6081833200001</v>
      </c>
      <c r="AJ41" s="14">
        <v>1885.52990933</v>
      </c>
      <c r="AK41" s="14">
        <v>306648.51376394997</v>
      </c>
      <c r="AL41" s="14">
        <v>303164.81967027002</v>
      </c>
      <c r="AM41" s="15">
        <v>0</v>
      </c>
      <c r="AN41" s="14">
        <v>0</v>
      </c>
      <c r="AO41" s="49" t="s">
        <v>52</v>
      </c>
      <c r="AP41" s="17" t="s">
        <v>100</v>
      </c>
      <c r="AQ41" s="16" t="s">
        <v>117</v>
      </c>
      <c r="AR41" s="15">
        <v>35</v>
      </c>
      <c r="AS41" s="15">
        <v>5425213</v>
      </c>
      <c r="AT41" s="14">
        <v>5996.0993695799998</v>
      </c>
      <c r="AU41" s="14">
        <v>3384.91178734</v>
      </c>
      <c r="AV41" s="14">
        <v>2611.1875822400002</v>
      </c>
      <c r="AW41" s="14">
        <v>305086.55245353002</v>
      </c>
      <c r="AX41" s="14">
        <v>307392.81551097002</v>
      </c>
      <c r="AY41" s="15">
        <v>0</v>
      </c>
      <c r="AZ41" s="14">
        <v>0</v>
      </c>
      <c r="BA41" s="49" t="s">
        <v>52</v>
      </c>
      <c r="BB41" s="17" t="s">
        <v>100</v>
      </c>
      <c r="BC41" s="16" t="s">
        <v>117</v>
      </c>
      <c r="BD41" s="15">
        <v>35</v>
      </c>
      <c r="BE41" s="15">
        <v>5474637</v>
      </c>
      <c r="BF41" s="14">
        <v>4809.9566070499995</v>
      </c>
      <c r="BG41" s="14">
        <v>2493.4720415699999</v>
      </c>
      <c r="BH41" s="14">
        <v>2316.4845654800001</v>
      </c>
      <c r="BI41" s="14">
        <v>304727.49676332</v>
      </c>
      <c r="BJ41" s="14">
        <v>306186.21109805</v>
      </c>
      <c r="BK41" s="15">
        <v>0</v>
      </c>
      <c r="BL41" s="14">
        <v>0</v>
      </c>
      <c r="BM41" s="49" t="s">
        <v>52</v>
      </c>
      <c r="BN41" s="20" t="s">
        <v>100</v>
      </c>
      <c r="BO41" s="16" t="s">
        <v>117</v>
      </c>
      <c r="BP41" s="15">
        <v>35</v>
      </c>
      <c r="BQ41" s="15">
        <v>5509198</v>
      </c>
      <c r="BR41" s="14">
        <v>5003.9811791299999</v>
      </c>
      <c r="BS41" s="14">
        <v>3315.4255561199998</v>
      </c>
      <c r="BT41" s="14">
        <v>1688.5556230100001</v>
      </c>
      <c r="BU41" s="14">
        <v>309385.03705351998</v>
      </c>
      <c r="BV41" s="14">
        <v>311226.52892934001</v>
      </c>
      <c r="BW41" s="18">
        <v>0</v>
      </c>
      <c r="BX41" s="19">
        <v>0</v>
      </c>
      <c r="BY41" s="49" t="s">
        <v>52</v>
      </c>
      <c r="BZ41" s="20" t="s">
        <v>100</v>
      </c>
      <c r="CA41" s="16" t="s">
        <v>117</v>
      </c>
      <c r="CB41" s="15">
        <v>35</v>
      </c>
      <c r="CC41" s="15">
        <v>5530506</v>
      </c>
      <c r="CD41" s="14">
        <v>4233.7800990300002</v>
      </c>
      <c r="CE41" s="14">
        <v>3694.12805334</v>
      </c>
      <c r="CF41" s="14">
        <v>539.65204569000298</v>
      </c>
      <c r="CG41" s="14">
        <v>318121.65810513002</v>
      </c>
      <c r="CH41" s="14">
        <v>316548.76880734001</v>
      </c>
      <c r="CI41" s="18">
        <v>0</v>
      </c>
      <c r="CJ41" s="19">
        <v>0</v>
      </c>
      <c r="CK41" s="49" t="s">
        <v>52</v>
      </c>
      <c r="CL41" s="17" t="s">
        <v>100</v>
      </c>
      <c r="CM41" s="16" t="s">
        <v>117</v>
      </c>
      <c r="CN41" s="15">
        <v>35</v>
      </c>
      <c r="CO41" s="15">
        <v>5565740</v>
      </c>
      <c r="CP41" s="14">
        <v>4482.1312459000001</v>
      </c>
      <c r="CQ41" s="14">
        <v>3072.1270307899999</v>
      </c>
      <c r="CR41" s="14">
        <v>1410.0042151099999</v>
      </c>
      <c r="CS41" s="14">
        <v>322208.64360129001</v>
      </c>
      <c r="CT41" s="14">
        <v>320995.10429082997</v>
      </c>
      <c r="CU41" s="18">
        <v>0</v>
      </c>
      <c r="CV41" s="14">
        <v>0</v>
      </c>
      <c r="CW41" s="49" t="s">
        <v>52</v>
      </c>
      <c r="CX41" s="17" t="s">
        <v>100</v>
      </c>
      <c r="CY41" s="16" t="s">
        <v>117</v>
      </c>
      <c r="CZ41" s="15">
        <v>35</v>
      </c>
      <c r="DA41" s="15">
        <v>5595687</v>
      </c>
      <c r="DB41" s="14">
        <v>4660.7802432199996</v>
      </c>
      <c r="DC41" s="14">
        <v>3563.5837491799998</v>
      </c>
      <c r="DD41" s="14">
        <v>1097.1964940400101</v>
      </c>
      <c r="DE41" s="112">
        <v>323324.82594314002</v>
      </c>
      <c r="DF41" s="14">
        <v>323093.24563239003</v>
      </c>
      <c r="DG41" s="15">
        <v>0</v>
      </c>
      <c r="DH41" s="14">
        <v>0</v>
      </c>
      <c r="DI41" s="2" t="s">
        <v>52</v>
      </c>
      <c r="DJ41" s="85" t="s">
        <v>100</v>
      </c>
      <c r="DK41" s="86" t="s">
        <v>117</v>
      </c>
      <c r="DL41" s="87">
        <v>35</v>
      </c>
      <c r="DM41" s="87">
        <v>5624351</v>
      </c>
      <c r="DN41" s="88">
        <v>5279.51067633</v>
      </c>
      <c r="DO41" s="88">
        <v>3440.0959968400002</v>
      </c>
      <c r="DP41" s="88">
        <v>1839.41467949</v>
      </c>
      <c r="DQ41" s="111">
        <v>319902.63682002999</v>
      </c>
      <c r="DR41" s="88">
        <v>322414.83701184002</v>
      </c>
      <c r="DS41" s="87">
        <v>0</v>
      </c>
      <c r="DT41" s="88">
        <v>0</v>
      </c>
      <c r="DU41" s="2" t="s">
        <v>52</v>
      </c>
      <c r="DV41" s="136"/>
      <c r="DW41" s="137"/>
      <c r="DX41" s="2" t="s">
        <v>52</v>
      </c>
      <c r="DY41" s="136">
        <f t="shared" si="141"/>
        <v>0.13275254374201886</v>
      </c>
      <c r="DZ41" s="137">
        <f t="shared" si="142"/>
        <v>0.6764678792556591</v>
      </c>
      <c r="EA41" s="138">
        <f t="shared" si="143"/>
        <v>-2.0997301234885234E-3</v>
      </c>
    </row>
    <row r="42" spans="1:131" x14ac:dyDescent="0.5">
      <c r="A42" s="17" t="s">
        <v>99</v>
      </c>
      <c r="B42" s="16" t="s">
        <v>116</v>
      </c>
      <c r="C42" s="21">
        <v>107094.49949546</v>
      </c>
      <c r="D42" s="21">
        <v>113587.79437767999</v>
      </c>
      <c r="E42" s="49" t="s">
        <v>52</v>
      </c>
      <c r="F42" s="17" t="s">
        <v>99</v>
      </c>
      <c r="G42" s="16" t="s">
        <v>116</v>
      </c>
      <c r="H42" s="15">
        <v>28</v>
      </c>
      <c r="I42" s="15">
        <v>3121223</v>
      </c>
      <c r="J42" s="14">
        <v>3583.91262654</v>
      </c>
      <c r="K42" s="14">
        <v>1478.1664463100001</v>
      </c>
      <c r="L42" s="14">
        <v>2105.7461802299999</v>
      </c>
      <c r="M42" s="14">
        <v>113009.40886162</v>
      </c>
      <c r="N42" s="14">
        <v>118248.56153799</v>
      </c>
      <c r="O42" s="15">
        <v>0</v>
      </c>
      <c r="P42" s="14">
        <v>0</v>
      </c>
      <c r="Q42" s="49" t="s">
        <v>52</v>
      </c>
      <c r="R42" s="17" t="s">
        <v>99</v>
      </c>
      <c r="S42" s="16" t="s">
        <v>116</v>
      </c>
      <c r="T42" s="15">
        <v>29</v>
      </c>
      <c r="U42" s="15">
        <v>3226116</v>
      </c>
      <c r="V42" s="14">
        <v>4508.2554059900003</v>
      </c>
      <c r="W42" s="14">
        <v>1581.4556663200001</v>
      </c>
      <c r="X42" s="14">
        <v>2926.7997396699998</v>
      </c>
      <c r="Y42" s="14">
        <v>118153.72857389</v>
      </c>
      <c r="Z42" s="14">
        <v>123714.43664792</v>
      </c>
      <c r="AA42" s="15">
        <v>0</v>
      </c>
      <c r="AB42" s="14">
        <v>0</v>
      </c>
      <c r="AC42" s="49" t="s">
        <v>52</v>
      </c>
      <c r="AD42" s="17" t="s">
        <v>99</v>
      </c>
      <c r="AE42" s="16" t="s">
        <v>116</v>
      </c>
      <c r="AF42" s="15">
        <v>29</v>
      </c>
      <c r="AG42" s="15">
        <v>3307121</v>
      </c>
      <c r="AH42" s="14">
        <v>4514.2514679200003</v>
      </c>
      <c r="AI42" s="14">
        <v>1304.2772468200001</v>
      </c>
      <c r="AJ42" s="14">
        <v>3209.9742210999998</v>
      </c>
      <c r="AK42" s="14">
        <v>123584.50152472001</v>
      </c>
      <c r="AL42" s="14">
        <v>130104.79473783</v>
      </c>
      <c r="AM42" s="15">
        <v>0</v>
      </c>
      <c r="AN42" s="14">
        <v>0</v>
      </c>
      <c r="AO42" s="49" t="s">
        <v>52</v>
      </c>
      <c r="AP42" s="17" t="s">
        <v>99</v>
      </c>
      <c r="AQ42" s="16" t="s">
        <v>116</v>
      </c>
      <c r="AR42" s="15">
        <v>29</v>
      </c>
      <c r="AS42" s="15">
        <v>3459194</v>
      </c>
      <c r="AT42" s="14">
        <v>7480.7754642</v>
      </c>
      <c r="AU42" s="14">
        <v>1283.55716764</v>
      </c>
      <c r="AV42" s="14">
        <v>6197.2182965600005</v>
      </c>
      <c r="AW42" s="14">
        <v>128426.74021118</v>
      </c>
      <c r="AX42" s="14">
        <v>135201.00381369001</v>
      </c>
      <c r="AY42" s="15">
        <v>0</v>
      </c>
      <c r="AZ42" s="14">
        <v>0</v>
      </c>
      <c r="BA42" s="49" t="s">
        <v>52</v>
      </c>
      <c r="BB42" s="17" t="s">
        <v>99</v>
      </c>
      <c r="BC42" s="16" t="s">
        <v>116</v>
      </c>
      <c r="BD42" s="15">
        <v>30</v>
      </c>
      <c r="BE42" s="15">
        <v>3560534</v>
      </c>
      <c r="BF42" s="14">
        <v>4633.0018955899995</v>
      </c>
      <c r="BG42" s="14">
        <v>1105.0928587999999</v>
      </c>
      <c r="BH42" s="14">
        <v>3527.9090367899998</v>
      </c>
      <c r="BI42" s="14">
        <v>132103.61548318001</v>
      </c>
      <c r="BJ42" s="14">
        <v>139994.94141398999</v>
      </c>
      <c r="BK42" s="15">
        <v>0</v>
      </c>
      <c r="BL42" s="14">
        <v>0</v>
      </c>
      <c r="BM42" s="49" t="s">
        <v>52</v>
      </c>
      <c r="BN42" s="20" t="s">
        <v>99</v>
      </c>
      <c r="BO42" s="16" t="s">
        <v>116</v>
      </c>
      <c r="BP42" s="15">
        <v>31</v>
      </c>
      <c r="BQ42" s="15">
        <v>3704172</v>
      </c>
      <c r="BR42" s="14">
        <v>6608.0378198500002</v>
      </c>
      <c r="BS42" s="14">
        <v>1625.8258417699999</v>
      </c>
      <c r="BT42" s="14">
        <v>4982.2119780800003</v>
      </c>
      <c r="BU42" s="14">
        <v>140416.71757963</v>
      </c>
      <c r="BV42" s="14">
        <v>147700.94282838999</v>
      </c>
      <c r="BW42" s="18">
        <v>0</v>
      </c>
      <c r="BX42" s="19">
        <v>0</v>
      </c>
      <c r="BY42" s="49" t="s">
        <v>52</v>
      </c>
      <c r="BZ42" s="20" t="s">
        <v>99</v>
      </c>
      <c r="CA42" s="16" t="s">
        <v>116</v>
      </c>
      <c r="CB42" s="15">
        <v>31</v>
      </c>
      <c r="CC42" s="15">
        <v>3861455</v>
      </c>
      <c r="CD42" s="14">
        <v>6706.8455362599998</v>
      </c>
      <c r="CE42" s="14">
        <v>1362.6600139300001</v>
      </c>
      <c r="CF42" s="14">
        <v>5344.1855223299999</v>
      </c>
      <c r="CG42" s="14">
        <v>151071.71016208001</v>
      </c>
      <c r="CH42" s="14">
        <v>157277.39439450999</v>
      </c>
      <c r="CI42" s="18">
        <v>0</v>
      </c>
      <c r="CJ42" s="19">
        <v>0</v>
      </c>
      <c r="CK42" s="49" t="s">
        <v>52</v>
      </c>
      <c r="CL42" s="17" t="s">
        <v>99</v>
      </c>
      <c r="CM42" s="16" t="s">
        <v>116</v>
      </c>
      <c r="CN42" s="15">
        <v>32</v>
      </c>
      <c r="CO42" s="15">
        <v>4016236</v>
      </c>
      <c r="CP42" s="14">
        <v>6655.48775234</v>
      </c>
      <c r="CQ42" s="14">
        <v>1340.62955947</v>
      </c>
      <c r="CR42" s="14">
        <v>5314.8581928699996</v>
      </c>
      <c r="CS42" s="14">
        <v>157266.66639289999</v>
      </c>
      <c r="CT42" s="14">
        <v>164438.97614653999</v>
      </c>
      <c r="CU42" s="18">
        <v>0</v>
      </c>
      <c r="CV42" s="14">
        <v>0</v>
      </c>
      <c r="CW42" s="49" t="s">
        <v>52</v>
      </c>
      <c r="CX42" s="17" t="s">
        <v>99</v>
      </c>
      <c r="CY42" s="16" t="s">
        <v>116</v>
      </c>
      <c r="CZ42" s="15">
        <v>33</v>
      </c>
      <c r="DA42" s="15">
        <v>4249832</v>
      </c>
      <c r="DB42" s="14">
        <v>8927.2308491600106</v>
      </c>
      <c r="DC42" s="14">
        <v>1501.25218819</v>
      </c>
      <c r="DD42" s="14">
        <v>7425.9786609700104</v>
      </c>
      <c r="DE42" s="14">
        <v>164730.82674007001</v>
      </c>
      <c r="DF42" s="14">
        <v>173823.59097282999</v>
      </c>
      <c r="DG42" s="15">
        <v>0</v>
      </c>
      <c r="DH42" s="14">
        <v>0</v>
      </c>
      <c r="DI42" s="2" t="s">
        <v>52</v>
      </c>
      <c r="DJ42" s="85" t="s">
        <v>99</v>
      </c>
      <c r="DK42" s="86" t="s">
        <v>116</v>
      </c>
      <c r="DL42" s="87">
        <v>33</v>
      </c>
      <c r="DM42" s="87">
        <v>4592478</v>
      </c>
      <c r="DN42" s="88">
        <v>12139.13351365</v>
      </c>
      <c r="DO42" s="88">
        <v>1653.75271226</v>
      </c>
      <c r="DP42" s="88">
        <v>10485.38080139</v>
      </c>
      <c r="DQ42" s="88">
        <v>174660.32231587</v>
      </c>
      <c r="DR42" s="88">
        <v>185088.94913086001</v>
      </c>
      <c r="DS42" s="87">
        <v>0</v>
      </c>
      <c r="DT42" s="88">
        <v>0</v>
      </c>
      <c r="DU42" s="2" t="s">
        <v>52</v>
      </c>
      <c r="DV42" s="136"/>
      <c r="DW42" s="137"/>
      <c r="DX42" s="2" t="s">
        <v>52</v>
      </c>
      <c r="DY42" s="136">
        <f t="shared" si="141"/>
        <v>0.35978711862169521</v>
      </c>
      <c r="DZ42" s="137">
        <f t="shared" si="142"/>
        <v>0.41198638995555076</v>
      </c>
      <c r="EA42" s="138">
        <f t="shared" si="143"/>
        <v>6.4809144115489409E-2</v>
      </c>
    </row>
    <row r="43" spans="1:131" x14ac:dyDescent="0.5">
      <c r="A43" s="17" t="s">
        <v>115</v>
      </c>
      <c r="B43" s="16" t="s">
        <v>1</v>
      </c>
      <c r="C43" s="21">
        <v>204086.87663099001</v>
      </c>
      <c r="D43" s="21">
        <v>246994.05780939999</v>
      </c>
      <c r="E43" s="49" t="s">
        <v>52</v>
      </c>
      <c r="F43" s="17" t="s">
        <v>115</v>
      </c>
      <c r="G43" s="16" t="s">
        <v>1</v>
      </c>
      <c r="H43" s="15">
        <v>32</v>
      </c>
      <c r="I43" s="15">
        <v>613752</v>
      </c>
      <c r="J43" s="14">
        <v>27058.80171607</v>
      </c>
      <c r="K43" s="14">
        <v>15268.43223004</v>
      </c>
      <c r="L43" s="14">
        <v>11790.36948603</v>
      </c>
      <c r="M43" s="14">
        <v>213013.57701301001</v>
      </c>
      <c r="N43" s="14">
        <v>254278.6415878</v>
      </c>
      <c r="O43" s="15">
        <v>0</v>
      </c>
      <c r="P43" s="14">
        <v>0</v>
      </c>
      <c r="Q43" s="49" t="s">
        <v>52</v>
      </c>
      <c r="R43" s="17" t="s">
        <v>115</v>
      </c>
      <c r="S43" s="16" t="s">
        <v>1</v>
      </c>
      <c r="T43" s="15">
        <v>32</v>
      </c>
      <c r="U43" s="15">
        <v>631630</v>
      </c>
      <c r="V43" s="14">
        <v>29587.695200009999</v>
      </c>
      <c r="W43" s="14">
        <v>13885.72210782</v>
      </c>
      <c r="X43" s="14">
        <v>15701.973092190001</v>
      </c>
      <c r="Y43" s="14">
        <v>233962.91777182001</v>
      </c>
      <c r="Z43" s="14">
        <v>269464.05152142001</v>
      </c>
      <c r="AA43" s="15">
        <v>0</v>
      </c>
      <c r="AB43" s="14">
        <v>0</v>
      </c>
      <c r="AC43" s="49" t="s">
        <v>52</v>
      </c>
      <c r="AD43" s="17" t="s">
        <v>115</v>
      </c>
      <c r="AE43" s="16" t="s">
        <v>1</v>
      </c>
      <c r="AF43" s="15">
        <v>32</v>
      </c>
      <c r="AG43" s="15">
        <v>647318</v>
      </c>
      <c r="AH43" s="14">
        <v>33989.862625219997</v>
      </c>
      <c r="AI43" s="14">
        <v>18405.290286480002</v>
      </c>
      <c r="AJ43" s="14">
        <v>15584.572338739999</v>
      </c>
      <c r="AK43" s="14">
        <v>249364.93168072001</v>
      </c>
      <c r="AL43" s="14">
        <v>285570.19333137001</v>
      </c>
      <c r="AM43" s="15">
        <v>0</v>
      </c>
      <c r="AN43" s="14">
        <v>0</v>
      </c>
      <c r="AO43" s="49" t="s">
        <v>52</v>
      </c>
      <c r="AP43" s="17" t="s">
        <v>115</v>
      </c>
      <c r="AQ43" s="16" t="s">
        <v>1</v>
      </c>
      <c r="AR43" s="15">
        <v>32</v>
      </c>
      <c r="AS43" s="15">
        <v>664338</v>
      </c>
      <c r="AT43" s="14">
        <v>29743.4019567</v>
      </c>
      <c r="AU43" s="14">
        <v>22447.70169238</v>
      </c>
      <c r="AV43" s="14">
        <v>7295.7002643200103</v>
      </c>
      <c r="AW43" s="14">
        <v>256675.49446315001</v>
      </c>
      <c r="AX43" s="14">
        <v>300840.51855546999</v>
      </c>
      <c r="AY43" s="15">
        <v>0</v>
      </c>
      <c r="AZ43" s="14">
        <v>0</v>
      </c>
      <c r="BA43" s="49" t="s">
        <v>52</v>
      </c>
      <c r="BB43" s="17" t="s">
        <v>115</v>
      </c>
      <c r="BC43" s="16" t="s">
        <v>1</v>
      </c>
      <c r="BD43" s="15">
        <v>33</v>
      </c>
      <c r="BE43" s="15">
        <v>681565</v>
      </c>
      <c r="BF43" s="14">
        <v>27877.670500110002</v>
      </c>
      <c r="BG43" s="14">
        <v>21211.169787499999</v>
      </c>
      <c r="BH43" s="14">
        <v>6666.5007126099999</v>
      </c>
      <c r="BI43" s="14">
        <v>258923.3482866</v>
      </c>
      <c r="BJ43" s="14">
        <v>306405.44651819998</v>
      </c>
      <c r="BK43" s="15">
        <v>0</v>
      </c>
      <c r="BL43" s="14">
        <v>0</v>
      </c>
      <c r="BM43" s="49" t="s">
        <v>52</v>
      </c>
      <c r="BN43" s="20" t="s">
        <v>115</v>
      </c>
      <c r="BO43" s="16" t="s">
        <v>1</v>
      </c>
      <c r="BP43" s="15">
        <v>33</v>
      </c>
      <c r="BQ43" s="15">
        <v>693596</v>
      </c>
      <c r="BR43" s="14">
        <v>29529.795923139998</v>
      </c>
      <c r="BS43" s="14">
        <v>30518.046050090001</v>
      </c>
      <c r="BT43" s="14">
        <v>-988.25012694999202</v>
      </c>
      <c r="BU43" s="14">
        <v>263757.18100653001</v>
      </c>
      <c r="BV43" s="14">
        <v>310801.91222256998</v>
      </c>
      <c r="BW43" s="18">
        <v>0</v>
      </c>
      <c r="BX43" s="19">
        <v>0</v>
      </c>
      <c r="BY43" s="49" t="s">
        <v>52</v>
      </c>
      <c r="BZ43" s="20" t="s">
        <v>115</v>
      </c>
      <c r="CA43" s="16" t="s">
        <v>1</v>
      </c>
      <c r="CB43" s="15">
        <v>34</v>
      </c>
      <c r="CC43" s="15">
        <v>705317</v>
      </c>
      <c r="CD43" s="14">
        <v>29165.922402069998</v>
      </c>
      <c r="CE43" s="14">
        <v>22246.15520465</v>
      </c>
      <c r="CF43" s="14">
        <v>6919.7671974199902</v>
      </c>
      <c r="CG43" s="14">
        <v>271401.97071651003</v>
      </c>
      <c r="CH43" s="14">
        <v>316817.81664431002</v>
      </c>
      <c r="CI43" s="18">
        <v>0</v>
      </c>
      <c r="CJ43" s="19">
        <v>0</v>
      </c>
      <c r="CK43" s="49" t="s">
        <v>52</v>
      </c>
      <c r="CL43" s="17" t="s">
        <v>115</v>
      </c>
      <c r="CM43" s="16" t="s">
        <v>1</v>
      </c>
      <c r="CN43" s="15">
        <v>35</v>
      </c>
      <c r="CO43" s="15">
        <v>718209</v>
      </c>
      <c r="CP43" s="14">
        <v>22238.09602433</v>
      </c>
      <c r="CQ43" s="14">
        <v>18046.189334809998</v>
      </c>
      <c r="CR43" s="14">
        <v>4191.9066895200203</v>
      </c>
      <c r="CS43" s="14">
        <v>274612.25321545999</v>
      </c>
      <c r="CT43" s="14">
        <v>324252.19516479003</v>
      </c>
      <c r="CU43" s="18">
        <v>0</v>
      </c>
      <c r="CV43" s="14">
        <v>0</v>
      </c>
      <c r="CW43" s="49" t="s">
        <v>52</v>
      </c>
      <c r="CX43" s="17" t="s">
        <v>115</v>
      </c>
      <c r="CY43" s="16" t="s">
        <v>1</v>
      </c>
      <c r="CZ43" s="15">
        <v>36</v>
      </c>
      <c r="DA43" s="15">
        <v>741825</v>
      </c>
      <c r="DB43" s="14">
        <v>26537.84875746</v>
      </c>
      <c r="DC43" s="14">
        <v>26411.53554791</v>
      </c>
      <c r="DD43" s="14">
        <v>126.31320954996001</v>
      </c>
      <c r="DE43" s="112">
        <v>278127.94472790998</v>
      </c>
      <c r="DF43" s="14">
        <v>326834.53747684002</v>
      </c>
      <c r="DG43" s="15">
        <v>0</v>
      </c>
      <c r="DH43" s="14">
        <v>0</v>
      </c>
      <c r="DI43" s="2" t="s">
        <v>52</v>
      </c>
      <c r="DJ43" s="85" t="s">
        <v>115</v>
      </c>
      <c r="DK43" s="86" t="s">
        <v>1</v>
      </c>
      <c r="DL43" s="87">
        <v>36</v>
      </c>
      <c r="DM43" s="87">
        <v>762151</v>
      </c>
      <c r="DN43" s="88">
        <v>27817.438938669999</v>
      </c>
      <c r="DO43" s="88">
        <v>24524.139347939999</v>
      </c>
      <c r="DP43" s="88">
        <v>3293.2995907300201</v>
      </c>
      <c r="DQ43" s="111">
        <v>276654.07207345997</v>
      </c>
      <c r="DR43" s="88">
        <v>333040.47966110997</v>
      </c>
      <c r="DS43" s="87">
        <v>0</v>
      </c>
      <c r="DT43" s="88">
        <v>0</v>
      </c>
      <c r="DU43" s="2" t="s">
        <v>52</v>
      </c>
      <c r="DV43" s="136"/>
      <c r="DW43" s="137"/>
      <c r="DX43" s="2" t="s">
        <v>52</v>
      </c>
      <c r="DY43" s="136">
        <f t="shared" si="141"/>
        <v>4.8217554968553934E-2</v>
      </c>
      <c r="DZ43" s="137">
        <f t="shared" si="142"/>
        <v>25.07248760809485</v>
      </c>
      <c r="EA43" s="138">
        <f t="shared" si="143"/>
        <v>1.8988024436400679E-2</v>
      </c>
    </row>
    <row r="44" spans="1:131" x14ac:dyDescent="0.5">
      <c r="A44" s="17" t="s">
        <v>114</v>
      </c>
      <c r="B44" s="16" t="s">
        <v>16</v>
      </c>
      <c r="C44" s="21">
        <v>41260.386520070002</v>
      </c>
      <c r="D44" s="21">
        <v>43262.126439450003</v>
      </c>
      <c r="E44" s="49" t="s">
        <v>52</v>
      </c>
      <c r="F44" s="17" t="s">
        <v>114</v>
      </c>
      <c r="G44" s="16" t="s">
        <v>16</v>
      </c>
      <c r="H44" s="15">
        <v>23</v>
      </c>
      <c r="I44" s="15">
        <v>480108</v>
      </c>
      <c r="J44" s="14">
        <v>1438.9389822999999</v>
      </c>
      <c r="K44" s="14">
        <v>1580.86250617</v>
      </c>
      <c r="L44" s="14">
        <v>-141.92352387</v>
      </c>
      <c r="M44" s="14">
        <v>41880.940118990002</v>
      </c>
      <c r="N44" s="14">
        <v>43776.74204764</v>
      </c>
      <c r="O44" s="15">
        <v>1</v>
      </c>
      <c r="P44" s="14">
        <v>0</v>
      </c>
      <c r="Q44" s="49" t="s">
        <v>52</v>
      </c>
      <c r="R44" s="17" t="s">
        <v>114</v>
      </c>
      <c r="S44" s="16" t="s">
        <v>16</v>
      </c>
      <c r="T44" s="15">
        <v>23</v>
      </c>
      <c r="U44" s="15">
        <v>482654</v>
      </c>
      <c r="V44" s="14">
        <v>1906.4279939400001</v>
      </c>
      <c r="W44" s="14">
        <v>1336.96340538</v>
      </c>
      <c r="X44" s="14">
        <v>569.46458856000004</v>
      </c>
      <c r="Y44" s="14">
        <v>43012.56637334</v>
      </c>
      <c r="Z44" s="14">
        <v>44756.329358800002</v>
      </c>
      <c r="AA44" s="15">
        <v>1</v>
      </c>
      <c r="AB44" s="14">
        <v>0</v>
      </c>
      <c r="AC44" s="49" t="s">
        <v>52</v>
      </c>
      <c r="AD44" s="17" t="s">
        <v>114</v>
      </c>
      <c r="AE44" s="16" t="s">
        <v>16</v>
      </c>
      <c r="AF44" s="15">
        <v>23</v>
      </c>
      <c r="AG44" s="15">
        <v>487952</v>
      </c>
      <c r="AH44" s="14">
        <v>2453.4675831099999</v>
      </c>
      <c r="AI44" s="14">
        <v>1380.57128117</v>
      </c>
      <c r="AJ44" s="14">
        <v>1072.8963019400001</v>
      </c>
      <c r="AK44" s="14">
        <v>44639.455151000002</v>
      </c>
      <c r="AL44" s="14">
        <v>46181.21970216</v>
      </c>
      <c r="AM44" s="15">
        <v>1</v>
      </c>
      <c r="AN44" s="14">
        <v>0</v>
      </c>
      <c r="AO44" s="49" t="s">
        <v>52</v>
      </c>
      <c r="AP44" s="17" t="s">
        <v>114</v>
      </c>
      <c r="AQ44" s="16" t="s">
        <v>16</v>
      </c>
      <c r="AR44" s="15">
        <v>24</v>
      </c>
      <c r="AS44" s="15">
        <v>500437</v>
      </c>
      <c r="AT44" s="14">
        <v>3577.8007385400001</v>
      </c>
      <c r="AU44" s="14">
        <v>1474.17203784</v>
      </c>
      <c r="AV44" s="14">
        <v>2103.6287007000001</v>
      </c>
      <c r="AW44" s="14">
        <v>45727.487120739999</v>
      </c>
      <c r="AX44" s="14">
        <v>48143.708182449998</v>
      </c>
      <c r="AY44" s="15">
        <v>1</v>
      </c>
      <c r="AZ44" s="14">
        <v>0</v>
      </c>
      <c r="BA44" s="49" t="s">
        <v>52</v>
      </c>
      <c r="BB44" s="17" t="s">
        <v>114</v>
      </c>
      <c r="BC44" s="16" t="s">
        <v>16</v>
      </c>
      <c r="BD44" s="15">
        <v>25</v>
      </c>
      <c r="BE44" s="15">
        <v>510097</v>
      </c>
      <c r="BF44" s="14">
        <v>2450.1994115000002</v>
      </c>
      <c r="BG44" s="14">
        <v>1581.41130438</v>
      </c>
      <c r="BH44" s="14">
        <v>868.78810711999904</v>
      </c>
      <c r="BI44" s="14">
        <v>46236.228808630003</v>
      </c>
      <c r="BJ44" s="14">
        <v>49345.621313349999</v>
      </c>
      <c r="BK44" s="15">
        <v>1</v>
      </c>
      <c r="BL44" s="14">
        <v>0</v>
      </c>
      <c r="BM44" s="49" t="s">
        <v>52</v>
      </c>
      <c r="BN44" s="20" t="s">
        <v>114</v>
      </c>
      <c r="BO44" s="16" t="s">
        <v>16</v>
      </c>
      <c r="BP44" s="15">
        <v>25</v>
      </c>
      <c r="BQ44" s="15">
        <v>515464</v>
      </c>
      <c r="BR44" s="14">
        <v>3261.02139915</v>
      </c>
      <c r="BS44" s="14">
        <v>1514.0551598</v>
      </c>
      <c r="BT44" s="14">
        <v>1746.96623935</v>
      </c>
      <c r="BU44" s="14">
        <v>48300.27868797</v>
      </c>
      <c r="BV44" s="14">
        <v>51243.411344660002</v>
      </c>
      <c r="BW44" s="18">
        <v>1</v>
      </c>
      <c r="BX44" s="19">
        <v>0</v>
      </c>
      <c r="BY44" s="49" t="s">
        <v>52</v>
      </c>
      <c r="BZ44" s="20" t="s">
        <v>114</v>
      </c>
      <c r="CA44" s="16" t="s">
        <v>16</v>
      </c>
      <c r="CB44" s="15">
        <v>25</v>
      </c>
      <c r="CC44" s="15">
        <v>517166</v>
      </c>
      <c r="CD44" s="14">
        <v>2043.1137725900001</v>
      </c>
      <c r="CE44" s="14">
        <v>1831.3346574100001</v>
      </c>
      <c r="CF44" s="14">
        <v>211.77911518000101</v>
      </c>
      <c r="CG44" s="14">
        <v>49251.120806879997</v>
      </c>
      <c r="CH44" s="14">
        <v>52601.995488909997</v>
      </c>
      <c r="CI44" s="18">
        <v>1</v>
      </c>
      <c r="CJ44" s="19">
        <v>0</v>
      </c>
      <c r="CK44" s="49" t="s">
        <v>52</v>
      </c>
      <c r="CL44" s="17" t="s">
        <v>114</v>
      </c>
      <c r="CM44" s="16" t="s">
        <v>16</v>
      </c>
      <c r="CN44" s="15">
        <v>25</v>
      </c>
      <c r="CO44" s="15">
        <v>521328</v>
      </c>
      <c r="CP44" s="14">
        <v>2590.4838966500001</v>
      </c>
      <c r="CQ44" s="14">
        <v>1498.92443755</v>
      </c>
      <c r="CR44" s="14">
        <v>1091.5594590999999</v>
      </c>
      <c r="CS44" s="14">
        <v>50672.79067735</v>
      </c>
      <c r="CT44" s="14">
        <v>53587.605000639996</v>
      </c>
      <c r="CU44" s="18">
        <v>1</v>
      </c>
      <c r="CV44" s="14">
        <v>0</v>
      </c>
      <c r="CW44" s="49" t="s">
        <v>52</v>
      </c>
      <c r="CX44" s="17" t="s">
        <v>114</v>
      </c>
      <c r="CY44" s="16" t="s">
        <v>16</v>
      </c>
      <c r="CZ44" s="15">
        <v>25</v>
      </c>
      <c r="DA44" s="15">
        <v>525857</v>
      </c>
      <c r="DB44" s="14">
        <v>2578.1743824099999</v>
      </c>
      <c r="DC44" s="14">
        <v>1867.55708482</v>
      </c>
      <c r="DD44" s="14">
        <v>710.61729759000104</v>
      </c>
      <c r="DE44" s="112">
        <v>51235.168255880002</v>
      </c>
      <c r="DF44" s="14">
        <v>54928.03265899</v>
      </c>
      <c r="DG44" s="15">
        <v>1</v>
      </c>
      <c r="DH44" s="14">
        <v>0</v>
      </c>
      <c r="DI44" s="2" t="s">
        <v>52</v>
      </c>
      <c r="DJ44" s="85" t="s">
        <v>114</v>
      </c>
      <c r="DK44" s="86" t="s">
        <v>16</v>
      </c>
      <c r="DL44" s="87">
        <v>25</v>
      </c>
      <c r="DM44" s="87">
        <v>528385</v>
      </c>
      <c r="DN44" s="88">
        <v>1981.8468418800001</v>
      </c>
      <c r="DO44" s="88">
        <v>1844.8762306199999</v>
      </c>
      <c r="DP44" s="88">
        <v>136.97061126</v>
      </c>
      <c r="DQ44" s="111">
        <v>50740.465864910002</v>
      </c>
      <c r="DR44" s="88">
        <v>55314.779085030001</v>
      </c>
      <c r="DS44" s="87">
        <v>1</v>
      </c>
      <c r="DT44" s="88">
        <v>0</v>
      </c>
      <c r="DU44" s="2" t="s">
        <v>52</v>
      </c>
      <c r="DV44" s="136"/>
      <c r="DW44" s="137"/>
      <c r="DX44" s="2" t="s">
        <v>52</v>
      </c>
      <c r="DY44" s="136">
        <f t="shared" si="141"/>
        <v>-0.23129837322042227</v>
      </c>
      <c r="DZ44" s="137">
        <f t="shared" si="142"/>
        <v>-0.80725122829893914</v>
      </c>
      <c r="EA44" s="138">
        <f t="shared" si="143"/>
        <v>7.0409662847573844E-3</v>
      </c>
    </row>
    <row r="45" spans="1:131" x14ac:dyDescent="0.5">
      <c r="A45" s="27" t="s">
        <v>83</v>
      </c>
      <c r="B45" s="27" t="s">
        <v>113</v>
      </c>
      <c r="C45" s="26">
        <f t="shared" ref="C45:D45" si="144">SUM(C39:C44)</f>
        <v>883443.5086113601</v>
      </c>
      <c r="D45" s="26">
        <f t="shared" si="144"/>
        <v>926102.69001222996</v>
      </c>
      <c r="E45" s="49" t="s">
        <v>52</v>
      </c>
      <c r="F45" s="27" t="s">
        <v>83</v>
      </c>
      <c r="G45" s="27" t="s">
        <v>113</v>
      </c>
      <c r="H45" s="26">
        <f t="shared" ref="H45" si="145">SUM(H39:H44)</f>
        <v>167</v>
      </c>
      <c r="I45" s="26">
        <f t="shared" ref="I45" si="146">SUM(I39:I44)</f>
        <v>15804441</v>
      </c>
      <c r="J45" s="26">
        <f t="shared" ref="J45" si="147">SUM(J39:J44)</f>
        <v>38846.166926710001</v>
      </c>
      <c r="K45" s="26">
        <f t="shared" ref="K45" si="148">SUM(K39:K44)</f>
        <v>24598.61823362</v>
      </c>
      <c r="L45" s="26">
        <f t="shared" ref="L45" si="149">SUM(L39:L44)</f>
        <v>14247.548693089999</v>
      </c>
      <c r="M45" s="26">
        <f t="shared" ref="M45" si="150">SUM(M39:M44)</f>
        <v>914821.31668469007</v>
      </c>
      <c r="N45" s="26">
        <f t="shared" ref="N45" si="151">SUM(N39:N44)</f>
        <v>952905.03597517009</v>
      </c>
      <c r="O45" s="26">
        <f t="shared" ref="O45" si="152">SUM(O39:O44)</f>
        <v>3</v>
      </c>
      <c r="P45" s="26">
        <f t="shared" ref="P45" si="153">SUM(P39:P44)</f>
        <v>0</v>
      </c>
      <c r="Q45" s="49" t="s">
        <v>52</v>
      </c>
      <c r="R45" s="27" t="s">
        <v>83</v>
      </c>
      <c r="S45" s="27" t="s">
        <v>113</v>
      </c>
      <c r="T45" s="26">
        <f t="shared" ref="T45" si="154">SUM(T39:T44)</f>
        <v>168</v>
      </c>
      <c r="U45" s="26">
        <f t="shared" ref="U45" si="155">SUM(U39:U44)</f>
        <v>15989423</v>
      </c>
      <c r="V45" s="26">
        <f t="shared" ref="V45" si="156">SUM(V39:V44)</f>
        <v>43537.167292509999</v>
      </c>
      <c r="W45" s="26">
        <f t="shared" ref="W45" si="157">SUM(W39:W44)</f>
        <v>22772.115097540001</v>
      </c>
      <c r="X45" s="26">
        <f t="shared" ref="X45" si="158">SUM(X39:X44)</f>
        <v>20765.052194970001</v>
      </c>
      <c r="Y45" s="26">
        <f t="shared" ref="Y45" si="159">SUM(Y39:Y44)</f>
        <v>955362.29278350004</v>
      </c>
      <c r="Z45" s="26">
        <f t="shared" ref="Z45" si="160">SUM(Z39:Z44)</f>
        <v>993012.65434315999</v>
      </c>
      <c r="AA45" s="26">
        <f t="shared" ref="AA45" si="161">SUM(AA39:AA44)</f>
        <v>3</v>
      </c>
      <c r="AB45" s="26">
        <f t="shared" ref="AB45" si="162">SUM(AB39:AB44)</f>
        <v>0</v>
      </c>
      <c r="AC45" s="49" t="s">
        <v>52</v>
      </c>
      <c r="AD45" s="27" t="s">
        <v>83</v>
      </c>
      <c r="AE45" s="27" t="s">
        <v>113</v>
      </c>
      <c r="AF45" s="26">
        <f t="shared" ref="AF45" si="163">SUM(AF39:AF44)</f>
        <v>168</v>
      </c>
      <c r="AG45" s="26">
        <f t="shared" ref="AG45" si="164">SUM(AG39:AG44)</f>
        <v>16193858</v>
      </c>
      <c r="AH45" s="26">
        <f t="shared" ref="AH45" si="165">SUM(AH39:AH44)</f>
        <v>49690.965981510002</v>
      </c>
      <c r="AI45" s="26">
        <f t="shared" ref="AI45" si="166">SUM(AI39:AI44)</f>
        <v>26468.316830920001</v>
      </c>
      <c r="AJ45" s="26">
        <f t="shared" ref="AJ45" si="167">SUM(AJ39:AJ44)</f>
        <v>23222.649150590001</v>
      </c>
      <c r="AK45" s="26">
        <f t="shared" ref="AK45" si="168">SUM(AK39:AK44)</f>
        <v>992008.59055259009</v>
      </c>
      <c r="AL45" s="26">
        <f t="shared" ref="AL45" si="169">SUM(AL39:AL44)</f>
        <v>1030054.93478306</v>
      </c>
      <c r="AM45" s="26">
        <f t="shared" ref="AM45" si="170">SUM(AM39:AM44)</f>
        <v>3</v>
      </c>
      <c r="AN45" s="26">
        <f t="shared" ref="AN45" si="171">SUM(AN39:AN44)</f>
        <v>0</v>
      </c>
      <c r="AO45" s="49" t="s">
        <v>52</v>
      </c>
      <c r="AP45" s="27" t="s">
        <v>83</v>
      </c>
      <c r="AQ45" s="27" t="s">
        <v>113</v>
      </c>
      <c r="AR45" s="26">
        <f t="shared" ref="AR45" si="172">SUM(AR39:AR44)</f>
        <v>169</v>
      </c>
      <c r="AS45" s="26">
        <f t="shared" ref="AS45" si="173">SUM(AS39:AS44)</f>
        <v>16528359</v>
      </c>
      <c r="AT45" s="26">
        <f t="shared" ref="AT45" si="174">SUM(AT39:AT44)</f>
        <v>51842.179473259996</v>
      </c>
      <c r="AU45" s="26">
        <f t="shared" ref="AU45" si="175">SUM(AU39:AU44)</f>
        <v>30962.709904609997</v>
      </c>
      <c r="AV45" s="26">
        <f t="shared" ref="AV45" si="176">SUM(AV39:AV44)</f>
        <v>20879.469568650009</v>
      </c>
      <c r="AW45" s="26">
        <f t="shared" ref="AW45" si="177">SUM(AW39:AW44)</f>
        <v>1003306.5302608199</v>
      </c>
      <c r="AX45" s="26">
        <f t="shared" ref="AX45" si="178">SUM(AX39:AX44)</f>
        <v>1061191.2738669999</v>
      </c>
      <c r="AY45" s="26">
        <f t="shared" ref="AY45" si="179">SUM(AY39:AY44)</f>
        <v>3</v>
      </c>
      <c r="AZ45" s="26">
        <f t="shared" ref="AZ45" si="180">SUM(AZ39:AZ44)</f>
        <v>0</v>
      </c>
      <c r="BA45" s="49" t="s">
        <v>52</v>
      </c>
      <c r="BB45" s="27" t="s">
        <v>83</v>
      </c>
      <c r="BC45" s="27" t="s">
        <v>113</v>
      </c>
      <c r="BD45" s="26">
        <f t="shared" ref="BD45" si="181">SUM(BD39:BD44)</f>
        <v>172</v>
      </c>
      <c r="BE45" s="26">
        <f t="shared" ref="BE45" si="182">SUM(BE39:BE44)</f>
        <v>16762314</v>
      </c>
      <c r="BF45" s="26">
        <f t="shared" ref="BF45" si="183">SUM(BF39:BF44)</f>
        <v>43680.806175619997</v>
      </c>
      <c r="BG45" s="26">
        <f t="shared" ref="BG45" si="184">SUM(BG39:BG44)</f>
        <v>28387.109576639999</v>
      </c>
      <c r="BH45" s="26">
        <f t="shared" ref="BH45" si="185">SUM(BH39:BH44)</f>
        <v>15293.696598979999</v>
      </c>
      <c r="BI45" s="26">
        <f t="shared" ref="BI45" si="186">SUM(BI39:BI44)</f>
        <v>1008076.77781424</v>
      </c>
      <c r="BJ45" s="26">
        <f t="shared" ref="BJ45" si="187">SUM(BJ39:BJ44)</f>
        <v>1070215.8484384599</v>
      </c>
      <c r="BK45" s="26">
        <f t="shared" ref="BK45" si="188">SUM(BK39:BK44)</f>
        <v>3</v>
      </c>
      <c r="BL45" s="26">
        <f t="shared" ref="BL45" si="189">SUM(BL39:BL44)</f>
        <v>0</v>
      </c>
      <c r="BM45" s="49" t="s">
        <v>52</v>
      </c>
      <c r="BN45" s="27" t="s">
        <v>83</v>
      </c>
      <c r="BO45" s="27" t="s">
        <v>113</v>
      </c>
      <c r="BP45" s="26">
        <f t="shared" ref="BP45" si="190">SUM(BP39:BP44)</f>
        <v>173</v>
      </c>
      <c r="BQ45" s="26">
        <f t="shared" ref="BQ45" si="191">SUM(BQ39:BQ44)</f>
        <v>17006412</v>
      </c>
      <c r="BR45" s="26">
        <f t="shared" ref="BR45" si="192">SUM(BR39:BR44)</f>
        <v>48835.6203456</v>
      </c>
      <c r="BS45" s="26">
        <f t="shared" ref="BS45" si="193">SUM(BS39:BS44)</f>
        <v>39438.395727570001</v>
      </c>
      <c r="BT45" s="26">
        <f t="shared" ref="BT45" si="194">SUM(BT39:BT44)</f>
        <v>9397.2246180300099</v>
      </c>
      <c r="BU45" s="26">
        <f t="shared" ref="BU45" si="195">SUM(BU39:BU44)</f>
        <v>1032911.1627666401</v>
      </c>
      <c r="BV45" s="26">
        <f t="shared" ref="BV45" si="196">SUM(BV39:BV44)</f>
        <v>1093889.9382948801</v>
      </c>
      <c r="BW45" s="26">
        <f t="shared" ref="BW45" si="197">SUM(BW39:BW44)</f>
        <v>3</v>
      </c>
      <c r="BX45" s="26">
        <f t="shared" ref="BX45" si="198">SUM(BX39:BX44)</f>
        <v>0</v>
      </c>
      <c r="BY45" s="49" t="s">
        <v>52</v>
      </c>
      <c r="BZ45" s="27" t="s">
        <v>83</v>
      </c>
      <c r="CA45" s="27" t="s">
        <v>113</v>
      </c>
      <c r="CB45" s="26">
        <f t="shared" ref="CB45" si="199">SUM(CB39:CB44)</f>
        <v>174</v>
      </c>
      <c r="CC45" s="26">
        <f t="shared" ref="CC45" si="200">SUM(CC39:CC44)</f>
        <v>17232659</v>
      </c>
      <c r="CD45" s="26">
        <f t="shared" ref="CD45" si="201">SUM(CD39:CD44)</f>
        <v>45912.092395089996</v>
      </c>
      <c r="CE45" s="26">
        <f t="shared" ref="CE45" si="202">SUM(CE39:CE44)</f>
        <v>31755.692764439998</v>
      </c>
      <c r="CF45" s="26">
        <f t="shared" ref="CF45" si="203">SUM(CF39:CF44)</f>
        <v>14156.399630649994</v>
      </c>
      <c r="CG45" s="26">
        <f t="shared" ref="CG45" si="204">SUM(CG39:CG44)</f>
        <v>1069776.5722814202</v>
      </c>
      <c r="CH45" s="26">
        <f t="shared" ref="CH45" si="205">SUM(CH39:CH44)</f>
        <v>1122090.27919423</v>
      </c>
      <c r="CI45" s="26">
        <f t="shared" ref="CI45" si="206">SUM(CI39:CI44)</f>
        <v>3</v>
      </c>
      <c r="CJ45" s="26">
        <f t="shared" ref="CJ45" si="207">SUM(CJ39:CJ44)</f>
        <v>0</v>
      </c>
      <c r="CK45" s="49" t="s">
        <v>52</v>
      </c>
      <c r="CL45" s="27" t="s">
        <v>83</v>
      </c>
      <c r="CM45" s="27" t="s">
        <v>113</v>
      </c>
      <c r="CN45" s="26">
        <f t="shared" ref="CN45" si="208">SUM(CN39:CN44)</f>
        <v>176</v>
      </c>
      <c r="CO45" s="26">
        <f t="shared" ref="CO45" si="209">SUM(CO39:CO44)</f>
        <v>17487062</v>
      </c>
      <c r="CP45" s="26">
        <f t="shared" ref="CP45" si="210">SUM(CP39:CP44)</f>
        <v>39884.456630909997</v>
      </c>
      <c r="CQ45" s="26">
        <f t="shared" ref="CQ45" si="211">SUM(CQ39:CQ44)</f>
        <v>26585.257368849998</v>
      </c>
      <c r="CR45" s="26">
        <f t="shared" ref="CR45" si="212">SUM(CR39:CR44)</f>
        <v>13299.199262060021</v>
      </c>
      <c r="CS45" s="26">
        <f t="shared" ref="CS45" si="213">SUM(CS39:CS44)</f>
        <v>1087818.4700961499</v>
      </c>
      <c r="CT45" s="26">
        <f t="shared" ref="CT45" si="214">SUM(CT39:CT44)</f>
        <v>1145449.21930223</v>
      </c>
      <c r="CU45" s="26">
        <f t="shared" ref="CU45" si="215">SUM(CU39:CU44)</f>
        <v>3</v>
      </c>
      <c r="CV45" s="26">
        <f t="shared" ref="CV45" si="216">SUM(CV39:CV44)</f>
        <v>0</v>
      </c>
      <c r="CW45" s="49" t="s">
        <v>52</v>
      </c>
      <c r="CX45" s="27" t="s">
        <v>83</v>
      </c>
      <c r="CY45" s="27" t="s">
        <v>113</v>
      </c>
      <c r="CZ45" s="26">
        <f t="shared" ref="CZ45" si="217">SUM(CZ39:CZ44)</f>
        <v>178</v>
      </c>
      <c r="DA45" s="26">
        <f t="shared" ref="DA45" si="218">SUM(DA39:DA44)</f>
        <v>17823744</v>
      </c>
      <c r="DB45" s="26">
        <f t="shared" ref="DB45" si="219">SUM(DB39:DB44)</f>
        <v>46909.831737700006</v>
      </c>
      <c r="DC45" s="26">
        <f t="shared" ref="DC45" si="220">SUM(DC39:DC44)</f>
        <v>36154.26164425</v>
      </c>
      <c r="DD45" s="78">
        <f t="shared" ref="DD45" si="221">SUM(DD39:DD44)</f>
        <v>10755.570093449982</v>
      </c>
      <c r="DE45" s="114">
        <f t="shared" ref="DE45" si="222">SUM(DE39:DE44)</f>
        <v>1100421.7302484801</v>
      </c>
      <c r="DF45" s="26">
        <f t="shared" ref="DF45" si="223">SUM(DF39:DF44)</f>
        <v>1162111.20109726</v>
      </c>
      <c r="DG45" s="26">
        <f t="shared" ref="DG45" si="224">SUM(DG39:DG44)</f>
        <v>3</v>
      </c>
      <c r="DH45" s="26">
        <f t="shared" ref="DH45" si="225">SUM(DH39:DH44)</f>
        <v>0</v>
      </c>
      <c r="DI45" s="49" t="s">
        <v>52</v>
      </c>
      <c r="DJ45" s="89" t="s">
        <v>83</v>
      </c>
      <c r="DK45" s="89" t="s">
        <v>113</v>
      </c>
      <c r="DL45" s="26">
        <f t="shared" ref="DL45:DT45" si="226">SUM(DL39:DL44)</f>
        <v>178</v>
      </c>
      <c r="DM45" s="26">
        <f t="shared" si="226"/>
        <v>18260934</v>
      </c>
      <c r="DN45" s="26">
        <f t="shared" si="226"/>
        <v>51615.917821139992</v>
      </c>
      <c r="DO45" s="26">
        <f t="shared" si="226"/>
        <v>34259.90224684</v>
      </c>
      <c r="DP45" s="78">
        <f t="shared" si="226"/>
        <v>17356.015574300018</v>
      </c>
      <c r="DQ45" s="114">
        <f t="shared" si="226"/>
        <v>1100666.7305667901</v>
      </c>
      <c r="DR45" s="26">
        <f t="shared" si="226"/>
        <v>1177653.8099490302</v>
      </c>
      <c r="DS45" s="26">
        <f t="shared" si="226"/>
        <v>3</v>
      </c>
      <c r="DT45" s="26">
        <f t="shared" si="226"/>
        <v>0</v>
      </c>
      <c r="DU45" s="49" t="s">
        <v>52</v>
      </c>
      <c r="DV45" s="136"/>
      <c r="DW45" s="137"/>
      <c r="DX45" s="49" t="s">
        <v>52</v>
      </c>
      <c r="DY45" s="136">
        <f t="shared" si="141"/>
        <v>0.10032195616804671</v>
      </c>
      <c r="DZ45" s="137">
        <f t="shared" si="142"/>
        <v>0.61367695282555323</v>
      </c>
      <c r="EA45" s="138">
        <f t="shared" si="143"/>
        <v>1.3374459205878845E-2</v>
      </c>
    </row>
    <row r="46" spans="1:131" x14ac:dyDescent="0.5">
      <c r="A46" s="52"/>
      <c r="B46" s="7" t="s">
        <v>83</v>
      </c>
      <c r="C46" s="56"/>
      <c r="D46" s="56"/>
      <c r="E46" s="49" t="s">
        <v>52</v>
      </c>
      <c r="F46" s="52"/>
      <c r="G46" s="7" t="s">
        <v>83</v>
      </c>
      <c r="H46" s="55"/>
      <c r="I46" s="55"/>
      <c r="J46" s="56"/>
      <c r="K46" s="56"/>
      <c r="L46" s="56"/>
      <c r="M46" s="56"/>
      <c r="N46" s="56"/>
      <c r="O46" s="55"/>
      <c r="P46" s="56"/>
      <c r="Q46" s="49" t="s">
        <v>52</v>
      </c>
      <c r="R46" s="52"/>
      <c r="S46" s="7" t="s">
        <v>83</v>
      </c>
      <c r="T46" s="55"/>
      <c r="U46" s="55"/>
      <c r="V46" s="56"/>
      <c r="W46" s="56"/>
      <c r="X46" s="56"/>
      <c r="Y46" s="56"/>
      <c r="Z46" s="56"/>
      <c r="AA46" s="55"/>
      <c r="AB46" s="56"/>
      <c r="AC46" s="49" t="s">
        <v>52</v>
      </c>
      <c r="AD46" s="52"/>
      <c r="AE46" s="7" t="s">
        <v>83</v>
      </c>
      <c r="AF46" s="55"/>
      <c r="AG46" s="55"/>
      <c r="AH46" s="56"/>
      <c r="AI46" s="56"/>
      <c r="AJ46" s="56"/>
      <c r="AK46" s="56"/>
      <c r="AL46" s="56"/>
      <c r="AM46" s="55"/>
      <c r="AN46" s="56"/>
      <c r="AO46" s="49" t="s">
        <v>52</v>
      </c>
      <c r="AP46" s="52"/>
      <c r="AQ46" s="7" t="s">
        <v>83</v>
      </c>
      <c r="AR46" s="55"/>
      <c r="AS46" s="55"/>
      <c r="AT46" s="56"/>
      <c r="AU46" s="56"/>
      <c r="AV46" s="56"/>
      <c r="AW46" s="56"/>
      <c r="AX46" s="56"/>
      <c r="AY46" s="55"/>
      <c r="AZ46" s="56"/>
      <c r="BA46" s="49" t="s">
        <v>52</v>
      </c>
      <c r="BB46" s="52"/>
      <c r="BC46" s="7" t="s">
        <v>83</v>
      </c>
      <c r="BD46" s="55"/>
      <c r="BE46" s="55"/>
      <c r="BF46" s="56"/>
      <c r="BG46" s="56"/>
      <c r="BH46" s="56"/>
      <c r="BI46" s="56"/>
      <c r="BJ46" s="56"/>
      <c r="BK46" s="55"/>
      <c r="BL46" s="56"/>
      <c r="BM46" s="49" t="s">
        <v>52</v>
      </c>
      <c r="BN46" s="57"/>
      <c r="BO46" s="7" t="s">
        <v>83</v>
      </c>
      <c r="BP46" s="55"/>
      <c r="BQ46" s="55"/>
      <c r="BR46" s="56"/>
      <c r="BS46" s="56"/>
      <c r="BT46" s="56"/>
      <c r="BU46" s="56"/>
      <c r="BV46" s="56"/>
      <c r="BW46" s="58"/>
      <c r="BX46" s="59"/>
      <c r="BY46" s="49" t="s">
        <v>52</v>
      </c>
      <c r="BZ46" s="57"/>
      <c r="CA46" s="7" t="s">
        <v>83</v>
      </c>
      <c r="CB46" s="55"/>
      <c r="CC46" s="55"/>
      <c r="CD46" s="56"/>
      <c r="CE46" s="56"/>
      <c r="CF46" s="56"/>
      <c r="CG46" s="56"/>
      <c r="CH46" s="56"/>
      <c r="CI46" s="58"/>
      <c r="CJ46" s="59"/>
      <c r="CK46" s="49" t="s">
        <v>52</v>
      </c>
      <c r="CL46" s="52"/>
      <c r="CM46" s="7" t="s">
        <v>83</v>
      </c>
      <c r="CN46" s="55"/>
      <c r="CO46" s="55"/>
      <c r="CP46" s="56"/>
      <c r="CQ46" s="56"/>
      <c r="CR46" s="56"/>
      <c r="CS46" s="56"/>
      <c r="CT46" s="56"/>
      <c r="CU46" s="58"/>
      <c r="CV46" s="56"/>
      <c r="CW46" s="49" t="s">
        <v>52</v>
      </c>
      <c r="CX46" s="52"/>
      <c r="CY46" s="7" t="s">
        <v>83</v>
      </c>
      <c r="CZ46" s="55"/>
      <c r="DA46" s="55"/>
      <c r="DB46" s="56"/>
      <c r="DC46" s="56"/>
      <c r="DD46" s="56"/>
      <c r="DE46" s="56"/>
      <c r="DF46" s="56"/>
      <c r="DG46" s="55"/>
      <c r="DH46" s="56"/>
      <c r="DI46" s="2" t="s">
        <v>52</v>
      </c>
      <c r="DJ46" s="84"/>
      <c r="DK46" s="90" t="s">
        <v>83</v>
      </c>
      <c r="DL46" s="83"/>
      <c r="DM46" s="83"/>
      <c r="DN46" s="84"/>
      <c r="DO46" s="84"/>
      <c r="DP46" s="84"/>
      <c r="DQ46" s="84"/>
      <c r="DR46" s="84"/>
      <c r="DS46" s="83"/>
      <c r="DT46" s="84"/>
      <c r="DU46" s="2" t="s">
        <v>52</v>
      </c>
      <c r="DV46" s="107"/>
      <c r="DW46" s="107"/>
      <c r="DX46" s="2" t="s">
        <v>52</v>
      </c>
      <c r="DY46" s="107" t="s">
        <v>52</v>
      </c>
      <c r="DZ46" s="107" t="s">
        <v>52</v>
      </c>
      <c r="EA46" s="110" t="s">
        <v>52</v>
      </c>
    </row>
    <row r="47" spans="1:131" x14ac:dyDescent="0.5">
      <c r="A47" s="50" t="s">
        <v>112</v>
      </c>
      <c r="B47" s="22" t="s">
        <v>111</v>
      </c>
      <c r="C47" s="56"/>
      <c r="D47" s="56"/>
      <c r="E47" s="49" t="s">
        <v>52</v>
      </c>
      <c r="F47" s="50" t="s">
        <v>112</v>
      </c>
      <c r="G47" s="22" t="s">
        <v>111</v>
      </c>
      <c r="H47" s="55"/>
      <c r="I47" s="55"/>
      <c r="J47" s="56"/>
      <c r="K47" s="56"/>
      <c r="L47" s="56"/>
      <c r="M47" s="56"/>
      <c r="N47" s="56"/>
      <c r="O47" s="55"/>
      <c r="P47" s="56"/>
      <c r="Q47" s="49" t="s">
        <v>52</v>
      </c>
      <c r="R47" s="50" t="s">
        <v>112</v>
      </c>
      <c r="S47" s="22" t="s">
        <v>111</v>
      </c>
      <c r="T47" s="55"/>
      <c r="U47" s="55"/>
      <c r="V47" s="56"/>
      <c r="W47" s="56"/>
      <c r="X47" s="56"/>
      <c r="Y47" s="56"/>
      <c r="Z47" s="56"/>
      <c r="AA47" s="55"/>
      <c r="AB47" s="56"/>
      <c r="AC47" s="49" t="s">
        <v>52</v>
      </c>
      <c r="AD47" s="50" t="s">
        <v>112</v>
      </c>
      <c r="AE47" s="22" t="s">
        <v>111</v>
      </c>
      <c r="AF47" s="55"/>
      <c r="AG47" s="55"/>
      <c r="AH47" s="56"/>
      <c r="AI47" s="56"/>
      <c r="AJ47" s="56"/>
      <c r="AK47" s="56"/>
      <c r="AL47" s="56"/>
      <c r="AM47" s="55"/>
      <c r="AN47" s="56"/>
      <c r="AO47" s="49" t="s">
        <v>52</v>
      </c>
      <c r="AP47" s="50" t="s">
        <v>112</v>
      </c>
      <c r="AQ47" s="22" t="s">
        <v>111</v>
      </c>
      <c r="AR47" s="55"/>
      <c r="AS47" s="55"/>
      <c r="AT47" s="56"/>
      <c r="AU47" s="56"/>
      <c r="AV47" s="56"/>
      <c r="AW47" s="56"/>
      <c r="AX47" s="56"/>
      <c r="AY47" s="55"/>
      <c r="AZ47" s="56"/>
      <c r="BA47" s="49" t="s">
        <v>52</v>
      </c>
      <c r="BB47" s="50" t="s">
        <v>112</v>
      </c>
      <c r="BC47" s="22" t="s">
        <v>111</v>
      </c>
      <c r="BD47" s="55"/>
      <c r="BE47" s="55"/>
      <c r="BF47" s="56"/>
      <c r="BG47" s="56"/>
      <c r="BH47" s="56"/>
      <c r="BI47" s="56"/>
      <c r="BJ47" s="56"/>
      <c r="BK47" s="55"/>
      <c r="BL47" s="56"/>
      <c r="BM47" s="49" t="s">
        <v>52</v>
      </c>
      <c r="BN47" s="51" t="s">
        <v>112</v>
      </c>
      <c r="BO47" s="22" t="s">
        <v>111</v>
      </c>
      <c r="BP47" s="55"/>
      <c r="BQ47" s="55"/>
      <c r="BR47" s="56"/>
      <c r="BS47" s="56"/>
      <c r="BT47" s="56"/>
      <c r="BU47" s="56"/>
      <c r="BV47" s="56"/>
      <c r="BW47" s="58"/>
      <c r="BX47" s="59"/>
      <c r="BY47" s="49" t="s">
        <v>52</v>
      </c>
      <c r="BZ47" s="51" t="s">
        <v>112</v>
      </c>
      <c r="CA47" s="22" t="s">
        <v>111</v>
      </c>
      <c r="CB47" s="55"/>
      <c r="CC47" s="55"/>
      <c r="CD47" s="56"/>
      <c r="CE47" s="56"/>
      <c r="CF47" s="56"/>
      <c r="CG47" s="56"/>
      <c r="CH47" s="56"/>
      <c r="CI47" s="58"/>
      <c r="CJ47" s="59"/>
      <c r="CK47" s="49" t="s">
        <v>52</v>
      </c>
      <c r="CL47" s="50" t="s">
        <v>112</v>
      </c>
      <c r="CM47" s="22" t="s">
        <v>111</v>
      </c>
      <c r="CN47" s="55"/>
      <c r="CO47" s="55"/>
      <c r="CP47" s="56"/>
      <c r="CQ47" s="56"/>
      <c r="CR47" s="56"/>
      <c r="CS47" s="56"/>
      <c r="CT47" s="56"/>
      <c r="CU47" s="58"/>
      <c r="CV47" s="56"/>
      <c r="CW47" s="49" t="s">
        <v>52</v>
      </c>
      <c r="CX47" s="50" t="s">
        <v>112</v>
      </c>
      <c r="CY47" s="22" t="s">
        <v>111</v>
      </c>
      <c r="CZ47" s="55"/>
      <c r="DA47" s="55"/>
      <c r="DB47" s="56"/>
      <c r="DC47" s="56"/>
      <c r="DD47" s="56"/>
      <c r="DE47" s="56"/>
      <c r="DF47" s="56"/>
      <c r="DG47" s="55"/>
      <c r="DH47" s="56"/>
      <c r="DI47" s="2" t="s">
        <v>52</v>
      </c>
      <c r="DJ47" s="80" t="s">
        <v>112</v>
      </c>
      <c r="DK47" s="82" t="s">
        <v>111</v>
      </c>
      <c r="DL47" s="83"/>
      <c r="DM47" s="83"/>
      <c r="DN47" s="84"/>
      <c r="DO47" s="84"/>
      <c r="DP47" s="84"/>
      <c r="DQ47" s="84"/>
      <c r="DR47" s="84"/>
      <c r="DS47" s="83"/>
      <c r="DT47" s="84"/>
      <c r="DU47" s="2" t="s">
        <v>52</v>
      </c>
      <c r="DV47" s="107"/>
      <c r="DW47" s="107"/>
      <c r="DX47" s="2" t="s">
        <v>52</v>
      </c>
      <c r="DY47" s="107" t="s">
        <v>52</v>
      </c>
      <c r="DZ47" s="107" t="s">
        <v>52</v>
      </c>
      <c r="EA47" s="110" t="s">
        <v>52</v>
      </c>
    </row>
    <row r="48" spans="1:131" x14ac:dyDescent="0.5">
      <c r="A48" s="17" t="s">
        <v>96</v>
      </c>
      <c r="B48" s="16" t="s">
        <v>38</v>
      </c>
      <c r="C48" s="21">
        <v>29104.498218019999</v>
      </c>
      <c r="D48" s="21">
        <v>28388.194813210001</v>
      </c>
      <c r="E48" s="49" t="s">
        <v>52</v>
      </c>
      <c r="F48" s="17" t="s">
        <v>96</v>
      </c>
      <c r="G48" s="16" t="s">
        <v>38</v>
      </c>
      <c r="H48" s="15">
        <v>29</v>
      </c>
      <c r="I48" s="15">
        <v>2999887</v>
      </c>
      <c r="J48" s="14">
        <v>254.96061386</v>
      </c>
      <c r="K48" s="14">
        <v>178.95675274000001</v>
      </c>
      <c r="L48" s="14">
        <v>76.003861119999996</v>
      </c>
      <c r="M48" s="14">
        <v>29996.207423799999</v>
      </c>
      <c r="N48" s="14">
        <v>29245.262297900001</v>
      </c>
      <c r="O48" s="15">
        <v>0</v>
      </c>
      <c r="P48" s="14">
        <v>0</v>
      </c>
      <c r="Q48" s="49" t="s">
        <v>52</v>
      </c>
      <c r="R48" s="17" t="s">
        <v>96</v>
      </c>
      <c r="S48" s="16" t="s">
        <v>38</v>
      </c>
      <c r="T48" s="15">
        <v>29</v>
      </c>
      <c r="U48" s="15">
        <v>3003234</v>
      </c>
      <c r="V48" s="14">
        <v>251.43797408</v>
      </c>
      <c r="W48" s="14">
        <v>198.52860462999999</v>
      </c>
      <c r="X48" s="14">
        <v>52.909369450000099</v>
      </c>
      <c r="Y48" s="14">
        <v>31006.981563680001</v>
      </c>
      <c r="Z48" s="14">
        <v>30588.371756709999</v>
      </c>
      <c r="AA48" s="15">
        <v>0</v>
      </c>
      <c r="AB48" s="14">
        <v>0</v>
      </c>
      <c r="AC48" s="49" t="s">
        <v>52</v>
      </c>
      <c r="AD48" s="17" t="s">
        <v>96</v>
      </c>
      <c r="AE48" s="16" t="s">
        <v>38</v>
      </c>
      <c r="AF48" s="15">
        <v>29</v>
      </c>
      <c r="AG48" s="15">
        <v>3009203</v>
      </c>
      <c r="AH48" s="14">
        <v>271.58924686</v>
      </c>
      <c r="AI48" s="14">
        <v>193.11502426999999</v>
      </c>
      <c r="AJ48" s="14">
        <v>78.474222589999897</v>
      </c>
      <c r="AK48" s="14">
        <v>31973.264830479999</v>
      </c>
      <c r="AL48" s="14">
        <v>31446.29259718</v>
      </c>
      <c r="AM48" s="15">
        <v>0</v>
      </c>
      <c r="AN48" s="14">
        <v>0</v>
      </c>
      <c r="AO48" s="49" t="s">
        <v>52</v>
      </c>
      <c r="AP48" s="17" t="s">
        <v>96</v>
      </c>
      <c r="AQ48" s="16" t="s">
        <v>38</v>
      </c>
      <c r="AR48" s="15">
        <v>29</v>
      </c>
      <c r="AS48" s="15">
        <v>3016170</v>
      </c>
      <c r="AT48" s="14">
        <v>316.29630371000002</v>
      </c>
      <c r="AU48" s="14">
        <v>197.39610628</v>
      </c>
      <c r="AV48" s="14">
        <v>118.90019743000001</v>
      </c>
      <c r="AW48" s="14">
        <v>31415.74661142</v>
      </c>
      <c r="AX48" s="14">
        <v>31812.873324640001</v>
      </c>
      <c r="AY48" s="15">
        <v>0</v>
      </c>
      <c r="AZ48" s="14">
        <v>0</v>
      </c>
      <c r="BA48" s="49" t="s">
        <v>52</v>
      </c>
      <c r="BB48" s="17" t="s">
        <v>96</v>
      </c>
      <c r="BC48" s="16" t="s">
        <v>38</v>
      </c>
      <c r="BD48" s="15">
        <v>29</v>
      </c>
      <c r="BE48" s="15">
        <v>3022062</v>
      </c>
      <c r="BF48" s="14">
        <v>274.72057389999998</v>
      </c>
      <c r="BG48" s="14">
        <v>140.24965792</v>
      </c>
      <c r="BH48" s="14">
        <v>134.47091598</v>
      </c>
      <c r="BI48" s="14">
        <v>31058.435105500001</v>
      </c>
      <c r="BJ48" s="14">
        <v>31359.242218390002</v>
      </c>
      <c r="BK48" s="15">
        <v>0</v>
      </c>
      <c r="BL48" s="14">
        <v>0</v>
      </c>
      <c r="BM48" s="49" t="s">
        <v>52</v>
      </c>
      <c r="BN48" s="20" t="s">
        <v>96</v>
      </c>
      <c r="BO48" s="16" t="s">
        <v>38</v>
      </c>
      <c r="BP48" s="15">
        <v>29</v>
      </c>
      <c r="BQ48" s="15">
        <v>3027172</v>
      </c>
      <c r="BR48" s="14">
        <v>291.37090552000001</v>
      </c>
      <c r="BS48" s="14">
        <v>194.55247764999999</v>
      </c>
      <c r="BT48" s="14">
        <v>96.818427870000306</v>
      </c>
      <c r="BU48" s="14">
        <v>31454.415162879999</v>
      </c>
      <c r="BV48" s="14">
        <v>31800.743402519998</v>
      </c>
      <c r="BW48" s="18">
        <v>0</v>
      </c>
      <c r="BX48" s="19">
        <v>0</v>
      </c>
      <c r="BY48" s="49" t="s">
        <v>52</v>
      </c>
      <c r="BZ48" s="20" t="s">
        <v>96</v>
      </c>
      <c r="CA48" s="16" t="s">
        <v>38</v>
      </c>
      <c r="CB48" s="15">
        <v>29</v>
      </c>
      <c r="CC48" s="15">
        <v>3032112</v>
      </c>
      <c r="CD48" s="14">
        <v>274.53561349</v>
      </c>
      <c r="CE48" s="14">
        <v>170.50776877999999</v>
      </c>
      <c r="CF48" s="14">
        <v>104.02784471</v>
      </c>
      <c r="CG48" s="14">
        <v>32512.29817342</v>
      </c>
      <c r="CH48" s="14">
        <v>32307.958252140001</v>
      </c>
      <c r="CI48" s="18">
        <v>0</v>
      </c>
      <c r="CJ48" s="19">
        <v>0</v>
      </c>
      <c r="CK48" s="49" t="s">
        <v>52</v>
      </c>
      <c r="CL48" s="17" t="s">
        <v>96</v>
      </c>
      <c r="CM48" s="16" t="s">
        <v>38</v>
      </c>
      <c r="CN48" s="15">
        <v>29</v>
      </c>
      <c r="CO48" s="15">
        <v>3037674</v>
      </c>
      <c r="CP48" s="14">
        <v>268.39014057999998</v>
      </c>
      <c r="CQ48" s="14">
        <v>162.00462271999999</v>
      </c>
      <c r="CR48" s="14">
        <v>106.38551785999999</v>
      </c>
      <c r="CS48" s="14">
        <v>32835.332740799997</v>
      </c>
      <c r="CT48" s="14">
        <v>32694.49063389</v>
      </c>
      <c r="CU48" s="18">
        <v>0</v>
      </c>
      <c r="CV48" s="14">
        <v>0</v>
      </c>
      <c r="CW48" s="49" t="s">
        <v>52</v>
      </c>
      <c r="CX48" s="17" t="s">
        <v>96</v>
      </c>
      <c r="CY48" s="16" t="s">
        <v>38</v>
      </c>
      <c r="CZ48" s="15">
        <v>29</v>
      </c>
      <c r="DA48" s="15">
        <v>3042915</v>
      </c>
      <c r="DB48" s="14">
        <v>299.89411139999999</v>
      </c>
      <c r="DC48" s="14">
        <v>178.8978223</v>
      </c>
      <c r="DD48" s="14">
        <v>120.9962891</v>
      </c>
      <c r="DE48" s="112">
        <v>32828.505980590002</v>
      </c>
      <c r="DF48" s="14">
        <v>32711.55552021</v>
      </c>
      <c r="DG48" s="15">
        <v>0</v>
      </c>
      <c r="DH48" s="14">
        <v>0</v>
      </c>
      <c r="DI48" s="2" t="s">
        <v>52</v>
      </c>
      <c r="DJ48" s="85" t="s">
        <v>96</v>
      </c>
      <c r="DK48" s="86" t="s">
        <v>38</v>
      </c>
      <c r="DL48" s="87">
        <v>29</v>
      </c>
      <c r="DM48" s="87">
        <v>3049871</v>
      </c>
      <c r="DN48" s="88">
        <v>279.23072788000002</v>
      </c>
      <c r="DO48" s="88">
        <v>174.71369077</v>
      </c>
      <c r="DP48" s="88">
        <v>104.51703711</v>
      </c>
      <c r="DQ48" s="111">
        <v>32044.11324269</v>
      </c>
      <c r="DR48" s="88">
        <v>32448.643474460001</v>
      </c>
      <c r="DS48" s="87">
        <v>0</v>
      </c>
      <c r="DT48" s="88">
        <v>0</v>
      </c>
      <c r="DU48" s="2" t="s">
        <v>52</v>
      </c>
      <c r="DV48" s="136"/>
      <c r="DW48" s="137"/>
      <c r="DX48" s="2" t="s">
        <v>52</v>
      </c>
      <c r="DY48" s="136">
        <f t="shared" ref="DY48:DY50" si="227">(DN48-DB48)/DB48</f>
        <v>-6.8902264947907105E-2</v>
      </c>
      <c r="DZ48" s="137">
        <f t="shared" ref="DZ48:DZ50" si="228">(DP48-DD48)/DD48</f>
        <v>-0.13619634215707524</v>
      </c>
      <c r="EA48" s="138">
        <f t="shared" ref="EA48:EA50" si="229">(DR48-DF48)/DF48</f>
        <v>-8.0372835094181284E-3</v>
      </c>
    </row>
    <row r="49" spans="1:131" x14ac:dyDescent="0.5">
      <c r="A49" s="17" t="s">
        <v>95</v>
      </c>
      <c r="B49" s="16" t="s">
        <v>9</v>
      </c>
      <c r="C49" s="21">
        <v>22077.510441310002</v>
      </c>
      <c r="D49" s="21">
        <v>21510.819812270001</v>
      </c>
      <c r="E49" s="49" t="s">
        <v>52</v>
      </c>
      <c r="F49" s="17" t="s">
        <v>95</v>
      </c>
      <c r="G49" s="16" t="s">
        <v>9</v>
      </c>
      <c r="H49" s="15">
        <v>12</v>
      </c>
      <c r="I49" s="15">
        <v>3084694</v>
      </c>
      <c r="J49" s="14">
        <v>188.06747709999999</v>
      </c>
      <c r="K49" s="14">
        <v>58.173800929999999</v>
      </c>
      <c r="L49" s="14">
        <v>129.89367616999999</v>
      </c>
      <c r="M49" s="14">
        <v>22686.102441570001</v>
      </c>
      <c r="N49" s="14">
        <v>22235.049251190001</v>
      </c>
      <c r="O49" s="15">
        <v>0</v>
      </c>
      <c r="P49" s="14">
        <v>0</v>
      </c>
      <c r="Q49" s="49" t="s">
        <v>52</v>
      </c>
      <c r="R49" s="17" t="s">
        <v>95</v>
      </c>
      <c r="S49" s="16" t="s">
        <v>9</v>
      </c>
      <c r="T49" s="15">
        <v>12</v>
      </c>
      <c r="U49" s="15">
        <v>3093038</v>
      </c>
      <c r="V49" s="14">
        <v>192.32983709000001</v>
      </c>
      <c r="W49" s="14">
        <v>67.913814360000003</v>
      </c>
      <c r="X49" s="14">
        <v>124.41602272999999</v>
      </c>
      <c r="Y49" s="14">
        <v>23523.852177739998</v>
      </c>
      <c r="Z49" s="14">
        <v>23161.284736549998</v>
      </c>
      <c r="AA49" s="15">
        <v>0</v>
      </c>
      <c r="AB49" s="14">
        <v>0</v>
      </c>
      <c r="AC49" s="49" t="s">
        <v>52</v>
      </c>
      <c r="AD49" s="17" t="s">
        <v>95</v>
      </c>
      <c r="AE49" s="16" t="s">
        <v>9</v>
      </c>
      <c r="AF49" s="15">
        <v>12</v>
      </c>
      <c r="AG49" s="15">
        <v>3103506</v>
      </c>
      <c r="AH49" s="14">
        <v>206.54642601</v>
      </c>
      <c r="AI49" s="14">
        <v>78.521621019999998</v>
      </c>
      <c r="AJ49" s="14">
        <v>128.02480499000001</v>
      </c>
      <c r="AK49" s="14">
        <v>24174.557365199998</v>
      </c>
      <c r="AL49" s="14">
        <v>23790.146905090001</v>
      </c>
      <c r="AM49" s="15">
        <v>0</v>
      </c>
      <c r="AN49" s="14">
        <v>0</v>
      </c>
      <c r="AO49" s="49" t="s">
        <v>52</v>
      </c>
      <c r="AP49" s="17" t="s">
        <v>95</v>
      </c>
      <c r="AQ49" s="16" t="s">
        <v>9</v>
      </c>
      <c r="AR49" s="15">
        <v>12</v>
      </c>
      <c r="AS49" s="15">
        <v>3117371</v>
      </c>
      <c r="AT49" s="14">
        <v>245.87798831000001</v>
      </c>
      <c r="AU49" s="14">
        <v>82.190544099999997</v>
      </c>
      <c r="AV49" s="14">
        <v>163.68744421</v>
      </c>
      <c r="AW49" s="14">
        <v>24138.407858819999</v>
      </c>
      <c r="AX49" s="14">
        <v>24283.231144040001</v>
      </c>
      <c r="AY49" s="15">
        <v>0</v>
      </c>
      <c r="AZ49" s="14">
        <v>0</v>
      </c>
      <c r="BA49" s="49" t="s">
        <v>52</v>
      </c>
      <c r="BB49" s="17" t="s">
        <v>95</v>
      </c>
      <c r="BC49" s="16" t="s">
        <v>9</v>
      </c>
      <c r="BD49" s="15">
        <v>12</v>
      </c>
      <c r="BE49" s="15">
        <v>3130503</v>
      </c>
      <c r="BF49" s="14">
        <v>241.97477130999999</v>
      </c>
      <c r="BG49" s="14">
        <v>56.336445019999999</v>
      </c>
      <c r="BH49" s="14">
        <v>185.63832629000001</v>
      </c>
      <c r="BI49" s="14">
        <v>23924.575021799999</v>
      </c>
      <c r="BJ49" s="14">
        <v>24055.3184535</v>
      </c>
      <c r="BK49" s="15">
        <v>0</v>
      </c>
      <c r="BL49" s="14">
        <v>0</v>
      </c>
      <c r="BM49" s="49" t="s">
        <v>52</v>
      </c>
      <c r="BN49" s="20" t="s">
        <v>95</v>
      </c>
      <c r="BO49" s="16" t="s">
        <v>9</v>
      </c>
      <c r="BP49" s="15">
        <v>12</v>
      </c>
      <c r="BQ49" s="15">
        <v>3144415</v>
      </c>
      <c r="BR49" s="14">
        <v>255.41370773</v>
      </c>
      <c r="BS49" s="14">
        <v>66.051605649999999</v>
      </c>
      <c r="BT49" s="14">
        <v>189.36210208</v>
      </c>
      <c r="BU49" s="14">
        <v>24327.789241930001</v>
      </c>
      <c r="BV49" s="14">
        <v>24510.655925340001</v>
      </c>
      <c r="BW49" s="18">
        <v>0</v>
      </c>
      <c r="BX49" s="19">
        <v>0</v>
      </c>
      <c r="BY49" s="49" t="s">
        <v>52</v>
      </c>
      <c r="BZ49" s="20" t="s">
        <v>95</v>
      </c>
      <c r="CA49" s="16" t="s">
        <v>9</v>
      </c>
      <c r="CB49" s="15">
        <v>12</v>
      </c>
      <c r="CC49" s="15">
        <v>3155666</v>
      </c>
      <c r="CD49" s="14">
        <v>236.96109271</v>
      </c>
      <c r="CE49" s="14">
        <v>79.97061617</v>
      </c>
      <c r="CF49" s="14">
        <v>156.99047654</v>
      </c>
      <c r="CG49" s="14">
        <v>25213.266832009998</v>
      </c>
      <c r="CH49" s="14">
        <v>24944.079532200001</v>
      </c>
      <c r="CI49" s="18">
        <v>0</v>
      </c>
      <c r="CJ49" s="19">
        <v>0</v>
      </c>
      <c r="CK49" s="49" t="s">
        <v>52</v>
      </c>
      <c r="CL49" s="17" t="s">
        <v>95</v>
      </c>
      <c r="CM49" s="16" t="s">
        <v>9</v>
      </c>
      <c r="CN49" s="15">
        <v>12</v>
      </c>
      <c r="CO49" s="15">
        <v>3171929</v>
      </c>
      <c r="CP49" s="14">
        <v>283.45317252000001</v>
      </c>
      <c r="CQ49" s="14">
        <v>69.808406660000102</v>
      </c>
      <c r="CR49" s="14">
        <v>213.64476586000001</v>
      </c>
      <c r="CS49" s="14">
        <v>25675.48897993</v>
      </c>
      <c r="CT49" s="14">
        <v>25440.812321509999</v>
      </c>
      <c r="CU49" s="18">
        <v>0</v>
      </c>
      <c r="CV49" s="14">
        <v>0</v>
      </c>
      <c r="CW49" s="49" t="s">
        <v>52</v>
      </c>
      <c r="CX49" s="17" t="s">
        <v>95</v>
      </c>
      <c r="CY49" s="16" t="s">
        <v>9</v>
      </c>
      <c r="CZ49" s="15">
        <v>12</v>
      </c>
      <c r="DA49" s="15">
        <v>3191201</v>
      </c>
      <c r="DB49" s="14">
        <v>302.72179742999998</v>
      </c>
      <c r="DC49" s="14">
        <v>78.392207400000004</v>
      </c>
      <c r="DD49" s="14">
        <v>224.32959002999999</v>
      </c>
      <c r="DE49" s="112">
        <v>25626.163154999998</v>
      </c>
      <c r="DF49" s="14">
        <v>25571.765710830001</v>
      </c>
      <c r="DG49" s="15">
        <v>0</v>
      </c>
      <c r="DH49" s="14">
        <v>0</v>
      </c>
      <c r="DI49" s="2" t="s">
        <v>52</v>
      </c>
      <c r="DJ49" s="85" t="s">
        <v>95</v>
      </c>
      <c r="DK49" s="86" t="s">
        <v>9</v>
      </c>
      <c r="DL49" s="87">
        <v>12</v>
      </c>
      <c r="DM49" s="87">
        <v>3212128</v>
      </c>
      <c r="DN49" s="88">
        <v>309.12658818</v>
      </c>
      <c r="DO49" s="88">
        <v>71.893969809999902</v>
      </c>
      <c r="DP49" s="88">
        <v>237.23261837000001</v>
      </c>
      <c r="DQ49" s="111">
        <v>25230.053516669999</v>
      </c>
      <c r="DR49" s="88">
        <v>25380.15080634</v>
      </c>
      <c r="DS49" s="87">
        <v>0</v>
      </c>
      <c r="DT49" s="88">
        <v>0</v>
      </c>
      <c r="DU49" s="2" t="s">
        <v>52</v>
      </c>
      <c r="DV49" s="136"/>
      <c r="DW49" s="137"/>
      <c r="DX49" s="2" t="s">
        <v>52</v>
      </c>
      <c r="DY49" s="136">
        <f t="shared" si="227"/>
        <v>2.1157349105265646E-2</v>
      </c>
      <c r="DZ49" s="137">
        <f t="shared" si="228"/>
        <v>5.7518173765103729E-2</v>
      </c>
      <c r="EA49" s="138">
        <f t="shared" si="229"/>
        <v>-7.4932214950197834E-3</v>
      </c>
    </row>
    <row r="50" spans="1:131" x14ac:dyDescent="0.5">
      <c r="A50" s="27" t="s">
        <v>83</v>
      </c>
      <c r="B50" s="27" t="s">
        <v>110</v>
      </c>
      <c r="C50" s="26">
        <f t="shared" ref="C50:D50" si="230">SUM(C48:C49)</f>
        <v>51182.00865933</v>
      </c>
      <c r="D50" s="26">
        <f t="shared" si="230"/>
        <v>49899.014625480006</v>
      </c>
      <c r="E50" s="49" t="s">
        <v>52</v>
      </c>
      <c r="F50" s="27" t="s">
        <v>83</v>
      </c>
      <c r="G50" s="27" t="s">
        <v>110</v>
      </c>
      <c r="H50" s="26">
        <f t="shared" ref="H50" si="231">SUM(H48:H49)</f>
        <v>41</v>
      </c>
      <c r="I50" s="26">
        <f t="shared" ref="I50" si="232">SUM(I48:I49)</f>
        <v>6084581</v>
      </c>
      <c r="J50" s="26">
        <f t="shared" ref="J50" si="233">SUM(J48:J49)</f>
        <v>443.02809095999999</v>
      </c>
      <c r="K50" s="26">
        <f t="shared" ref="K50" si="234">SUM(K48:K49)</f>
        <v>237.13055367000001</v>
      </c>
      <c r="L50" s="26">
        <f t="shared" ref="L50" si="235">SUM(L48:L49)</f>
        <v>205.89753729</v>
      </c>
      <c r="M50" s="26">
        <f t="shared" ref="M50" si="236">SUM(M48:M49)</f>
        <v>52682.30986537</v>
      </c>
      <c r="N50" s="26">
        <f t="shared" ref="N50:P50" si="237">SUM(N48:N49)</f>
        <v>51480.311549090002</v>
      </c>
      <c r="O50" s="26">
        <f t="shared" si="237"/>
        <v>0</v>
      </c>
      <c r="P50" s="26">
        <f t="shared" si="237"/>
        <v>0</v>
      </c>
      <c r="Q50" s="49" t="s">
        <v>52</v>
      </c>
      <c r="R50" s="27" t="s">
        <v>83</v>
      </c>
      <c r="S50" s="27" t="s">
        <v>110</v>
      </c>
      <c r="T50" s="26">
        <f t="shared" ref="T50" si="238">SUM(T48:T49)</f>
        <v>41</v>
      </c>
      <c r="U50" s="26">
        <f t="shared" ref="U50" si="239">SUM(U48:U49)</f>
        <v>6096272</v>
      </c>
      <c r="V50" s="26">
        <f t="shared" ref="V50" si="240">SUM(V48:V49)</f>
        <v>443.76781117000002</v>
      </c>
      <c r="W50" s="26">
        <f t="shared" ref="W50" si="241">SUM(W48:W49)</f>
        <v>266.44241898999996</v>
      </c>
      <c r="X50" s="26">
        <f t="shared" ref="X50" si="242">SUM(X48:X49)</f>
        <v>177.32539218000011</v>
      </c>
      <c r="Y50" s="26">
        <f t="shared" ref="Y50" si="243">SUM(Y48:Y49)</f>
        <v>54530.83374142</v>
      </c>
      <c r="Z50" s="26">
        <f t="shared" ref="Z50:AB50" si="244">SUM(Z48:Z49)</f>
        <v>53749.656493260001</v>
      </c>
      <c r="AA50" s="26">
        <f t="shared" si="244"/>
        <v>0</v>
      </c>
      <c r="AB50" s="26">
        <f t="shared" si="244"/>
        <v>0</v>
      </c>
      <c r="AC50" s="49" t="s">
        <v>52</v>
      </c>
      <c r="AD50" s="27" t="s">
        <v>83</v>
      </c>
      <c r="AE50" s="27" t="s">
        <v>110</v>
      </c>
      <c r="AF50" s="26">
        <f t="shared" ref="AF50" si="245">SUM(AF48:AF49)</f>
        <v>41</v>
      </c>
      <c r="AG50" s="26">
        <f t="shared" ref="AG50" si="246">SUM(AG48:AG49)</f>
        <v>6112709</v>
      </c>
      <c r="AH50" s="26">
        <f t="shared" ref="AH50" si="247">SUM(AH48:AH49)</f>
        <v>478.13567287000001</v>
      </c>
      <c r="AI50" s="26">
        <f t="shared" ref="AI50" si="248">SUM(AI48:AI49)</f>
        <v>271.63664528999999</v>
      </c>
      <c r="AJ50" s="26">
        <f t="shared" ref="AJ50" si="249">SUM(AJ48:AJ49)</f>
        <v>206.4990275799999</v>
      </c>
      <c r="AK50" s="26">
        <f t="shared" ref="AK50" si="250">SUM(AK48:AK49)</f>
        <v>56147.822195679997</v>
      </c>
      <c r="AL50" s="26">
        <f t="shared" ref="AL50:AN50" si="251">SUM(AL48:AL49)</f>
        <v>55236.439502270005</v>
      </c>
      <c r="AM50" s="26">
        <f t="shared" si="251"/>
        <v>0</v>
      </c>
      <c r="AN50" s="26">
        <f t="shared" si="251"/>
        <v>0</v>
      </c>
      <c r="AO50" s="49" t="s">
        <v>52</v>
      </c>
      <c r="AP50" s="27" t="s">
        <v>83</v>
      </c>
      <c r="AQ50" s="27" t="s">
        <v>110</v>
      </c>
      <c r="AR50" s="26">
        <f t="shared" ref="AR50" si="252">SUM(AR48:AR49)</f>
        <v>41</v>
      </c>
      <c r="AS50" s="26">
        <f t="shared" ref="AS50" si="253">SUM(AS48:AS49)</f>
        <v>6133541</v>
      </c>
      <c r="AT50" s="26">
        <f t="shared" ref="AT50" si="254">SUM(AT48:AT49)</f>
        <v>562.17429202000005</v>
      </c>
      <c r="AU50" s="26">
        <f t="shared" ref="AU50" si="255">SUM(AU48:AU49)</f>
        <v>279.58665037999998</v>
      </c>
      <c r="AV50" s="26">
        <f t="shared" ref="AV50" si="256">SUM(AV48:AV49)</f>
        <v>282.58764164000002</v>
      </c>
      <c r="AW50" s="26">
        <f t="shared" ref="AW50" si="257">SUM(AW48:AW49)</f>
        <v>55554.154470239999</v>
      </c>
      <c r="AX50" s="26">
        <f t="shared" ref="AX50:AZ50" si="258">SUM(AX48:AX49)</f>
        <v>56096.104468680001</v>
      </c>
      <c r="AY50" s="26">
        <f t="shared" si="258"/>
        <v>0</v>
      </c>
      <c r="AZ50" s="26">
        <f t="shared" si="258"/>
        <v>0</v>
      </c>
      <c r="BA50" s="49" t="s">
        <v>52</v>
      </c>
      <c r="BB50" s="27" t="s">
        <v>83</v>
      </c>
      <c r="BC50" s="27" t="s">
        <v>110</v>
      </c>
      <c r="BD50" s="26">
        <f t="shared" ref="BD50" si="259">SUM(BD48:BD49)</f>
        <v>41</v>
      </c>
      <c r="BE50" s="26">
        <f t="shared" ref="BE50" si="260">SUM(BE48:BE49)</f>
        <v>6152565</v>
      </c>
      <c r="BF50" s="26">
        <f t="shared" ref="BF50" si="261">SUM(BF48:BF49)</f>
        <v>516.69534520999991</v>
      </c>
      <c r="BG50" s="26">
        <f t="shared" ref="BG50" si="262">SUM(BG48:BG49)</f>
        <v>196.58610293999999</v>
      </c>
      <c r="BH50" s="26">
        <f t="shared" ref="BH50" si="263">SUM(BH48:BH49)</f>
        <v>320.10924226999998</v>
      </c>
      <c r="BI50" s="26">
        <f t="shared" ref="BI50" si="264">SUM(BI48:BI49)</f>
        <v>54983.010127300004</v>
      </c>
      <c r="BJ50" s="26">
        <f t="shared" ref="BJ50:BL50" si="265">SUM(BJ48:BJ49)</f>
        <v>55414.560671890002</v>
      </c>
      <c r="BK50" s="26">
        <f t="shared" si="265"/>
        <v>0</v>
      </c>
      <c r="BL50" s="26">
        <f t="shared" si="265"/>
        <v>0</v>
      </c>
      <c r="BM50" s="49" t="s">
        <v>52</v>
      </c>
      <c r="BN50" s="27" t="s">
        <v>83</v>
      </c>
      <c r="BO50" s="27" t="s">
        <v>110</v>
      </c>
      <c r="BP50" s="26">
        <f t="shared" ref="BP50" si="266">SUM(BP48:BP49)</f>
        <v>41</v>
      </c>
      <c r="BQ50" s="26">
        <f t="shared" ref="BQ50" si="267">SUM(BQ48:BQ49)</f>
        <v>6171587</v>
      </c>
      <c r="BR50" s="26">
        <f t="shared" ref="BR50" si="268">SUM(BR48:BR49)</f>
        <v>546.78461325000001</v>
      </c>
      <c r="BS50" s="26">
        <f t="shared" ref="BS50" si="269">SUM(BS48:BS49)</f>
        <v>260.60408329999996</v>
      </c>
      <c r="BT50" s="26">
        <f t="shared" ref="BT50" si="270">SUM(BT48:BT49)</f>
        <v>286.18052995000028</v>
      </c>
      <c r="BU50" s="26">
        <f t="shared" ref="BU50" si="271">SUM(BU48:BU49)</f>
        <v>55782.20440481</v>
      </c>
      <c r="BV50" s="26">
        <f t="shared" ref="BV50:BX50" si="272">SUM(BV48:BV49)</f>
        <v>56311.399327859996</v>
      </c>
      <c r="BW50" s="26">
        <f t="shared" si="272"/>
        <v>0</v>
      </c>
      <c r="BX50" s="26">
        <f t="shared" si="272"/>
        <v>0</v>
      </c>
      <c r="BY50" s="49" t="s">
        <v>52</v>
      </c>
      <c r="BZ50" s="27" t="s">
        <v>83</v>
      </c>
      <c r="CA50" s="27" t="s">
        <v>110</v>
      </c>
      <c r="CB50" s="26">
        <f t="shared" ref="CB50" si="273">SUM(CB48:CB49)</f>
        <v>41</v>
      </c>
      <c r="CC50" s="26">
        <f t="shared" ref="CC50" si="274">SUM(CC48:CC49)</f>
        <v>6187778</v>
      </c>
      <c r="CD50" s="26">
        <f t="shared" ref="CD50" si="275">SUM(CD48:CD49)</f>
        <v>511.49670620000001</v>
      </c>
      <c r="CE50" s="26">
        <f t="shared" ref="CE50" si="276">SUM(CE48:CE49)</f>
        <v>250.47838494999999</v>
      </c>
      <c r="CF50" s="26">
        <f t="shared" ref="CF50" si="277">SUM(CF48:CF49)</f>
        <v>261.01832124999999</v>
      </c>
      <c r="CG50" s="26">
        <f t="shared" ref="CG50" si="278">SUM(CG48:CG49)</f>
        <v>57725.565005429999</v>
      </c>
      <c r="CH50" s="26">
        <f t="shared" ref="CH50:CJ50" si="279">SUM(CH48:CH49)</f>
        <v>57252.037784340006</v>
      </c>
      <c r="CI50" s="26">
        <f t="shared" si="279"/>
        <v>0</v>
      </c>
      <c r="CJ50" s="26">
        <f t="shared" si="279"/>
        <v>0</v>
      </c>
      <c r="CK50" s="49" t="s">
        <v>52</v>
      </c>
      <c r="CL50" s="27" t="s">
        <v>83</v>
      </c>
      <c r="CM50" s="27" t="s">
        <v>110</v>
      </c>
      <c r="CN50" s="26">
        <f t="shared" ref="CN50" si="280">SUM(CN48:CN49)</f>
        <v>41</v>
      </c>
      <c r="CO50" s="26">
        <f t="shared" ref="CO50" si="281">SUM(CO48:CO49)</f>
        <v>6209603</v>
      </c>
      <c r="CP50" s="26">
        <f t="shared" ref="CP50" si="282">SUM(CP48:CP49)</f>
        <v>551.84331309999993</v>
      </c>
      <c r="CQ50" s="26">
        <f t="shared" ref="CQ50" si="283">SUM(CQ48:CQ49)</f>
        <v>231.8130293800001</v>
      </c>
      <c r="CR50" s="26">
        <f t="shared" ref="CR50" si="284">SUM(CR48:CR49)</f>
        <v>320.03028372</v>
      </c>
      <c r="CS50" s="26">
        <f t="shared" ref="CS50" si="285">SUM(CS48:CS49)</f>
        <v>58510.821720729997</v>
      </c>
      <c r="CT50" s="26">
        <f t="shared" ref="CT50:CV50" si="286">SUM(CT48:CT49)</f>
        <v>58135.302955399995</v>
      </c>
      <c r="CU50" s="26">
        <f t="shared" si="286"/>
        <v>0</v>
      </c>
      <c r="CV50" s="26">
        <f t="shared" si="286"/>
        <v>0</v>
      </c>
      <c r="CW50" s="49" t="s">
        <v>52</v>
      </c>
      <c r="CX50" s="27" t="s">
        <v>83</v>
      </c>
      <c r="CY50" s="27" t="s">
        <v>110</v>
      </c>
      <c r="CZ50" s="26">
        <f t="shared" ref="CZ50" si="287">SUM(CZ48:CZ49)</f>
        <v>41</v>
      </c>
      <c r="DA50" s="26">
        <f t="shared" ref="DA50" si="288">SUM(DA48:DA49)</f>
        <v>6234116</v>
      </c>
      <c r="DB50" s="26">
        <f t="shared" ref="DB50" si="289">SUM(DB48:DB49)</f>
        <v>602.61590882999997</v>
      </c>
      <c r="DC50" s="26">
        <f t="shared" ref="DC50" si="290">SUM(DC48:DC49)</f>
        <v>257.29002969999999</v>
      </c>
      <c r="DD50" s="78">
        <f t="shared" ref="DD50" si="291">SUM(DD48:DD49)</f>
        <v>345.32587912999998</v>
      </c>
      <c r="DE50" s="114">
        <f t="shared" ref="DE50" si="292">SUM(DE48:DE49)</f>
        <v>58454.669135589997</v>
      </c>
      <c r="DF50" s="26">
        <f t="shared" ref="DF50:DH50" si="293">SUM(DF48:DF49)</f>
        <v>58283.321231039998</v>
      </c>
      <c r="DG50" s="26">
        <f t="shared" si="293"/>
        <v>0</v>
      </c>
      <c r="DH50" s="26">
        <f t="shared" si="293"/>
        <v>0</v>
      </c>
      <c r="DI50" s="49" t="s">
        <v>52</v>
      </c>
      <c r="DJ50" s="89" t="s">
        <v>83</v>
      </c>
      <c r="DK50" s="89" t="s">
        <v>110</v>
      </c>
      <c r="DL50" s="26">
        <f t="shared" ref="DL50:DT50" si="294">SUM(DL48:DL49)</f>
        <v>41</v>
      </c>
      <c r="DM50" s="26">
        <f t="shared" si="294"/>
        <v>6261999</v>
      </c>
      <c r="DN50" s="26">
        <f t="shared" si="294"/>
        <v>588.35731606000002</v>
      </c>
      <c r="DO50" s="26">
        <f t="shared" si="294"/>
        <v>246.6076605799999</v>
      </c>
      <c r="DP50" s="78">
        <f t="shared" si="294"/>
        <v>341.74965548</v>
      </c>
      <c r="DQ50" s="114">
        <f t="shared" si="294"/>
        <v>57274.16675936</v>
      </c>
      <c r="DR50" s="26">
        <f t="shared" si="294"/>
        <v>57828.794280800001</v>
      </c>
      <c r="DS50" s="26">
        <f t="shared" si="294"/>
        <v>0</v>
      </c>
      <c r="DT50" s="26">
        <f t="shared" si="294"/>
        <v>0</v>
      </c>
      <c r="DU50" s="49" t="s">
        <v>52</v>
      </c>
      <c r="DV50" s="136"/>
      <c r="DW50" s="137"/>
      <c r="DX50" s="49" t="s">
        <v>52</v>
      </c>
      <c r="DY50" s="136">
        <f t="shared" si="227"/>
        <v>-2.3661162211405122E-2</v>
      </c>
      <c r="DZ50" s="137">
        <f t="shared" si="228"/>
        <v>-1.0356083531908374E-2</v>
      </c>
      <c r="EA50" s="138">
        <f t="shared" si="229"/>
        <v>-7.7985766878008516E-3</v>
      </c>
    </row>
    <row r="51" spans="1:131" x14ac:dyDescent="0.5">
      <c r="A51" s="52"/>
      <c r="B51" s="7" t="s">
        <v>83</v>
      </c>
      <c r="C51" s="56"/>
      <c r="D51" s="56"/>
      <c r="E51" s="49" t="s">
        <v>52</v>
      </c>
      <c r="F51" s="52"/>
      <c r="G51" s="7" t="s">
        <v>83</v>
      </c>
      <c r="H51" s="55"/>
      <c r="I51" s="55"/>
      <c r="J51" s="56"/>
      <c r="K51" s="56"/>
      <c r="L51" s="56"/>
      <c r="M51" s="56"/>
      <c r="N51" s="56"/>
      <c r="O51" s="55"/>
      <c r="P51" s="56"/>
      <c r="Q51" s="49" t="s">
        <v>52</v>
      </c>
      <c r="R51" s="52"/>
      <c r="S51" s="7" t="s">
        <v>83</v>
      </c>
      <c r="T51" s="55"/>
      <c r="U51" s="55"/>
      <c r="V51" s="56"/>
      <c r="W51" s="56"/>
      <c r="X51" s="56"/>
      <c r="Y51" s="56"/>
      <c r="Z51" s="56"/>
      <c r="AA51" s="55"/>
      <c r="AB51" s="56"/>
      <c r="AC51" s="49" t="s">
        <v>52</v>
      </c>
      <c r="AD51" s="52"/>
      <c r="AE51" s="7" t="s">
        <v>83</v>
      </c>
      <c r="AF51" s="55"/>
      <c r="AG51" s="55"/>
      <c r="AH51" s="56"/>
      <c r="AI51" s="56"/>
      <c r="AJ51" s="56"/>
      <c r="AK51" s="56"/>
      <c r="AL51" s="56"/>
      <c r="AM51" s="55"/>
      <c r="AN51" s="56"/>
      <c r="AO51" s="49" t="s">
        <v>52</v>
      </c>
      <c r="AP51" s="52"/>
      <c r="AQ51" s="7" t="s">
        <v>83</v>
      </c>
      <c r="AR51" s="55"/>
      <c r="AS51" s="55"/>
      <c r="AT51" s="56"/>
      <c r="AU51" s="56"/>
      <c r="AV51" s="56"/>
      <c r="AW51" s="56"/>
      <c r="AX51" s="56"/>
      <c r="AY51" s="55"/>
      <c r="AZ51" s="56"/>
      <c r="BA51" s="49" t="s">
        <v>52</v>
      </c>
      <c r="BB51" s="52"/>
      <c r="BC51" s="7" t="s">
        <v>83</v>
      </c>
      <c r="BD51" s="55"/>
      <c r="BE51" s="55"/>
      <c r="BF51" s="56"/>
      <c r="BG51" s="56"/>
      <c r="BH51" s="56"/>
      <c r="BI51" s="56"/>
      <c r="BJ51" s="56"/>
      <c r="BK51" s="55"/>
      <c r="BL51" s="56"/>
      <c r="BM51" s="49" t="s">
        <v>52</v>
      </c>
      <c r="BN51" s="57"/>
      <c r="BO51" s="7" t="s">
        <v>83</v>
      </c>
      <c r="BP51" s="55"/>
      <c r="BQ51" s="55"/>
      <c r="BR51" s="56"/>
      <c r="BS51" s="56"/>
      <c r="BT51" s="56"/>
      <c r="BU51" s="56"/>
      <c r="BV51" s="56"/>
      <c r="BW51" s="58"/>
      <c r="BX51" s="59"/>
      <c r="BY51" s="49" t="s">
        <v>52</v>
      </c>
      <c r="BZ51" s="57"/>
      <c r="CA51" s="7" t="s">
        <v>83</v>
      </c>
      <c r="CB51" s="55"/>
      <c r="CC51" s="55"/>
      <c r="CD51" s="56"/>
      <c r="CE51" s="56"/>
      <c r="CF51" s="56"/>
      <c r="CG51" s="56"/>
      <c r="CH51" s="56"/>
      <c r="CI51" s="58"/>
      <c r="CJ51" s="59"/>
      <c r="CK51" s="49" t="s">
        <v>52</v>
      </c>
      <c r="CL51" s="52"/>
      <c r="CM51" s="7" t="s">
        <v>83</v>
      </c>
      <c r="CN51" s="55"/>
      <c r="CO51" s="55"/>
      <c r="CP51" s="56"/>
      <c r="CQ51" s="56"/>
      <c r="CR51" s="56"/>
      <c r="CS51" s="56"/>
      <c r="CT51" s="56"/>
      <c r="CU51" s="58"/>
      <c r="CV51" s="56"/>
      <c r="CW51" s="49" t="s">
        <v>52</v>
      </c>
      <c r="CX51" s="52"/>
      <c r="CY51" s="7" t="s">
        <v>83</v>
      </c>
      <c r="CZ51" s="55"/>
      <c r="DA51" s="55"/>
      <c r="DB51" s="56"/>
      <c r="DC51" s="56"/>
      <c r="DD51" s="56"/>
      <c r="DE51" s="56"/>
      <c r="DF51" s="56"/>
      <c r="DG51" s="55"/>
      <c r="DH51" s="56"/>
      <c r="DI51" s="2" t="s">
        <v>52</v>
      </c>
      <c r="DJ51" s="84"/>
      <c r="DK51" s="90" t="s">
        <v>83</v>
      </c>
      <c r="DL51" s="83"/>
      <c r="DM51" s="83"/>
      <c r="DN51" s="84"/>
      <c r="DO51" s="84"/>
      <c r="DP51" s="84"/>
      <c r="DQ51" s="84"/>
      <c r="DR51" s="84"/>
      <c r="DS51" s="83"/>
      <c r="DT51" s="84"/>
      <c r="DU51" s="2" t="s">
        <v>52</v>
      </c>
      <c r="DV51" s="107"/>
      <c r="DW51" s="107"/>
      <c r="DX51" s="2" t="s">
        <v>52</v>
      </c>
      <c r="DY51" s="107" t="s">
        <v>52</v>
      </c>
      <c r="DZ51" s="107" t="s">
        <v>52</v>
      </c>
      <c r="EA51" s="110" t="s">
        <v>52</v>
      </c>
    </row>
    <row r="52" spans="1:131" x14ac:dyDescent="0.5">
      <c r="A52" s="50" t="s">
        <v>109</v>
      </c>
      <c r="B52" s="22" t="s">
        <v>85</v>
      </c>
      <c r="C52" s="56"/>
      <c r="D52" s="56"/>
      <c r="E52" s="49" t="s">
        <v>52</v>
      </c>
      <c r="F52" s="50" t="s">
        <v>109</v>
      </c>
      <c r="G52" s="22" t="s">
        <v>85</v>
      </c>
      <c r="H52" s="55"/>
      <c r="I52" s="55"/>
      <c r="J52" s="56"/>
      <c r="K52" s="56"/>
      <c r="L52" s="56"/>
      <c r="M52" s="56"/>
      <c r="N52" s="56"/>
      <c r="O52" s="55"/>
      <c r="P52" s="56"/>
      <c r="Q52" s="49" t="s">
        <v>52</v>
      </c>
      <c r="R52" s="50" t="s">
        <v>109</v>
      </c>
      <c r="S52" s="22" t="s">
        <v>85</v>
      </c>
      <c r="T52" s="55"/>
      <c r="U52" s="55"/>
      <c r="V52" s="56"/>
      <c r="W52" s="56"/>
      <c r="X52" s="56"/>
      <c r="Y52" s="56"/>
      <c r="Z52" s="56"/>
      <c r="AA52" s="55"/>
      <c r="AB52" s="56"/>
      <c r="AC52" s="49" t="s">
        <v>52</v>
      </c>
      <c r="AD52" s="50" t="s">
        <v>109</v>
      </c>
      <c r="AE52" s="22" t="s">
        <v>85</v>
      </c>
      <c r="AF52" s="55"/>
      <c r="AG52" s="55"/>
      <c r="AH52" s="56"/>
      <c r="AI52" s="56"/>
      <c r="AJ52" s="56"/>
      <c r="AK52" s="56"/>
      <c r="AL52" s="56"/>
      <c r="AM52" s="55"/>
      <c r="AN52" s="56"/>
      <c r="AO52" s="49" t="s">
        <v>52</v>
      </c>
      <c r="AP52" s="50" t="s">
        <v>109</v>
      </c>
      <c r="AQ52" s="22" t="s">
        <v>85</v>
      </c>
      <c r="AR52" s="55"/>
      <c r="AS52" s="55"/>
      <c r="AT52" s="56"/>
      <c r="AU52" s="56"/>
      <c r="AV52" s="56"/>
      <c r="AW52" s="56"/>
      <c r="AX52" s="56"/>
      <c r="AY52" s="55"/>
      <c r="AZ52" s="56"/>
      <c r="BA52" s="49" t="s">
        <v>52</v>
      </c>
      <c r="BB52" s="50" t="s">
        <v>109</v>
      </c>
      <c r="BC52" s="22" t="s">
        <v>85</v>
      </c>
      <c r="BD52" s="55"/>
      <c r="BE52" s="55"/>
      <c r="BF52" s="56"/>
      <c r="BG52" s="56"/>
      <c r="BH52" s="56"/>
      <c r="BI52" s="56"/>
      <c r="BJ52" s="56"/>
      <c r="BK52" s="55"/>
      <c r="BL52" s="56"/>
      <c r="BM52" s="49" t="s">
        <v>52</v>
      </c>
      <c r="BN52" s="51" t="s">
        <v>109</v>
      </c>
      <c r="BO52" s="22" t="s">
        <v>85</v>
      </c>
      <c r="BP52" s="55"/>
      <c r="BQ52" s="55"/>
      <c r="BR52" s="56"/>
      <c r="BS52" s="56"/>
      <c r="BT52" s="56"/>
      <c r="BU52" s="56"/>
      <c r="BV52" s="56"/>
      <c r="BW52" s="58"/>
      <c r="BX52" s="59"/>
      <c r="BY52" s="49" t="s">
        <v>52</v>
      </c>
      <c r="BZ52" s="51" t="s">
        <v>109</v>
      </c>
      <c r="CA52" s="22" t="s">
        <v>85</v>
      </c>
      <c r="CB52" s="55"/>
      <c r="CC52" s="55"/>
      <c r="CD52" s="56"/>
      <c r="CE52" s="56"/>
      <c r="CF52" s="56"/>
      <c r="CG52" s="56"/>
      <c r="CH52" s="56"/>
      <c r="CI52" s="58"/>
      <c r="CJ52" s="59"/>
      <c r="CK52" s="49" t="s">
        <v>52</v>
      </c>
      <c r="CL52" s="50" t="s">
        <v>109</v>
      </c>
      <c r="CM52" s="22" t="s">
        <v>85</v>
      </c>
      <c r="CN52" s="55"/>
      <c r="CO52" s="55"/>
      <c r="CP52" s="56"/>
      <c r="CQ52" s="56"/>
      <c r="CR52" s="56"/>
      <c r="CS52" s="56"/>
      <c r="CT52" s="56"/>
      <c r="CU52" s="58"/>
      <c r="CV52" s="56"/>
      <c r="CW52" s="49" t="s">
        <v>52</v>
      </c>
      <c r="CX52" s="50" t="s">
        <v>109</v>
      </c>
      <c r="CY52" s="22" t="s">
        <v>85</v>
      </c>
      <c r="CZ52" s="55"/>
      <c r="DA52" s="55"/>
      <c r="DB52" s="56"/>
      <c r="DC52" s="56"/>
      <c r="DD52" s="56"/>
      <c r="DE52" s="56"/>
      <c r="DF52" s="56"/>
      <c r="DG52" s="55"/>
      <c r="DH52" s="56"/>
      <c r="DI52" s="2" t="s">
        <v>52</v>
      </c>
      <c r="DJ52" s="80" t="s">
        <v>109</v>
      </c>
      <c r="DK52" s="82" t="s">
        <v>85</v>
      </c>
      <c r="DL52" s="83"/>
      <c r="DM52" s="83"/>
      <c r="DN52" s="84"/>
      <c r="DO52" s="84"/>
      <c r="DP52" s="84"/>
      <c r="DQ52" s="84"/>
      <c r="DR52" s="84"/>
      <c r="DS52" s="83"/>
      <c r="DT52" s="84"/>
      <c r="DU52" s="2" t="s">
        <v>52</v>
      </c>
      <c r="DV52" s="107"/>
      <c r="DW52" s="107"/>
      <c r="DX52" s="2" t="s">
        <v>52</v>
      </c>
      <c r="DY52" s="107" t="s">
        <v>52</v>
      </c>
      <c r="DZ52" s="107" t="s">
        <v>52</v>
      </c>
      <c r="EA52" s="110" t="s">
        <v>52</v>
      </c>
    </row>
    <row r="53" spans="1:131" x14ac:dyDescent="0.5">
      <c r="A53" s="17" t="s">
        <v>96</v>
      </c>
      <c r="B53" s="16" t="s">
        <v>108</v>
      </c>
      <c r="C53" s="21">
        <v>283397.12510876002</v>
      </c>
      <c r="D53" s="21">
        <v>276621.48471292999</v>
      </c>
      <c r="E53" s="49" t="s">
        <v>52</v>
      </c>
      <c r="F53" s="17" t="s">
        <v>96</v>
      </c>
      <c r="G53" s="16" t="s">
        <v>108</v>
      </c>
      <c r="H53" s="15">
        <v>309</v>
      </c>
      <c r="I53" s="15">
        <v>13142219</v>
      </c>
      <c r="J53" s="14">
        <v>8880.9252184600009</v>
      </c>
      <c r="K53" s="14">
        <v>7325.4866885299998</v>
      </c>
      <c r="L53" s="14">
        <v>1555.43852993</v>
      </c>
      <c r="M53" s="14">
        <v>292205.90642051998</v>
      </c>
      <c r="N53" s="14">
        <v>286063.23617967003</v>
      </c>
      <c r="O53" s="15">
        <v>0</v>
      </c>
      <c r="P53" s="14">
        <v>0</v>
      </c>
      <c r="Q53" s="49" t="s">
        <v>52</v>
      </c>
      <c r="R53" s="17" t="s">
        <v>96</v>
      </c>
      <c r="S53" s="16" t="s">
        <v>108</v>
      </c>
      <c r="T53" s="15">
        <v>316</v>
      </c>
      <c r="U53" s="15">
        <v>13234811</v>
      </c>
      <c r="V53" s="14">
        <v>8578.58019169</v>
      </c>
      <c r="W53" s="14">
        <v>7474.1600143300002</v>
      </c>
      <c r="X53" s="14">
        <v>1104.42017736</v>
      </c>
      <c r="Y53" s="14">
        <v>300811.48274812999</v>
      </c>
      <c r="Z53" s="14">
        <v>296889.6268577</v>
      </c>
      <c r="AA53" s="15">
        <v>0</v>
      </c>
      <c r="AB53" s="14">
        <v>0</v>
      </c>
      <c r="AC53" s="49" t="s">
        <v>52</v>
      </c>
      <c r="AD53" s="17" t="s">
        <v>96</v>
      </c>
      <c r="AE53" s="16" t="s">
        <v>108</v>
      </c>
      <c r="AF53" s="15">
        <v>324</v>
      </c>
      <c r="AG53" s="15">
        <v>13498534</v>
      </c>
      <c r="AH53" s="14">
        <v>8041.9698718</v>
      </c>
      <c r="AI53" s="14">
        <v>6998.88330847</v>
      </c>
      <c r="AJ53" s="14">
        <v>1043.08656333</v>
      </c>
      <c r="AK53" s="14">
        <v>308996.38662273</v>
      </c>
      <c r="AL53" s="14">
        <v>304566.89408758999</v>
      </c>
      <c r="AM53" s="15">
        <v>0</v>
      </c>
      <c r="AN53" s="14">
        <v>0</v>
      </c>
      <c r="AO53" s="49" t="s">
        <v>52</v>
      </c>
      <c r="AP53" s="17" t="s">
        <v>96</v>
      </c>
      <c r="AQ53" s="16" t="s">
        <v>108</v>
      </c>
      <c r="AR53" s="15">
        <v>330</v>
      </c>
      <c r="AS53" s="15">
        <v>13698815</v>
      </c>
      <c r="AT53" s="14">
        <v>9229.2479502000006</v>
      </c>
      <c r="AU53" s="14">
        <v>6899.3747379400002</v>
      </c>
      <c r="AV53" s="14">
        <v>2329.8732122599999</v>
      </c>
      <c r="AW53" s="14">
        <v>305829.45866727998</v>
      </c>
      <c r="AX53" s="14">
        <v>308319.11238420999</v>
      </c>
      <c r="AY53" s="15">
        <v>0</v>
      </c>
      <c r="AZ53" s="14">
        <v>0</v>
      </c>
      <c r="BA53" s="49" t="s">
        <v>52</v>
      </c>
      <c r="BB53" s="17" t="s">
        <v>96</v>
      </c>
      <c r="BC53" s="16" t="s">
        <v>108</v>
      </c>
      <c r="BD53" s="15">
        <v>341</v>
      </c>
      <c r="BE53" s="15">
        <v>13953213</v>
      </c>
      <c r="BF53" s="14">
        <v>7684.6188349800004</v>
      </c>
      <c r="BG53" s="14">
        <v>6182.0488924299998</v>
      </c>
      <c r="BH53" s="14">
        <v>1502.56994255</v>
      </c>
      <c r="BI53" s="14">
        <v>304234.99076245999</v>
      </c>
      <c r="BJ53" s="14">
        <v>305471.68981966999</v>
      </c>
      <c r="BK53" s="15">
        <v>0</v>
      </c>
      <c r="BL53" s="14">
        <v>0</v>
      </c>
      <c r="BM53" s="49" t="s">
        <v>52</v>
      </c>
      <c r="BN53" s="20" t="s">
        <v>96</v>
      </c>
      <c r="BO53" s="16" t="s">
        <v>108</v>
      </c>
      <c r="BP53" s="15">
        <v>344</v>
      </c>
      <c r="BQ53" s="15">
        <v>14089501</v>
      </c>
      <c r="BR53" s="14">
        <v>9066.0965336000008</v>
      </c>
      <c r="BS53" s="14">
        <v>7485.4446908</v>
      </c>
      <c r="BT53" s="14">
        <v>1580.6518427999999</v>
      </c>
      <c r="BU53" s="14">
        <v>308893.41279822</v>
      </c>
      <c r="BV53" s="14">
        <v>310802.27239177999</v>
      </c>
      <c r="BW53" s="18">
        <v>0</v>
      </c>
      <c r="BX53" s="19">
        <v>0</v>
      </c>
      <c r="BY53" s="49" t="s">
        <v>52</v>
      </c>
      <c r="BZ53" s="20" t="s">
        <v>96</v>
      </c>
      <c r="CA53" s="16" t="s">
        <v>108</v>
      </c>
      <c r="CB53" s="15">
        <v>345</v>
      </c>
      <c r="CC53" s="15">
        <v>14179440</v>
      </c>
      <c r="CD53" s="14">
        <v>9475.0901947700004</v>
      </c>
      <c r="CE53" s="14">
        <v>7545.6673566999998</v>
      </c>
      <c r="CF53" s="14">
        <v>1929.4228380700099</v>
      </c>
      <c r="CG53" s="14">
        <v>320075.91746133001</v>
      </c>
      <c r="CH53" s="14">
        <v>316924.74489378999</v>
      </c>
      <c r="CI53" s="18">
        <v>0</v>
      </c>
      <c r="CJ53" s="19">
        <v>0</v>
      </c>
      <c r="CK53" s="49" t="s">
        <v>52</v>
      </c>
      <c r="CL53" s="17" t="s">
        <v>96</v>
      </c>
      <c r="CM53" s="16" t="s">
        <v>108</v>
      </c>
      <c r="CN53" s="15">
        <v>348</v>
      </c>
      <c r="CO53" s="15">
        <v>14338654</v>
      </c>
      <c r="CP53" s="14">
        <v>8701.8451667699901</v>
      </c>
      <c r="CQ53" s="14">
        <v>6975.0396427900096</v>
      </c>
      <c r="CR53" s="14">
        <v>1726.8055239799901</v>
      </c>
      <c r="CS53" s="14">
        <v>324848.00347473001</v>
      </c>
      <c r="CT53" s="14">
        <v>322516.83930913999</v>
      </c>
      <c r="CU53" s="18">
        <v>0</v>
      </c>
      <c r="CV53" s="14">
        <v>0</v>
      </c>
      <c r="CW53" s="49" t="s">
        <v>52</v>
      </c>
      <c r="CX53" s="17" t="s">
        <v>96</v>
      </c>
      <c r="CY53" s="16" t="s">
        <v>108</v>
      </c>
      <c r="CZ53" s="15">
        <v>352</v>
      </c>
      <c r="DA53" s="15">
        <v>14401091</v>
      </c>
      <c r="DB53" s="14">
        <v>10596.36559904</v>
      </c>
      <c r="DC53" s="14">
        <v>8865.8687088200004</v>
      </c>
      <c r="DD53" s="14">
        <v>1730.4968902200001</v>
      </c>
      <c r="DE53" s="112">
        <v>325821.39601515001</v>
      </c>
      <c r="DF53" s="14">
        <v>323759.43324818998</v>
      </c>
      <c r="DG53" s="15">
        <v>0</v>
      </c>
      <c r="DH53" s="14">
        <v>0</v>
      </c>
      <c r="DI53" s="2" t="s">
        <v>52</v>
      </c>
      <c r="DJ53" s="85" t="s">
        <v>96</v>
      </c>
      <c r="DK53" s="86" t="s">
        <v>108</v>
      </c>
      <c r="DL53" s="87">
        <v>354</v>
      </c>
      <c r="DM53" s="87">
        <v>14524940</v>
      </c>
      <c r="DN53" s="88">
        <v>8526.2222152900104</v>
      </c>
      <c r="DO53" s="88">
        <v>8498.9253950500006</v>
      </c>
      <c r="DP53" s="88">
        <v>27.2968202400079</v>
      </c>
      <c r="DQ53" s="111">
        <v>320493.86345549999</v>
      </c>
      <c r="DR53" s="88">
        <v>322963.64312820003</v>
      </c>
      <c r="DS53" s="87">
        <v>0</v>
      </c>
      <c r="DT53" s="88">
        <v>0</v>
      </c>
      <c r="DU53" s="2" t="s">
        <v>52</v>
      </c>
      <c r="DV53" s="136"/>
      <c r="DW53" s="137"/>
      <c r="DX53" s="2" t="s">
        <v>52</v>
      </c>
      <c r="DY53" s="136">
        <f t="shared" ref="DY53:DY57" si="295">(DN53-DB53)/DB53</f>
        <v>-0.1953635295423875</v>
      </c>
      <c r="DZ53" s="137">
        <f t="shared" ref="DZ53:DZ57" si="296">(DP53-DD53)/DD53</f>
        <v>-0.98422602178930374</v>
      </c>
      <c r="EA53" s="138">
        <f t="shared" ref="EA53:EA57" si="297">(DR53-DF53)/DF53</f>
        <v>-2.4579673617723037E-3</v>
      </c>
    </row>
    <row r="54" spans="1:131" x14ac:dyDescent="0.5">
      <c r="A54" s="17" t="s">
        <v>95</v>
      </c>
      <c r="B54" s="16" t="s">
        <v>107</v>
      </c>
      <c r="C54" s="21">
        <v>58887.991469809996</v>
      </c>
      <c r="D54" s="21">
        <v>57101.287401119997</v>
      </c>
      <c r="E54" s="49" t="s">
        <v>52</v>
      </c>
      <c r="F54" s="17" t="s">
        <v>95</v>
      </c>
      <c r="G54" s="16" t="s">
        <v>107</v>
      </c>
      <c r="H54" s="15">
        <v>20</v>
      </c>
      <c r="I54" s="15">
        <v>7144848</v>
      </c>
      <c r="J54" s="14">
        <v>1663.2590498</v>
      </c>
      <c r="K54" s="14">
        <v>1669.0787759</v>
      </c>
      <c r="L54" s="14">
        <v>-5.8197261000000298</v>
      </c>
      <c r="M54" s="14">
        <v>61422.194645260002</v>
      </c>
      <c r="N54" s="14">
        <v>60631.367013739997</v>
      </c>
      <c r="O54" s="15">
        <v>0</v>
      </c>
      <c r="P54" s="14">
        <v>0</v>
      </c>
      <c r="Q54" s="49" t="s">
        <v>52</v>
      </c>
      <c r="R54" s="17" t="s">
        <v>95</v>
      </c>
      <c r="S54" s="16" t="s">
        <v>107</v>
      </c>
      <c r="T54" s="15">
        <v>20</v>
      </c>
      <c r="U54" s="15">
        <v>7368808</v>
      </c>
      <c r="V54" s="14">
        <v>1266.1922899000001</v>
      </c>
      <c r="W54" s="14">
        <v>974.28074519999996</v>
      </c>
      <c r="X54" s="14">
        <v>291.91154469999998</v>
      </c>
      <c r="Y54" s="14">
        <v>62452.935892640002</v>
      </c>
      <c r="Z54" s="14">
        <v>62124.925187289999</v>
      </c>
      <c r="AA54" s="15">
        <v>0</v>
      </c>
      <c r="AB54" s="14">
        <v>0</v>
      </c>
      <c r="AC54" s="49" t="s">
        <v>52</v>
      </c>
      <c r="AD54" s="17" t="s">
        <v>95</v>
      </c>
      <c r="AE54" s="16" t="s">
        <v>107</v>
      </c>
      <c r="AF54" s="15">
        <v>20</v>
      </c>
      <c r="AG54" s="15">
        <v>7654158</v>
      </c>
      <c r="AH54" s="14">
        <v>2368.9897559000001</v>
      </c>
      <c r="AI54" s="14">
        <v>288.14412019999997</v>
      </c>
      <c r="AJ54" s="14">
        <v>2080.8456357</v>
      </c>
      <c r="AK54" s="14">
        <v>64777.225850410003</v>
      </c>
      <c r="AL54" s="14">
        <v>64833.42999959</v>
      </c>
      <c r="AM54" s="15">
        <v>0</v>
      </c>
      <c r="AN54" s="14">
        <v>0</v>
      </c>
      <c r="AO54" s="49" t="s">
        <v>52</v>
      </c>
      <c r="AP54" s="17" t="s">
        <v>95</v>
      </c>
      <c r="AQ54" s="16" t="s">
        <v>107</v>
      </c>
      <c r="AR54" s="15">
        <v>21</v>
      </c>
      <c r="AS54" s="15">
        <v>7869544</v>
      </c>
      <c r="AT54" s="14">
        <v>1444.3175497</v>
      </c>
      <c r="AU54" s="14">
        <v>188.22306420000001</v>
      </c>
      <c r="AV54" s="14">
        <v>1256.0944855</v>
      </c>
      <c r="AW54" s="14">
        <v>67634.5185222</v>
      </c>
      <c r="AX54" s="14">
        <v>66664.073880249998</v>
      </c>
      <c r="AY54" s="15">
        <v>0</v>
      </c>
      <c r="AZ54" s="14">
        <v>0</v>
      </c>
      <c r="BA54" s="49" t="s">
        <v>52</v>
      </c>
      <c r="BB54" s="17" t="s">
        <v>95</v>
      </c>
      <c r="BC54" s="16" t="s">
        <v>107</v>
      </c>
      <c r="BD54" s="15">
        <v>21</v>
      </c>
      <c r="BE54" s="15">
        <v>8033855</v>
      </c>
      <c r="BF54" s="14">
        <v>2334.2308076999998</v>
      </c>
      <c r="BG54" s="14">
        <v>144.71787749999999</v>
      </c>
      <c r="BH54" s="14">
        <v>2189.5129302</v>
      </c>
      <c r="BI54" s="14">
        <v>72495.596704940006</v>
      </c>
      <c r="BJ54" s="14">
        <v>69918.716084109998</v>
      </c>
      <c r="BK54" s="15">
        <v>0</v>
      </c>
      <c r="BL54" s="14">
        <v>0</v>
      </c>
      <c r="BM54" s="49" t="s">
        <v>52</v>
      </c>
      <c r="BN54" s="20" t="s">
        <v>95</v>
      </c>
      <c r="BO54" s="16" t="s">
        <v>107</v>
      </c>
      <c r="BP54" s="15">
        <v>22</v>
      </c>
      <c r="BQ54" s="15">
        <v>8663662</v>
      </c>
      <c r="BR54" s="14">
        <v>8460.8461536600007</v>
      </c>
      <c r="BS54" s="14">
        <v>97.715931960000006</v>
      </c>
      <c r="BT54" s="14">
        <v>8363.1302216999993</v>
      </c>
      <c r="BU54" s="14">
        <v>90135.983888369999</v>
      </c>
      <c r="BV54" s="14">
        <v>81700.390736379995</v>
      </c>
      <c r="BW54" s="18">
        <v>0</v>
      </c>
      <c r="BX54" s="19">
        <v>0</v>
      </c>
      <c r="BY54" s="49" t="s">
        <v>52</v>
      </c>
      <c r="BZ54" s="20" t="s">
        <v>95</v>
      </c>
      <c r="CA54" s="16" t="s">
        <v>107</v>
      </c>
      <c r="CB54" s="15">
        <v>22</v>
      </c>
      <c r="CC54" s="15">
        <v>9575399</v>
      </c>
      <c r="CD54" s="14">
        <v>9898.6344012000009</v>
      </c>
      <c r="CE54" s="14">
        <v>2155.4445230000001</v>
      </c>
      <c r="CF54" s="14">
        <v>7743.1898781999998</v>
      </c>
      <c r="CG54" s="14">
        <v>102119.86345665999</v>
      </c>
      <c r="CH54" s="14">
        <v>102088.98556689</v>
      </c>
      <c r="CI54" s="18">
        <v>0</v>
      </c>
      <c r="CJ54" s="19">
        <v>0</v>
      </c>
      <c r="CK54" s="49" t="s">
        <v>52</v>
      </c>
      <c r="CL54" s="17" t="s">
        <v>95</v>
      </c>
      <c r="CM54" s="16" t="s">
        <v>107</v>
      </c>
      <c r="CN54" s="15">
        <v>23</v>
      </c>
      <c r="CO54" s="15">
        <v>9784310</v>
      </c>
      <c r="CP54" s="14">
        <v>4137.6076154299999</v>
      </c>
      <c r="CQ54" s="14">
        <v>395.81274115000002</v>
      </c>
      <c r="CR54" s="14">
        <v>3741.7948742799999</v>
      </c>
      <c r="CS54" s="14">
        <v>110517.75938485999</v>
      </c>
      <c r="CT54" s="14">
        <v>106020.76040516001</v>
      </c>
      <c r="CU54" s="18">
        <v>0</v>
      </c>
      <c r="CV54" s="14">
        <v>0</v>
      </c>
      <c r="CW54" s="49" t="s">
        <v>52</v>
      </c>
      <c r="CX54" s="17" t="s">
        <v>95</v>
      </c>
      <c r="CY54" s="16" t="s">
        <v>107</v>
      </c>
      <c r="CZ54" s="15">
        <v>25</v>
      </c>
      <c r="DA54" s="15">
        <v>10225561</v>
      </c>
      <c r="DB54" s="14">
        <v>11850.587811089999</v>
      </c>
      <c r="DC54" s="14">
        <v>203.84816419000001</v>
      </c>
      <c r="DD54" s="14">
        <v>11646.7396469</v>
      </c>
      <c r="DE54" s="14">
        <v>127896.38428562001</v>
      </c>
      <c r="DF54" s="14">
        <v>120867.21752365</v>
      </c>
      <c r="DG54" s="15">
        <v>0</v>
      </c>
      <c r="DH54" s="14">
        <v>0</v>
      </c>
      <c r="DI54" s="2" t="s">
        <v>52</v>
      </c>
      <c r="DJ54" s="85" t="s">
        <v>95</v>
      </c>
      <c r="DK54" s="86" t="s">
        <v>107</v>
      </c>
      <c r="DL54" s="87">
        <v>25</v>
      </c>
      <c r="DM54" s="87">
        <v>11437218</v>
      </c>
      <c r="DN54" s="88">
        <v>24351.577363740002</v>
      </c>
      <c r="DO54" s="88">
        <v>311.6168897</v>
      </c>
      <c r="DP54" s="88">
        <v>24039.960474039999</v>
      </c>
      <c r="DQ54" s="88">
        <v>184276.95609374999</v>
      </c>
      <c r="DR54" s="88">
        <v>150380.66235500999</v>
      </c>
      <c r="DS54" s="87">
        <v>0</v>
      </c>
      <c r="DT54" s="88">
        <v>0</v>
      </c>
      <c r="DU54" s="2" t="s">
        <v>52</v>
      </c>
      <c r="DV54" s="136"/>
      <c r="DW54" s="137"/>
      <c r="DX54" s="2" t="s">
        <v>52</v>
      </c>
      <c r="DY54" s="136">
        <f t="shared" si="295"/>
        <v>1.0548835004582089</v>
      </c>
      <c r="DZ54" s="137">
        <f t="shared" si="296"/>
        <v>1.0640935749292455</v>
      </c>
      <c r="EA54" s="138">
        <f t="shared" si="297"/>
        <v>0.24418072522919715</v>
      </c>
    </row>
    <row r="55" spans="1:131" x14ac:dyDescent="0.5">
      <c r="A55" s="17" t="s">
        <v>100</v>
      </c>
      <c r="B55" s="16" t="s">
        <v>106</v>
      </c>
      <c r="C55" s="21">
        <v>779630.18569931004</v>
      </c>
      <c r="D55" s="21">
        <v>753854.49690951</v>
      </c>
      <c r="E55" s="49" t="s">
        <v>52</v>
      </c>
      <c r="F55" s="17" t="s">
        <v>100</v>
      </c>
      <c r="G55" s="16" t="s">
        <v>106</v>
      </c>
      <c r="H55" s="15">
        <v>233</v>
      </c>
      <c r="I55" s="15">
        <v>20228722</v>
      </c>
      <c r="J55" s="14">
        <v>32840.787521339997</v>
      </c>
      <c r="K55" s="14">
        <v>13784.128729919999</v>
      </c>
      <c r="L55" s="14">
        <v>19056.658791419999</v>
      </c>
      <c r="M55" s="14">
        <v>813120.65283899999</v>
      </c>
      <c r="N55" s="14">
        <v>785026.31034009997</v>
      </c>
      <c r="O55" s="15">
        <v>0</v>
      </c>
      <c r="P55" s="14">
        <v>0</v>
      </c>
      <c r="Q55" s="49" t="s">
        <v>52</v>
      </c>
      <c r="R55" s="17" t="s">
        <v>100</v>
      </c>
      <c r="S55" s="16" t="s">
        <v>106</v>
      </c>
      <c r="T55" s="15">
        <v>240</v>
      </c>
      <c r="U55" s="15">
        <v>20493330</v>
      </c>
      <c r="V55" s="14">
        <v>18281.265338720001</v>
      </c>
      <c r="W55" s="14">
        <v>14194.450706129999</v>
      </c>
      <c r="X55" s="14">
        <v>4086.8146325900002</v>
      </c>
      <c r="Y55" s="14">
        <v>833965.85019080003</v>
      </c>
      <c r="Z55" s="14">
        <v>826197.95298676996</v>
      </c>
      <c r="AA55" s="15">
        <v>0</v>
      </c>
      <c r="AB55" s="14">
        <v>0</v>
      </c>
      <c r="AC55" s="49" t="s">
        <v>52</v>
      </c>
      <c r="AD55" s="17" t="s">
        <v>100</v>
      </c>
      <c r="AE55" s="16" t="s">
        <v>106</v>
      </c>
      <c r="AF55" s="15">
        <v>246</v>
      </c>
      <c r="AG55" s="15">
        <v>20613868</v>
      </c>
      <c r="AH55" s="14">
        <v>16480.757743049999</v>
      </c>
      <c r="AI55" s="14">
        <v>15636.33136378</v>
      </c>
      <c r="AJ55" s="14">
        <v>844.42637926999998</v>
      </c>
      <c r="AK55" s="14">
        <v>859260.58904124005</v>
      </c>
      <c r="AL55" s="14">
        <v>843878.10686522</v>
      </c>
      <c r="AM55" s="15">
        <v>0</v>
      </c>
      <c r="AN55" s="14">
        <v>0</v>
      </c>
      <c r="AO55" s="49" t="s">
        <v>52</v>
      </c>
      <c r="AP55" s="17" t="s">
        <v>100</v>
      </c>
      <c r="AQ55" s="16" t="s">
        <v>106</v>
      </c>
      <c r="AR55" s="15">
        <v>252</v>
      </c>
      <c r="AS55" s="15">
        <v>20810327</v>
      </c>
      <c r="AT55" s="14">
        <v>18136.056843599999</v>
      </c>
      <c r="AU55" s="14">
        <v>13659.144418809999</v>
      </c>
      <c r="AV55" s="14">
        <v>4476.9124247899999</v>
      </c>
      <c r="AW55" s="14">
        <v>844401.98576881003</v>
      </c>
      <c r="AX55" s="14">
        <v>852466.94151856005</v>
      </c>
      <c r="AY55" s="15">
        <v>0</v>
      </c>
      <c r="AZ55" s="14">
        <v>0</v>
      </c>
      <c r="BA55" s="49" t="s">
        <v>52</v>
      </c>
      <c r="BB55" s="17" t="s">
        <v>100</v>
      </c>
      <c r="BC55" s="16" t="s">
        <v>106</v>
      </c>
      <c r="BD55" s="15">
        <v>258</v>
      </c>
      <c r="BE55" s="15">
        <v>21252597</v>
      </c>
      <c r="BF55" s="14">
        <v>15315.89250985</v>
      </c>
      <c r="BG55" s="14">
        <v>8071.7793646500004</v>
      </c>
      <c r="BH55" s="14">
        <v>7244.11314519999</v>
      </c>
      <c r="BI55" s="14">
        <v>842201.47235244</v>
      </c>
      <c r="BJ55" s="14">
        <v>846007.59189491998</v>
      </c>
      <c r="BK55" s="15">
        <v>0</v>
      </c>
      <c r="BL55" s="14">
        <v>0</v>
      </c>
      <c r="BM55" s="49" t="s">
        <v>52</v>
      </c>
      <c r="BN55" s="20" t="s">
        <v>100</v>
      </c>
      <c r="BO55" s="16" t="s">
        <v>106</v>
      </c>
      <c r="BP55" s="15">
        <v>260</v>
      </c>
      <c r="BQ55" s="15">
        <v>21740194</v>
      </c>
      <c r="BR55" s="14">
        <v>20731.1746059</v>
      </c>
      <c r="BS55" s="14">
        <v>12580.38110474</v>
      </c>
      <c r="BT55" s="14">
        <v>8150.7935011600002</v>
      </c>
      <c r="BU55" s="14">
        <v>865687.55522619002</v>
      </c>
      <c r="BV55" s="14">
        <v>866031.76950049005</v>
      </c>
      <c r="BW55" s="18">
        <v>0</v>
      </c>
      <c r="BX55" s="19">
        <v>0</v>
      </c>
      <c r="BY55" s="49" t="s">
        <v>52</v>
      </c>
      <c r="BZ55" s="20" t="s">
        <v>100</v>
      </c>
      <c r="CA55" s="16" t="s">
        <v>106</v>
      </c>
      <c r="CB55" s="15">
        <v>268</v>
      </c>
      <c r="CC55" s="15">
        <v>22859737</v>
      </c>
      <c r="CD55" s="14">
        <v>22739.323233380001</v>
      </c>
      <c r="CE55" s="14">
        <v>16557.624600470001</v>
      </c>
      <c r="CF55" s="14">
        <v>6181.69863291002</v>
      </c>
      <c r="CG55" s="14">
        <v>908398.92463526002</v>
      </c>
      <c r="CH55" s="14">
        <v>900452.50527600001</v>
      </c>
      <c r="CI55" s="18">
        <v>0</v>
      </c>
      <c r="CJ55" s="19">
        <v>0</v>
      </c>
      <c r="CK55" s="49" t="s">
        <v>52</v>
      </c>
      <c r="CL55" s="17" t="s">
        <v>100</v>
      </c>
      <c r="CM55" s="16" t="s">
        <v>106</v>
      </c>
      <c r="CN55" s="15">
        <v>278</v>
      </c>
      <c r="CO55" s="15">
        <v>23129290</v>
      </c>
      <c r="CP55" s="14">
        <v>18339.92516174</v>
      </c>
      <c r="CQ55" s="14">
        <v>8619.1833174500098</v>
      </c>
      <c r="CR55" s="14">
        <v>9720.7418442899798</v>
      </c>
      <c r="CS55" s="14">
        <v>936137.63736477005</v>
      </c>
      <c r="CT55" s="14">
        <v>919060.94359673001</v>
      </c>
      <c r="CU55" s="18">
        <v>0</v>
      </c>
      <c r="CV55" s="14">
        <v>0</v>
      </c>
      <c r="CW55" s="49" t="s">
        <v>52</v>
      </c>
      <c r="CX55" s="17" t="s">
        <v>100</v>
      </c>
      <c r="CY55" s="16" t="s">
        <v>106</v>
      </c>
      <c r="CZ55" s="15">
        <v>286</v>
      </c>
      <c r="DA55" s="15">
        <v>23969652</v>
      </c>
      <c r="DB55" s="14">
        <v>25716.546318979999</v>
      </c>
      <c r="DC55" s="14">
        <v>12517.108925820001</v>
      </c>
      <c r="DD55" s="14">
        <v>13199.43739316</v>
      </c>
      <c r="DE55" s="14">
        <v>966503.97067096003</v>
      </c>
      <c r="DF55" s="14">
        <v>947036.17915981996</v>
      </c>
      <c r="DG55" s="15">
        <v>0</v>
      </c>
      <c r="DH55" s="14">
        <v>0</v>
      </c>
      <c r="DI55" s="2" t="s">
        <v>52</v>
      </c>
      <c r="DJ55" s="85" t="s">
        <v>100</v>
      </c>
      <c r="DK55" s="86" t="s">
        <v>106</v>
      </c>
      <c r="DL55" s="87">
        <v>289</v>
      </c>
      <c r="DM55" s="87">
        <v>26057440</v>
      </c>
      <c r="DN55" s="88">
        <v>34387.69612044</v>
      </c>
      <c r="DO55" s="88">
        <v>19381.8304025</v>
      </c>
      <c r="DP55" s="88">
        <v>15005.86571794</v>
      </c>
      <c r="DQ55" s="88">
        <v>997350.40860862995</v>
      </c>
      <c r="DR55" s="88">
        <v>979921.32761106</v>
      </c>
      <c r="DS55" s="87">
        <v>0</v>
      </c>
      <c r="DT55" s="88">
        <v>0</v>
      </c>
      <c r="DU55" s="2" t="s">
        <v>52</v>
      </c>
      <c r="DV55" s="136"/>
      <c r="DW55" s="137"/>
      <c r="DX55" s="2" t="s">
        <v>52</v>
      </c>
      <c r="DY55" s="136">
        <f t="shared" si="295"/>
        <v>0.3371817387103917</v>
      </c>
      <c r="DZ55" s="137">
        <f t="shared" si="296"/>
        <v>0.13685646372443855</v>
      </c>
      <c r="EA55" s="138">
        <f t="shared" si="297"/>
        <v>3.4724278939812711E-2</v>
      </c>
    </row>
    <row r="56" spans="1:131" x14ac:dyDescent="0.5">
      <c r="A56" s="17" t="s">
        <v>99</v>
      </c>
      <c r="B56" s="16" t="s">
        <v>105</v>
      </c>
      <c r="C56" s="21">
        <v>25030.808595359998</v>
      </c>
      <c r="D56" s="21">
        <v>26287.87223356</v>
      </c>
      <c r="E56" s="49" t="s">
        <v>52</v>
      </c>
      <c r="F56" s="17" t="s">
        <v>99</v>
      </c>
      <c r="G56" s="16" t="s">
        <v>105</v>
      </c>
      <c r="H56" s="15">
        <v>53</v>
      </c>
      <c r="I56" s="15">
        <v>1382180</v>
      </c>
      <c r="J56" s="14">
        <v>334.90833284000001</v>
      </c>
      <c r="K56" s="14">
        <v>711.73127900999998</v>
      </c>
      <c r="L56" s="14">
        <v>-376.82294617000002</v>
      </c>
      <c r="M56" s="14">
        <v>24836.170970250001</v>
      </c>
      <c r="N56" s="14">
        <v>24101.524828819998</v>
      </c>
      <c r="O56" s="15">
        <v>0</v>
      </c>
      <c r="P56" s="14">
        <v>0</v>
      </c>
      <c r="Q56" s="49" t="s">
        <v>52</v>
      </c>
      <c r="R56" s="17" t="s">
        <v>99</v>
      </c>
      <c r="S56" s="16" t="s">
        <v>105</v>
      </c>
      <c r="T56" s="15">
        <v>53</v>
      </c>
      <c r="U56" s="15">
        <v>1377236</v>
      </c>
      <c r="V56" s="14">
        <v>394.07504034999999</v>
      </c>
      <c r="W56" s="14">
        <v>351.24607207999998</v>
      </c>
      <c r="X56" s="14">
        <v>42.828968269999997</v>
      </c>
      <c r="Y56" s="14">
        <v>27014.14923911</v>
      </c>
      <c r="Z56" s="14">
        <v>26413.733211409999</v>
      </c>
      <c r="AA56" s="15">
        <v>0</v>
      </c>
      <c r="AB56" s="14">
        <v>0</v>
      </c>
      <c r="AC56" s="49" t="s">
        <v>52</v>
      </c>
      <c r="AD56" s="17" t="s">
        <v>99</v>
      </c>
      <c r="AE56" s="16" t="s">
        <v>105</v>
      </c>
      <c r="AF56" s="15">
        <v>52</v>
      </c>
      <c r="AG56" s="15">
        <v>1375052</v>
      </c>
      <c r="AH56" s="14">
        <v>406.33591068999999</v>
      </c>
      <c r="AI56" s="14">
        <v>377.53758263999998</v>
      </c>
      <c r="AJ56" s="14">
        <v>28.798328050000102</v>
      </c>
      <c r="AK56" s="14">
        <v>28695.42836012</v>
      </c>
      <c r="AL56" s="14">
        <v>27984.342277380001</v>
      </c>
      <c r="AM56" s="15">
        <v>0</v>
      </c>
      <c r="AN56" s="14">
        <v>0</v>
      </c>
      <c r="AO56" s="49" t="s">
        <v>52</v>
      </c>
      <c r="AP56" s="17" t="s">
        <v>99</v>
      </c>
      <c r="AQ56" s="16" t="s">
        <v>105</v>
      </c>
      <c r="AR56" s="15">
        <v>52</v>
      </c>
      <c r="AS56" s="15">
        <v>1391034</v>
      </c>
      <c r="AT56" s="14">
        <v>562.11439195000003</v>
      </c>
      <c r="AU56" s="14">
        <v>365.51825126</v>
      </c>
      <c r="AV56" s="14">
        <v>196.59614069</v>
      </c>
      <c r="AW56" s="14">
        <v>30167.65388854</v>
      </c>
      <c r="AX56" s="14">
        <v>29233.808783510001</v>
      </c>
      <c r="AY56" s="15">
        <v>0</v>
      </c>
      <c r="AZ56" s="14">
        <v>0</v>
      </c>
      <c r="BA56" s="49" t="s">
        <v>52</v>
      </c>
      <c r="BB56" s="17" t="s">
        <v>99</v>
      </c>
      <c r="BC56" s="16" t="s">
        <v>105</v>
      </c>
      <c r="BD56" s="15">
        <v>52</v>
      </c>
      <c r="BE56" s="15">
        <v>1415559</v>
      </c>
      <c r="BF56" s="14">
        <v>789.70459215999995</v>
      </c>
      <c r="BG56" s="14">
        <v>289.10395735999998</v>
      </c>
      <c r="BH56" s="14">
        <v>500.60063480000002</v>
      </c>
      <c r="BI56" s="14">
        <v>31358.494129999999</v>
      </c>
      <c r="BJ56" s="14">
        <v>30632.00988215</v>
      </c>
      <c r="BK56" s="15">
        <v>0</v>
      </c>
      <c r="BL56" s="14">
        <v>0</v>
      </c>
      <c r="BM56" s="49" t="s">
        <v>52</v>
      </c>
      <c r="BN56" s="20" t="s">
        <v>99</v>
      </c>
      <c r="BO56" s="16" t="s">
        <v>105</v>
      </c>
      <c r="BP56" s="15">
        <v>52</v>
      </c>
      <c r="BQ56" s="15">
        <v>1483745</v>
      </c>
      <c r="BR56" s="14">
        <v>1375.0280896199999</v>
      </c>
      <c r="BS56" s="14">
        <v>413.09120795000001</v>
      </c>
      <c r="BT56" s="14">
        <v>961.93688167000005</v>
      </c>
      <c r="BU56" s="14">
        <v>34424.153778940003</v>
      </c>
      <c r="BV56" s="14">
        <v>33100.710176790002</v>
      </c>
      <c r="BW56" s="18">
        <v>0</v>
      </c>
      <c r="BX56" s="19">
        <v>0</v>
      </c>
      <c r="BY56" s="49" t="s">
        <v>52</v>
      </c>
      <c r="BZ56" s="20" t="s">
        <v>99</v>
      </c>
      <c r="CA56" s="16" t="s">
        <v>105</v>
      </c>
      <c r="CB56" s="15">
        <v>52</v>
      </c>
      <c r="CC56" s="15">
        <v>1558989</v>
      </c>
      <c r="CD56" s="14">
        <v>1333.69076197</v>
      </c>
      <c r="CE56" s="14">
        <v>519.58062022000001</v>
      </c>
      <c r="CF56" s="14">
        <v>814.110141749999</v>
      </c>
      <c r="CG56" s="14">
        <v>36090.86421521</v>
      </c>
      <c r="CH56" s="14">
        <v>35039.366369579999</v>
      </c>
      <c r="CI56" s="18">
        <v>0</v>
      </c>
      <c r="CJ56" s="19">
        <v>0</v>
      </c>
      <c r="CK56" s="49" t="s">
        <v>52</v>
      </c>
      <c r="CL56" s="17" t="s">
        <v>99</v>
      </c>
      <c r="CM56" s="16" t="s">
        <v>105</v>
      </c>
      <c r="CN56" s="15">
        <v>52</v>
      </c>
      <c r="CO56" s="15">
        <v>1612175</v>
      </c>
      <c r="CP56" s="14">
        <v>753.80522295000105</v>
      </c>
      <c r="CQ56" s="14">
        <v>558.12624360999996</v>
      </c>
      <c r="CR56" s="14">
        <v>195.67897934000101</v>
      </c>
      <c r="CS56" s="14">
        <v>35964.967636460002</v>
      </c>
      <c r="CT56" s="14">
        <v>35287.949552550002</v>
      </c>
      <c r="CU56" s="18">
        <v>0</v>
      </c>
      <c r="CV56" s="14">
        <v>0</v>
      </c>
      <c r="CW56" s="49" t="s">
        <v>52</v>
      </c>
      <c r="CX56" s="17" t="s">
        <v>99</v>
      </c>
      <c r="CY56" s="16" t="s">
        <v>105</v>
      </c>
      <c r="CZ56" s="15">
        <v>52</v>
      </c>
      <c r="DA56" s="15">
        <v>1638654</v>
      </c>
      <c r="DB56" s="14">
        <v>829.61512825999898</v>
      </c>
      <c r="DC56" s="14">
        <v>683.04616668999995</v>
      </c>
      <c r="DD56" s="14">
        <v>146.56896157</v>
      </c>
      <c r="DE56" s="14">
        <v>36584.529326600001</v>
      </c>
      <c r="DF56" s="14">
        <v>36466.87294917</v>
      </c>
      <c r="DG56" s="15">
        <v>0</v>
      </c>
      <c r="DH56" s="14">
        <v>0</v>
      </c>
      <c r="DI56" s="2" t="s">
        <v>52</v>
      </c>
      <c r="DJ56" s="85" t="s">
        <v>99</v>
      </c>
      <c r="DK56" s="86" t="s">
        <v>105</v>
      </c>
      <c r="DL56" s="87">
        <v>52</v>
      </c>
      <c r="DM56" s="87">
        <v>1682977</v>
      </c>
      <c r="DN56" s="88">
        <v>1285.5200636100001</v>
      </c>
      <c r="DO56" s="88">
        <v>404.01516666999999</v>
      </c>
      <c r="DP56" s="88">
        <v>881.50489693999998</v>
      </c>
      <c r="DQ56" s="88">
        <v>39229.082234250003</v>
      </c>
      <c r="DR56" s="88">
        <v>38154.74231265</v>
      </c>
      <c r="DS56" s="87">
        <v>0</v>
      </c>
      <c r="DT56" s="88">
        <v>0</v>
      </c>
      <c r="DU56" s="2" t="s">
        <v>52</v>
      </c>
      <c r="DV56" s="136"/>
      <c r="DW56" s="137"/>
      <c r="DX56" s="2" t="s">
        <v>52</v>
      </c>
      <c r="DY56" s="136">
        <f t="shared" si="295"/>
        <v>0.54953787584153335</v>
      </c>
      <c r="DZ56" s="137">
        <f t="shared" si="296"/>
        <v>5.0142671920275648</v>
      </c>
      <c r="EA56" s="138">
        <f t="shared" si="297"/>
        <v>4.6285004086658789E-2</v>
      </c>
    </row>
    <row r="57" spans="1:131" x14ac:dyDescent="0.5">
      <c r="A57" s="27" t="s">
        <v>83</v>
      </c>
      <c r="B57" s="27" t="s">
        <v>104</v>
      </c>
      <c r="C57" s="26">
        <f t="shared" ref="C57:D57" si="298">SUM(C53:C56)</f>
        <v>1146946.11087324</v>
      </c>
      <c r="D57" s="26">
        <f t="shared" si="298"/>
        <v>1113865.1412571201</v>
      </c>
      <c r="E57" s="49" t="s">
        <v>52</v>
      </c>
      <c r="F57" s="27" t="s">
        <v>83</v>
      </c>
      <c r="G57" s="27" t="s">
        <v>104</v>
      </c>
      <c r="H57" s="26">
        <f t="shared" ref="H57" si="299">SUM(H53:H56)</f>
        <v>615</v>
      </c>
      <c r="I57" s="26">
        <f t="shared" ref="I57" si="300">SUM(I53:I56)</f>
        <v>41897969</v>
      </c>
      <c r="J57" s="26">
        <f t="shared" ref="J57" si="301">SUM(J53:J56)</f>
        <v>43719.880122439994</v>
      </c>
      <c r="K57" s="26">
        <f t="shared" ref="K57" si="302">SUM(K53:K56)</f>
        <v>23490.425473359999</v>
      </c>
      <c r="L57" s="26">
        <f t="shared" ref="L57" si="303">SUM(L53:L56)</f>
        <v>20229.454649079998</v>
      </c>
      <c r="M57" s="26">
        <f t="shared" ref="M57" si="304">SUM(M53:M56)</f>
        <v>1191584.9248750298</v>
      </c>
      <c r="N57" s="26">
        <f t="shared" ref="N57" si="305">SUM(N53:N56)</f>
        <v>1155822.43836233</v>
      </c>
      <c r="O57" s="26">
        <f t="shared" ref="O57" si="306">SUM(O53:O56)</f>
        <v>0</v>
      </c>
      <c r="P57" s="26">
        <f t="shared" ref="P57" si="307">SUM(P53:P56)</f>
        <v>0</v>
      </c>
      <c r="Q57" s="49" t="s">
        <v>52</v>
      </c>
      <c r="R57" s="27" t="s">
        <v>83</v>
      </c>
      <c r="S57" s="27" t="s">
        <v>104</v>
      </c>
      <c r="T57" s="26">
        <f t="shared" ref="T57" si="308">SUM(T53:T56)</f>
        <v>629</v>
      </c>
      <c r="U57" s="26">
        <f t="shared" ref="U57" si="309">SUM(U53:U56)</f>
        <v>42474185</v>
      </c>
      <c r="V57" s="26">
        <f t="shared" ref="V57" si="310">SUM(V53:V56)</f>
        <v>28520.11286066</v>
      </c>
      <c r="W57" s="26">
        <f t="shared" ref="W57" si="311">SUM(W53:W56)</f>
        <v>22994.13753774</v>
      </c>
      <c r="X57" s="26">
        <f t="shared" ref="X57" si="312">SUM(X53:X56)</f>
        <v>5525.9753229199996</v>
      </c>
      <c r="Y57" s="26">
        <f t="shared" ref="Y57" si="313">SUM(Y53:Y56)</f>
        <v>1224244.4180706802</v>
      </c>
      <c r="Z57" s="26">
        <f t="shared" ref="Z57" si="314">SUM(Z53:Z56)</f>
        <v>1211626.2382431698</v>
      </c>
      <c r="AA57" s="26">
        <f t="shared" ref="AA57" si="315">SUM(AA53:AA56)</f>
        <v>0</v>
      </c>
      <c r="AB57" s="26">
        <f t="shared" ref="AB57" si="316">SUM(AB53:AB56)</f>
        <v>0</v>
      </c>
      <c r="AC57" s="49" t="s">
        <v>52</v>
      </c>
      <c r="AD57" s="27" t="s">
        <v>83</v>
      </c>
      <c r="AE57" s="27" t="s">
        <v>104</v>
      </c>
      <c r="AF57" s="26">
        <f t="shared" ref="AF57" si="317">SUM(AF53:AF56)</f>
        <v>642</v>
      </c>
      <c r="AG57" s="26">
        <f t="shared" ref="AG57" si="318">SUM(AG53:AG56)</f>
        <v>43141612</v>
      </c>
      <c r="AH57" s="26">
        <f t="shared" ref="AH57" si="319">SUM(AH53:AH56)</f>
        <v>27298.053281439996</v>
      </c>
      <c r="AI57" s="26">
        <f t="shared" ref="AI57" si="320">SUM(AI53:AI56)</f>
        <v>23300.89637509</v>
      </c>
      <c r="AJ57" s="26">
        <f t="shared" ref="AJ57" si="321">SUM(AJ53:AJ56)</f>
        <v>3997.1569063500001</v>
      </c>
      <c r="AK57" s="26">
        <f t="shared" ref="AK57" si="322">SUM(AK53:AK56)</f>
        <v>1261729.6298745</v>
      </c>
      <c r="AL57" s="26">
        <f t="shared" ref="AL57" si="323">SUM(AL53:AL56)</f>
        <v>1241262.7732297799</v>
      </c>
      <c r="AM57" s="26">
        <f t="shared" ref="AM57" si="324">SUM(AM53:AM56)</f>
        <v>0</v>
      </c>
      <c r="AN57" s="26">
        <f t="shared" ref="AN57" si="325">SUM(AN53:AN56)</f>
        <v>0</v>
      </c>
      <c r="AO57" s="49" t="s">
        <v>52</v>
      </c>
      <c r="AP57" s="27" t="s">
        <v>83</v>
      </c>
      <c r="AQ57" s="27" t="s">
        <v>104</v>
      </c>
      <c r="AR57" s="26">
        <f t="shared" ref="AR57" si="326">SUM(AR53:AR56)</f>
        <v>655</v>
      </c>
      <c r="AS57" s="26">
        <f t="shared" ref="AS57" si="327">SUM(AS53:AS56)</f>
        <v>43769720</v>
      </c>
      <c r="AT57" s="26">
        <f t="shared" ref="AT57" si="328">SUM(AT53:AT56)</f>
        <v>29371.736735449998</v>
      </c>
      <c r="AU57" s="26">
        <f t="shared" ref="AU57" si="329">SUM(AU53:AU56)</f>
        <v>21112.26047221</v>
      </c>
      <c r="AV57" s="26">
        <f t="shared" ref="AV57" si="330">SUM(AV53:AV56)</f>
        <v>8259.4762632399998</v>
      </c>
      <c r="AW57" s="26">
        <f t="shared" ref="AW57" si="331">SUM(AW53:AW56)</f>
        <v>1248033.6168468301</v>
      </c>
      <c r="AX57" s="26">
        <f t="shared" ref="AX57" si="332">SUM(AX53:AX56)</f>
        <v>1256683.93656653</v>
      </c>
      <c r="AY57" s="26">
        <f t="shared" ref="AY57" si="333">SUM(AY53:AY56)</f>
        <v>0</v>
      </c>
      <c r="AZ57" s="26">
        <f t="shared" ref="AZ57" si="334">SUM(AZ53:AZ56)</f>
        <v>0</v>
      </c>
      <c r="BA57" s="49" t="s">
        <v>52</v>
      </c>
      <c r="BB57" s="27" t="s">
        <v>83</v>
      </c>
      <c r="BC57" s="27" t="s">
        <v>104</v>
      </c>
      <c r="BD57" s="26">
        <f t="shared" ref="BD57" si="335">SUM(BD53:BD56)</f>
        <v>672</v>
      </c>
      <c r="BE57" s="26">
        <f t="shared" ref="BE57" si="336">SUM(BE53:BE56)</f>
        <v>44655224</v>
      </c>
      <c r="BF57" s="26">
        <f t="shared" ref="BF57" si="337">SUM(BF53:BF56)</f>
        <v>26124.446744690002</v>
      </c>
      <c r="BG57" s="26">
        <f t="shared" ref="BG57" si="338">SUM(BG53:BG56)</f>
        <v>14687.650091939999</v>
      </c>
      <c r="BH57" s="26">
        <f t="shared" ref="BH57" si="339">SUM(BH53:BH56)</f>
        <v>11436.79665274999</v>
      </c>
      <c r="BI57" s="26">
        <f t="shared" ref="BI57" si="340">SUM(BI53:BI56)</f>
        <v>1250290.5539498399</v>
      </c>
      <c r="BJ57" s="26">
        <f t="shared" ref="BJ57" si="341">SUM(BJ53:BJ56)</f>
        <v>1252030.0076808499</v>
      </c>
      <c r="BK57" s="26">
        <f t="shared" ref="BK57" si="342">SUM(BK53:BK56)</f>
        <v>0</v>
      </c>
      <c r="BL57" s="26">
        <f t="shared" ref="BL57" si="343">SUM(BL53:BL56)</f>
        <v>0</v>
      </c>
      <c r="BM57" s="49" t="s">
        <v>52</v>
      </c>
      <c r="BN57" s="27" t="s">
        <v>83</v>
      </c>
      <c r="BO57" s="27" t="s">
        <v>104</v>
      </c>
      <c r="BP57" s="26">
        <f t="shared" ref="BP57" si="344">SUM(BP53:BP56)</f>
        <v>678</v>
      </c>
      <c r="BQ57" s="26">
        <f t="shared" ref="BQ57" si="345">SUM(BQ53:BQ56)</f>
        <v>45977102</v>
      </c>
      <c r="BR57" s="26">
        <f t="shared" ref="BR57" si="346">SUM(BR53:BR56)</f>
        <v>39633.14538278</v>
      </c>
      <c r="BS57" s="26">
        <f t="shared" ref="BS57" si="347">SUM(BS53:BS56)</f>
        <v>20576.632935450001</v>
      </c>
      <c r="BT57" s="26">
        <f t="shared" ref="BT57" si="348">SUM(BT53:BT56)</f>
        <v>19056.512447330002</v>
      </c>
      <c r="BU57" s="26">
        <f t="shared" ref="BU57" si="349">SUM(BU53:BU56)</f>
        <v>1299141.10569172</v>
      </c>
      <c r="BV57" s="26">
        <f t="shared" ref="BV57" si="350">SUM(BV53:BV56)</f>
        <v>1291635.1428054399</v>
      </c>
      <c r="BW57" s="26">
        <f t="shared" ref="BW57" si="351">SUM(BW53:BW56)</f>
        <v>0</v>
      </c>
      <c r="BX57" s="26">
        <f t="shared" ref="BX57" si="352">SUM(BX53:BX56)</f>
        <v>0</v>
      </c>
      <c r="BY57" s="49" t="s">
        <v>52</v>
      </c>
      <c r="BZ57" s="27" t="s">
        <v>83</v>
      </c>
      <c r="CA57" s="27" t="s">
        <v>104</v>
      </c>
      <c r="CB57" s="26">
        <f t="shared" ref="CB57" si="353">SUM(CB53:CB56)</f>
        <v>687</v>
      </c>
      <c r="CC57" s="26">
        <f t="shared" ref="CC57" si="354">SUM(CC53:CC56)</f>
        <v>48173565</v>
      </c>
      <c r="CD57" s="26">
        <f t="shared" ref="CD57" si="355">SUM(CD53:CD56)</f>
        <v>43446.738591320005</v>
      </c>
      <c r="CE57" s="26">
        <f t="shared" ref="CE57" si="356">SUM(CE53:CE56)</f>
        <v>26778.317100390002</v>
      </c>
      <c r="CF57" s="26">
        <f t="shared" ref="CF57" si="357">SUM(CF53:CF56)</f>
        <v>16668.421490930028</v>
      </c>
      <c r="CG57" s="26">
        <f t="shared" ref="CG57" si="358">SUM(CG53:CG56)</f>
        <v>1366685.56976846</v>
      </c>
      <c r="CH57" s="26">
        <f t="shared" ref="CH57" si="359">SUM(CH53:CH56)</f>
        <v>1354505.6021062599</v>
      </c>
      <c r="CI57" s="26">
        <f t="shared" ref="CI57" si="360">SUM(CI53:CI56)</f>
        <v>0</v>
      </c>
      <c r="CJ57" s="26">
        <f t="shared" ref="CJ57" si="361">SUM(CJ53:CJ56)</f>
        <v>0</v>
      </c>
      <c r="CK57" s="49" t="s">
        <v>52</v>
      </c>
      <c r="CL57" s="27" t="s">
        <v>83</v>
      </c>
      <c r="CM57" s="27" t="s">
        <v>104</v>
      </c>
      <c r="CN57" s="26">
        <f t="shared" ref="CN57" si="362">SUM(CN53:CN56)</f>
        <v>701</v>
      </c>
      <c r="CO57" s="26">
        <f t="shared" ref="CO57" si="363">SUM(CO53:CO56)</f>
        <v>48864429</v>
      </c>
      <c r="CP57" s="26">
        <f t="shared" ref="CP57" si="364">SUM(CP53:CP56)</f>
        <v>31933.183166889994</v>
      </c>
      <c r="CQ57" s="26">
        <f t="shared" ref="CQ57" si="365">SUM(CQ53:CQ56)</f>
        <v>16548.161945000018</v>
      </c>
      <c r="CR57" s="26">
        <f t="shared" ref="CR57" si="366">SUM(CR53:CR56)</f>
        <v>15385.021221889971</v>
      </c>
      <c r="CS57" s="26">
        <f t="shared" ref="CS57" si="367">SUM(CS53:CS56)</f>
        <v>1407468.3678608201</v>
      </c>
      <c r="CT57" s="26">
        <f t="shared" ref="CT57" si="368">SUM(CT53:CT56)</f>
        <v>1382886.4928635801</v>
      </c>
      <c r="CU57" s="26">
        <f t="shared" ref="CU57" si="369">SUM(CU53:CU56)</f>
        <v>0</v>
      </c>
      <c r="CV57" s="26">
        <f t="shared" ref="CV57" si="370">SUM(CV53:CV56)</f>
        <v>0</v>
      </c>
      <c r="CW57" s="49" t="s">
        <v>52</v>
      </c>
      <c r="CX57" s="27" t="s">
        <v>83</v>
      </c>
      <c r="CY57" s="27" t="s">
        <v>104</v>
      </c>
      <c r="CZ57" s="26">
        <f t="shared" ref="CZ57" si="371">SUM(CZ53:CZ56)</f>
        <v>715</v>
      </c>
      <c r="DA57" s="26">
        <f t="shared" ref="DA57" si="372">SUM(DA53:DA56)</f>
        <v>50234958</v>
      </c>
      <c r="DB57" s="26">
        <f t="shared" ref="DB57" si="373">SUM(DB53:DB56)</f>
        <v>48993.114857369997</v>
      </c>
      <c r="DC57" s="26">
        <f t="shared" ref="DC57" si="374">SUM(DC53:DC56)</f>
        <v>22269.871965520004</v>
      </c>
      <c r="DD57" s="78">
        <f t="shared" ref="DD57" si="375">SUM(DD53:DD56)</f>
        <v>26723.242891849997</v>
      </c>
      <c r="DE57" s="114">
        <f t="shared" ref="DE57" si="376">SUM(DE53:DE56)</f>
        <v>1456806.2802983301</v>
      </c>
      <c r="DF57" s="26">
        <f t="shared" ref="DF57" si="377">SUM(DF53:DF56)</f>
        <v>1428129.70288083</v>
      </c>
      <c r="DG57" s="26">
        <f t="shared" ref="DG57" si="378">SUM(DG53:DG56)</f>
        <v>0</v>
      </c>
      <c r="DH57" s="26">
        <f t="shared" ref="DH57" si="379">SUM(DH53:DH56)</f>
        <v>0</v>
      </c>
      <c r="DI57" s="49" t="s">
        <v>52</v>
      </c>
      <c r="DJ57" s="89" t="s">
        <v>83</v>
      </c>
      <c r="DK57" s="89" t="s">
        <v>104</v>
      </c>
      <c r="DL57" s="26">
        <f t="shared" ref="DL57:DT57" si="380">SUM(DL53:DL56)</f>
        <v>720</v>
      </c>
      <c r="DM57" s="26">
        <f t="shared" si="380"/>
        <v>53702575</v>
      </c>
      <c r="DN57" s="26">
        <f t="shared" si="380"/>
        <v>68551.015763080024</v>
      </c>
      <c r="DO57" s="26">
        <f t="shared" si="380"/>
        <v>28596.387853920001</v>
      </c>
      <c r="DP57" s="78">
        <f t="shared" si="380"/>
        <v>39954.627909160008</v>
      </c>
      <c r="DQ57" s="114">
        <f t="shared" si="380"/>
        <v>1541350.3103921297</v>
      </c>
      <c r="DR57" s="26">
        <f t="shared" si="380"/>
        <v>1491420.37540692</v>
      </c>
      <c r="DS57" s="26">
        <f t="shared" si="380"/>
        <v>0</v>
      </c>
      <c r="DT57" s="26">
        <f t="shared" si="380"/>
        <v>0</v>
      </c>
      <c r="DU57" s="49" t="s">
        <v>52</v>
      </c>
      <c r="DV57" s="136"/>
      <c r="DW57" s="137"/>
      <c r="DX57" s="49" t="s">
        <v>52</v>
      </c>
      <c r="DY57" s="136">
        <f t="shared" si="295"/>
        <v>0.39919692721410927</v>
      </c>
      <c r="DZ57" s="137">
        <f t="shared" si="296"/>
        <v>0.49512647364161377</v>
      </c>
      <c r="EA57" s="138">
        <f t="shared" si="297"/>
        <v>4.4317173992263932E-2</v>
      </c>
    </row>
    <row r="58" spans="1:131" x14ac:dyDescent="0.5">
      <c r="A58" s="52"/>
      <c r="B58" s="7" t="s">
        <v>83</v>
      </c>
      <c r="C58" s="56"/>
      <c r="D58" s="56"/>
      <c r="E58" s="49" t="s">
        <v>52</v>
      </c>
      <c r="F58" s="52"/>
      <c r="G58" s="7" t="s">
        <v>83</v>
      </c>
      <c r="H58" s="55"/>
      <c r="I58" s="55"/>
      <c r="J58" s="56"/>
      <c r="K58" s="56"/>
      <c r="L58" s="56"/>
      <c r="M58" s="56"/>
      <c r="N58" s="56"/>
      <c r="O58" s="55"/>
      <c r="P58" s="56"/>
      <c r="Q58" s="49" t="s">
        <v>52</v>
      </c>
      <c r="R58" s="52"/>
      <c r="S58" s="7" t="s">
        <v>83</v>
      </c>
      <c r="T58" s="55"/>
      <c r="U58" s="55"/>
      <c r="V58" s="56"/>
      <c r="W58" s="56"/>
      <c r="X58" s="56"/>
      <c r="Y58" s="56"/>
      <c r="Z58" s="56"/>
      <c r="AA58" s="55"/>
      <c r="AB58" s="56"/>
      <c r="AC58" s="49" t="s">
        <v>52</v>
      </c>
      <c r="AD58" s="52"/>
      <c r="AE58" s="7" t="s">
        <v>83</v>
      </c>
      <c r="AF58" s="55"/>
      <c r="AG58" s="55"/>
      <c r="AH58" s="56"/>
      <c r="AI58" s="56"/>
      <c r="AJ58" s="56"/>
      <c r="AK58" s="56"/>
      <c r="AL58" s="56"/>
      <c r="AM58" s="55"/>
      <c r="AN58" s="56"/>
      <c r="AO58" s="49" t="s">
        <v>52</v>
      </c>
      <c r="AP58" s="52"/>
      <c r="AQ58" s="7" t="s">
        <v>83</v>
      </c>
      <c r="AR58" s="55"/>
      <c r="AS58" s="55"/>
      <c r="AT58" s="56"/>
      <c r="AU58" s="56"/>
      <c r="AV58" s="56"/>
      <c r="AW58" s="56"/>
      <c r="AX58" s="56"/>
      <c r="AY58" s="55"/>
      <c r="AZ58" s="56"/>
      <c r="BA58" s="49" t="s">
        <v>52</v>
      </c>
      <c r="BB58" s="52"/>
      <c r="BC58" s="7" t="s">
        <v>83</v>
      </c>
      <c r="BD58" s="55"/>
      <c r="BE58" s="55"/>
      <c r="BF58" s="56"/>
      <c r="BG58" s="56"/>
      <c r="BH58" s="56"/>
      <c r="BI58" s="56"/>
      <c r="BJ58" s="56"/>
      <c r="BK58" s="55"/>
      <c r="BL58" s="56"/>
      <c r="BM58" s="49" t="s">
        <v>52</v>
      </c>
      <c r="BN58" s="57"/>
      <c r="BO58" s="7" t="s">
        <v>83</v>
      </c>
      <c r="BP58" s="55"/>
      <c r="BQ58" s="55"/>
      <c r="BR58" s="56"/>
      <c r="BS58" s="56"/>
      <c r="BT58" s="56"/>
      <c r="BU58" s="56"/>
      <c r="BV58" s="56"/>
      <c r="BW58" s="58"/>
      <c r="BX58" s="59"/>
      <c r="BY58" s="49" t="s">
        <v>52</v>
      </c>
      <c r="BZ58" s="57"/>
      <c r="CA58" s="7" t="s">
        <v>83</v>
      </c>
      <c r="CB58" s="55"/>
      <c r="CC58" s="55"/>
      <c r="CD58" s="56"/>
      <c r="CE58" s="56"/>
      <c r="CF58" s="56"/>
      <c r="CG58" s="56"/>
      <c r="CH58" s="56"/>
      <c r="CI58" s="58"/>
      <c r="CJ58" s="59"/>
      <c r="CK58" s="49" t="s">
        <v>52</v>
      </c>
      <c r="CL58" s="52"/>
      <c r="CM58" s="7" t="s">
        <v>83</v>
      </c>
      <c r="CN58" s="55"/>
      <c r="CO58" s="55"/>
      <c r="CP58" s="56"/>
      <c r="CQ58" s="56"/>
      <c r="CR58" s="56"/>
      <c r="CS58" s="56"/>
      <c r="CT58" s="56"/>
      <c r="CU58" s="58"/>
      <c r="CV58" s="56"/>
      <c r="CW58" s="49" t="s">
        <v>52</v>
      </c>
      <c r="CX58" s="52"/>
      <c r="CY58" s="7" t="s">
        <v>83</v>
      </c>
      <c r="CZ58" s="55"/>
      <c r="DA58" s="55"/>
      <c r="DB58" s="56"/>
      <c r="DC58" s="56"/>
      <c r="DD58" s="56"/>
      <c r="DE58" s="56"/>
      <c r="DF58" s="56"/>
      <c r="DG58" s="55"/>
      <c r="DH58" s="56"/>
      <c r="DI58" s="2" t="s">
        <v>52</v>
      </c>
      <c r="DJ58" s="84"/>
      <c r="DK58" s="90" t="s">
        <v>83</v>
      </c>
      <c r="DL58" s="55"/>
      <c r="DM58" s="55"/>
      <c r="DN58" s="56"/>
      <c r="DO58" s="56"/>
      <c r="DP58" s="56"/>
      <c r="DQ58" s="56"/>
      <c r="DR58" s="56"/>
      <c r="DS58" s="55"/>
      <c r="DT58" s="56"/>
      <c r="DU58" s="2" t="s">
        <v>52</v>
      </c>
      <c r="DV58" s="107"/>
      <c r="DW58" s="107"/>
      <c r="DX58" s="2" t="s">
        <v>52</v>
      </c>
      <c r="DY58" s="107" t="s">
        <v>52</v>
      </c>
      <c r="DZ58" s="107" t="s">
        <v>52</v>
      </c>
      <c r="EA58" s="110" t="s">
        <v>52</v>
      </c>
    </row>
    <row r="59" spans="1:131" x14ac:dyDescent="0.5">
      <c r="A59" s="13" t="s">
        <v>83</v>
      </c>
      <c r="B59" s="13" t="s">
        <v>103</v>
      </c>
      <c r="C59" s="12">
        <f t="shared" ref="C59:D59" si="381">SUM(C6:C21) + SUM(C25:C35) + SUM(C39:C44) + SUM(C48:C49) + SUM(C53:C56)</f>
        <v>6547583.3251249995</v>
      </c>
      <c r="D59" s="12">
        <f t="shared" si="381"/>
        <v>6643612.7397692706</v>
      </c>
      <c r="E59" s="49" t="s">
        <v>52</v>
      </c>
      <c r="F59" s="13" t="s">
        <v>83</v>
      </c>
      <c r="G59" s="13" t="s">
        <v>103</v>
      </c>
      <c r="H59" s="12">
        <f t="shared" ref="H59:BS59" si="382">SUM(H6:H21) + SUM(H25:H35) + SUM(H39:H44) + SUM(H48:H49) + SUM(H53:H56)</f>
        <v>1656</v>
      </c>
      <c r="I59" s="12">
        <f t="shared" si="382"/>
        <v>235781584</v>
      </c>
      <c r="J59" s="12">
        <f t="shared" si="382"/>
        <v>1277136.4266097799</v>
      </c>
      <c r="K59" s="12">
        <f t="shared" si="382"/>
        <v>999048.00434596988</v>
      </c>
      <c r="L59" s="12">
        <f t="shared" si="382"/>
        <v>278088.42226380995</v>
      </c>
      <c r="M59" s="12">
        <f t="shared" si="382"/>
        <v>6973937.1756401602</v>
      </c>
      <c r="N59" s="12">
        <f t="shared" si="382"/>
        <v>6923046.8342430005</v>
      </c>
      <c r="O59" s="12">
        <f t="shared" si="382"/>
        <v>10</v>
      </c>
      <c r="P59" s="12">
        <f t="shared" si="382"/>
        <v>0</v>
      </c>
      <c r="Q59" s="49" t="s">
        <v>52</v>
      </c>
      <c r="R59" s="13" t="s">
        <v>83</v>
      </c>
      <c r="S59" s="13" t="s">
        <v>103</v>
      </c>
      <c r="T59" s="12">
        <f t="shared" ref="T59" si="383">SUM(T6:T21) + SUM(T25:T35) + SUM(T39:T44) + SUM(T48:T49) + SUM(T53:T56)</f>
        <v>1675</v>
      </c>
      <c r="U59" s="12">
        <f t="shared" si="382"/>
        <v>237802650</v>
      </c>
      <c r="V59" s="12">
        <f t="shared" si="382"/>
        <v>1056686.6542438199</v>
      </c>
      <c r="W59" s="12">
        <f t="shared" si="382"/>
        <v>1027113.6696995901</v>
      </c>
      <c r="X59" s="12">
        <f t="shared" si="382"/>
        <v>29572.98454422997</v>
      </c>
      <c r="Y59" s="12">
        <f t="shared" si="382"/>
        <v>7193858.2870380599</v>
      </c>
      <c r="Z59" s="12">
        <f t="shared" si="382"/>
        <v>7192277.0439067492</v>
      </c>
      <c r="AA59" s="12">
        <f t="shared" si="382"/>
        <v>10</v>
      </c>
      <c r="AB59" s="12">
        <f t="shared" si="382"/>
        <v>0</v>
      </c>
      <c r="AC59" s="49" t="s">
        <v>52</v>
      </c>
      <c r="AD59" s="13" t="s">
        <v>83</v>
      </c>
      <c r="AE59" s="13" t="s">
        <v>103</v>
      </c>
      <c r="AF59" s="12">
        <f t="shared" ref="AF59" si="384">SUM(AF6:AF21) + SUM(AF25:AF35) + SUM(AF39:AF44) + SUM(AF48:AF49) + SUM(AF53:AF56)</f>
        <v>1693</v>
      </c>
      <c r="AG59" s="12">
        <f t="shared" si="382"/>
        <v>240837563</v>
      </c>
      <c r="AH59" s="12">
        <f t="shared" si="382"/>
        <v>1395980.0571801001</v>
      </c>
      <c r="AI59" s="12">
        <f t="shared" si="382"/>
        <v>1346678.1691278191</v>
      </c>
      <c r="AJ59" s="12">
        <f t="shared" si="382"/>
        <v>49301.888052279719</v>
      </c>
      <c r="AK59" s="12">
        <f t="shared" si="382"/>
        <v>7414845.7014642097</v>
      </c>
      <c r="AL59" s="12">
        <f t="shared" si="382"/>
        <v>7453307.6116266092</v>
      </c>
      <c r="AM59" s="12">
        <f t="shared" si="382"/>
        <v>10</v>
      </c>
      <c r="AN59" s="12">
        <f t="shared" si="382"/>
        <v>0</v>
      </c>
      <c r="AO59" s="49" t="s">
        <v>52</v>
      </c>
      <c r="AP59" s="13" t="s">
        <v>83</v>
      </c>
      <c r="AQ59" s="13" t="s">
        <v>103</v>
      </c>
      <c r="AR59" s="12">
        <f t="shared" ref="AR59" si="385">SUM(AR6:AR21) + SUM(AR25:AR35) + SUM(AR39:AR44) + SUM(AR48:AR49) + SUM(AR53:AR56)</f>
        <v>1722</v>
      </c>
      <c r="AS59" s="12">
        <f t="shared" si="382"/>
        <v>245220747</v>
      </c>
      <c r="AT59" s="12">
        <f t="shared" si="382"/>
        <v>1438327.6205467102</v>
      </c>
      <c r="AU59" s="12">
        <f t="shared" si="382"/>
        <v>1259402.50890916</v>
      </c>
      <c r="AV59" s="12">
        <f t="shared" si="382"/>
        <v>178925.11163755012</v>
      </c>
      <c r="AW59" s="12">
        <f t="shared" si="382"/>
        <v>7510341.9993272591</v>
      </c>
      <c r="AX59" s="12">
        <f t="shared" si="382"/>
        <v>7674618.2568602394</v>
      </c>
      <c r="AY59" s="12">
        <f t="shared" si="382"/>
        <v>10</v>
      </c>
      <c r="AZ59" s="12">
        <f t="shared" si="382"/>
        <v>0</v>
      </c>
      <c r="BA59" s="49" t="s">
        <v>52</v>
      </c>
      <c r="BB59" s="13" t="s">
        <v>83</v>
      </c>
      <c r="BC59" s="13" t="s">
        <v>103</v>
      </c>
      <c r="BD59" s="12">
        <f t="shared" ref="BD59" si="386">SUM(BD6:BD21) + SUM(BD25:BD35) + SUM(BD39:BD44) + SUM(BD48:BD49) + SUM(BD53:BD56)</f>
        <v>1746</v>
      </c>
      <c r="BE59" s="12">
        <f t="shared" si="382"/>
        <v>248407710</v>
      </c>
      <c r="BF59" s="12">
        <f t="shared" si="382"/>
        <v>1111983.5063416096</v>
      </c>
      <c r="BG59" s="12">
        <f t="shared" si="382"/>
        <v>1059482.3715509099</v>
      </c>
      <c r="BH59" s="12">
        <f t="shared" si="382"/>
        <v>52501.134790700642</v>
      </c>
      <c r="BI59" s="12">
        <f t="shared" si="382"/>
        <v>7493167.5649121013</v>
      </c>
      <c r="BJ59" s="12">
        <f t="shared" si="382"/>
        <v>7645857.2231055591</v>
      </c>
      <c r="BK59" s="12">
        <f t="shared" si="382"/>
        <v>10</v>
      </c>
      <c r="BL59" s="12">
        <f t="shared" si="382"/>
        <v>0</v>
      </c>
      <c r="BM59" s="49" t="s">
        <v>52</v>
      </c>
      <c r="BN59" s="13" t="s">
        <v>83</v>
      </c>
      <c r="BO59" s="13" t="s">
        <v>103</v>
      </c>
      <c r="BP59" s="12">
        <f t="shared" ref="BP59" si="387">SUM(BP6:BP21) + SUM(BP25:BP35) + SUM(BP39:BP44) + SUM(BP48:BP49) + SUM(BP53:BP56)</f>
        <v>1754</v>
      </c>
      <c r="BQ59" s="12">
        <f t="shared" si="382"/>
        <v>251425114</v>
      </c>
      <c r="BR59" s="12">
        <f t="shared" si="382"/>
        <v>1356239.9106862298</v>
      </c>
      <c r="BS59" s="12">
        <f t="shared" si="382"/>
        <v>1399055.5627073499</v>
      </c>
      <c r="BT59" s="12">
        <f t="shared" ref="BT59:DH59" si="388">SUM(BT6:BT21) + SUM(BT25:BT35) + SUM(BT39:BT44) + SUM(BT48:BT49) + SUM(BT53:BT56)</f>
        <v>-42815.652021120339</v>
      </c>
      <c r="BU59" s="12">
        <f t="shared" si="388"/>
        <v>7535977.5812565805</v>
      </c>
      <c r="BV59" s="12">
        <f t="shared" si="388"/>
        <v>7752095.2549778204</v>
      </c>
      <c r="BW59" s="12">
        <f t="shared" si="388"/>
        <v>10</v>
      </c>
      <c r="BX59" s="12">
        <f t="shared" si="388"/>
        <v>0</v>
      </c>
      <c r="BY59" s="49" t="s">
        <v>52</v>
      </c>
      <c r="BZ59" s="13" t="s">
        <v>83</v>
      </c>
      <c r="CA59" s="13" t="s">
        <v>103</v>
      </c>
      <c r="CB59" s="12">
        <f t="shared" ref="CB59" si="389">SUM(CB6:CB21) + SUM(CB25:CB35) + SUM(CB39:CB44) + SUM(CB48:CB49) + SUM(CB53:CB56)</f>
        <v>1770</v>
      </c>
      <c r="CC59" s="12">
        <f t="shared" si="388"/>
        <v>255507746</v>
      </c>
      <c r="CD59" s="12">
        <f t="shared" si="388"/>
        <v>1284781.2458885603</v>
      </c>
      <c r="CE59" s="12">
        <f t="shared" si="388"/>
        <v>1069047.1213381602</v>
      </c>
      <c r="CF59" s="12">
        <f t="shared" si="388"/>
        <v>215734.12455039987</v>
      </c>
      <c r="CG59" s="12">
        <f t="shared" si="388"/>
        <v>7962372.9990330897</v>
      </c>
      <c r="CH59" s="12">
        <f t="shared" si="388"/>
        <v>7953831.8565684604</v>
      </c>
      <c r="CI59" s="12">
        <f t="shared" si="388"/>
        <v>10</v>
      </c>
      <c r="CJ59" s="12">
        <f t="shared" si="388"/>
        <v>0</v>
      </c>
      <c r="CK59" s="49" t="s">
        <v>52</v>
      </c>
      <c r="CL59" s="13" t="s">
        <v>83</v>
      </c>
      <c r="CM59" s="13" t="s">
        <v>103</v>
      </c>
      <c r="CN59" s="12">
        <f t="shared" ref="CN59" si="390">SUM(CN6:CN21) + SUM(CN25:CN35) + SUM(CN39:CN44) + SUM(CN48:CN49) + SUM(CN53:CN56)</f>
        <v>1793</v>
      </c>
      <c r="CO59" s="12">
        <f t="shared" si="388"/>
        <v>258123262</v>
      </c>
      <c r="CP59" s="12">
        <f t="shared" si="388"/>
        <v>1060392.1821410898</v>
      </c>
      <c r="CQ59" s="12">
        <f t="shared" si="388"/>
        <v>1027169.5164876899</v>
      </c>
      <c r="CR59" s="12">
        <f t="shared" si="388"/>
        <v>33222.665653399854</v>
      </c>
      <c r="CS59" s="12">
        <f t="shared" si="388"/>
        <v>8055153.0437480891</v>
      </c>
      <c r="CT59" s="12">
        <f t="shared" si="388"/>
        <v>8106436.0148561113</v>
      </c>
      <c r="CU59" s="12">
        <f t="shared" si="388"/>
        <v>10</v>
      </c>
      <c r="CV59" s="12">
        <f t="shared" si="388"/>
        <v>0</v>
      </c>
      <c r="CW59" s="49" t="s">
        <v>52</v>
      </c>
      <c r="CX59" s="13" t="s">
        <v>83</v>
      </c>
      <c r="CY59" s="13" t="s">
        <v>103</v>
      </c>
      <c r="CZ59" s="12">
        <f t="shared" ref="CZ59" si="391">SUM(CZ6:CZ21) + SUM(CZ25:CZ35) + SUM(CZ39:CZ44) + SUM(CZ48:CZ49) + SUM(CZ53:CZ56)</f>
        <v>1815</v>
      </c>
      <c r="DA59" s="12">
        <f t="shared" si="388"/>
        <v>260764703</v>
      </c>
      <c r="DB59" s="12">
        <f t="shared" si="388"/>
        <v>1466359.2482513599</v>
      </c>
      <c r="DC59" s="12">
        <f t="shared" si="388"/>
        <v>1532891.4260297299</v>
      </c>
      <c r="DD59" s="78">
        <f t="shared" si="388"/>
        <v>-66532.177778370111</v>
      </c>
      <c r="DE59" s="114">
        <f t="shared" si="388"/>
        <v>7998204.6663498506</v>
      </c>
      <c r="DF59" s="12">
        <f t="shared" si="388"/>
        <v>8174003.2626198493</v>
      </c>
      <c r="DG59" s="12">
        <f t="shared" si="388"/>
        <v>10</v>
      </c>
      <c r="DH59" s="12">
        <f t="shared" si="388"/>
        <v>0</v>
      </c>
      <c r="DI59" s="49" t="s">
        <v>52</v>
      </c>
      <c r="DJ59" s="91" t="s">
        <v>83</v>
      </c>
      <c r="DK59" s="91" t="s">
        <v>103</v>
      </c>
      <c r="DL59" s="12">
        <f t="shared" ref="DL59:DT59" si="392">SUM(DL6:DL21) + SUM(DL25:DL35) + SUM(DL39:DL44) + SUM(DL48:DL49) + SUM(DL53:DL56)</f>
        <v>1826</v>
      </c>
      <c r="DM59" s="12">
        <f t="shared" si="392"/>
        <v>265826040</v>
      </c>
      <c r="DN59" s="12">
        <f t="shared" si="392"/>
        <v>1384925.2675328304</v>
      </c>
      <c r="DO59" s="12">
        <f t="shared" si="392"/>
        <v>1228417.1504810797</v>
      </c>
      <c r="DP59" s="78">
        <f t="shared" si="392"/>
        <v>156508.11705174998</v>
      </c>
      <c r="DQ59" s="114">
        <f t="shared" si="392"/>
        <v>8076342.0416352693</v>
      </c>
      <c r="DR59" s="12">
        <f t="shared" si="392"/>
        <v>8176090.0094788913</v>
      </c>
      <c r="DS59" s="12">
        <f t="shared" si="392"/>
        <v>10</v>
      </c>
      <c r="DT59" s="12">
        <f t="shared" si="392"/>
        <v>0</v>
      </c>
      <c r="DU59" s="49" t="s">
        <v>52</v>
      </c>
      <c r="DV59" s="136"/>
      <c r="DW59" s="137"/>
      <c r="DX59" s="49" t="s">
        <v>52</v>
      </c>
      <c r="DY59" s="136">
        <f t="shared" ref="DY59" si="393">(DN59-DB59)/DB59</f>
        <v>-5.5534808960109837E-2</v>
      </c>
      <c r="DZ59" s="137">
        <f t="shared" ref="DZ59" si="394">(DP59-DD59)/DD59</f>
        <v>-3.3523672646505709</v>
      </c>
      <c r="EA59" s="138">
        <f t="shared" ref="EA59" si="395">(DR59-DF59)/DF59</f>
        <v>2.5529068095492182E-4</v>
      </c>
    </row>
    <row r="60" spans="1:131" x14ac:dyDescent="0.5">
      <c r="A60" s="52"/>
      <c r="B60" s="7" t="s">
        <v>83</v>
      </c>
      <c r="C60" s="56"/>
      <c r="D60" s="56"/>
      <c r="E60" s="49" t="s">
        <v>52</v>
      </c>
      <c r="F60" s="52"/>
      <c r="G60" s="7" t="s">
        <v>83</v>
      </c>
      <c r="H60" s="55"/>
      <c r="I60" s="55"/>
      <c r="J60" s="56"/>
      <c r="K60" s="56"/>
      <c r="L60" s="56"/>
      <c r="M60" s="56"/>
      <c r="N60" s="56"/>
      <c r="O60" s="55"/>
      <c r="P60" s="56"/>
      <c r="Q60" s="49" t="s">
        <v>52</v>
      </c>
      <c r="R60" s="52"/>
      <c r="S60" s="7" t="s">
        <v>83</v>
      </c>
      <c r="T60" s="55"/>
      <c r="U60" s="55"/>
      <c r="V60" s="56"/>
      <c r="W60" s="56"/>
      <c r="X60" s="56"/>
      <c r="Y60" s="56"/>
      <c r="Z60" s="56"/>
      <c r="AA60" s="55"/>
      <c r="AB60" s="56"/>
      <c r="AC60" s="49" t="s">
        <v>52</v>
      </c>
      <c r="AD60" s="52"/>
      <c r="AE60" s="7" t="s">
        <v>83</v>
      </c>
      <c r="AF60" s="55"/>
      <c r="AG60" s="55"/>
      <c r="AH60" s="56"/>
      <c r="AI60" s="56"/>
      <c r="AJ60" s="56"/>
      <c r="AK60" s="56"/>
      <c r="AL60" s="56"/>
      <c r="AM60" s="55"/>
      <c r="AN60" s="56"/>
      <c r="AO60" s="49" t="s">
        <v>52</v>
      </c>
      <c r="AP60" s="52"/>
      <c r="AQ60" s="7" t="s">
        <v>83</v>
      </c>
      <c r="AR60" s="55"/>
      <c r="AS60" s="55"/>
      <c r="AT60" s="56"/>
      <c r="AU60" s="56"/>
      <c r="AV60" s="56"/>
      <c r="AW60" s="56"/>
      <c r="AX60" s="56"/>
      <c r="AY60" s="55"/>
      <c r="AZ60" s="56"/>
      <c r="BA60" s="49" t="s">
        <v>52</v>
      </c>
      <c r="BB60" s="52"/>
      <c r="BC60" s="7" t="s">
        <v>83</v>
      </c>
      <c r="BD60" s="55"/>
      <c r="BE60" s="55"/>
      <c r="BF60" s="56"/>
      <c r="BG60" s="56"/>
      <c r="BH60" s="56"/>
      <c r="BI60" s="56"/>
      <c r="BJ60" s="56"/>
      <c r="BK60" s="55"/>
      <c r="BL60" s="56"/>
      <c r="BM60" s="49" t="s">
        <v>52</v>
      </c>
      <c r="BN60" s="57"/>
      <c r="BO60" s="7" t="s">
        <v>83</v>
      </c>
      <c r="BP60" s="55"/>
      <c r="BQ60" s="55"/>
      <c r="BR60" s="56"/>
      <c r="BS60" s="56"/>
      <c r="BT60" s="56"/>
      <c r="BU60" s="56"/>
      <c r="BV60" s="56"/>
      <c r="BW60" s="58"/>
      <c r="BX60" s="59"/>
      <c r="BY60" s="49" t="s">
        <v>52</v>
      </c>
      <c r="BZ60" s="57"/>
      <c r="CA60" s="7" t="s">
        <v>83</v>
      </c>
      <c r="CB60" s="55"/>
      <c r="CC60" s="55"/>
      <c r="CD60" s="56"/>
      <c r="CE60" s="56"/>
      <c r="CF60" s="56"/>
      <c r="CG60" s="56"/>
      <c r="CH60" s="56"/>
      <c r="CI60" s="58"/>
      <c r="CJ60" s="59"/>
      <c r="CK60" s="49" t="s">
        <v>52</v>
      </c>
      <c r="CL60" s="52"/>
      <c r="CM60" s="7" t="s">
        <v>83</v>
      </c>
      <c r="CN60" s="55"/>
      <c r="CO60" s="55"/>
      <c r="CP60" s="56"/>
      <c r="CQ60" s="56"/>
      <c r="CR60" s="56"/>
      <c r="CS60" s="56"/>
      <c r="CT60" s="56"/>
      <c r="CU60" s="58"/>
      <c r="CV60" s="56"/>
      <c r="CW60" s="49" t="s">
        <v>52</v>
      </c>
      <c r="CX60" s="52"/>
      <c r="CY60" s="7" t="s">
        <v>83</v>
      </c>
      <c r="CZ60" s="55"/>
      <c r="DA60" s="55"/>
      <c r="DB60" s="56"/>
      <c r="DC60" s="56"/>
      <c r="DD60" s="56"/>
      <c r="DE60" s="56"/>
      <c r="DF60" s="56"/>
      <c r="DG60" s="55"/>
      <c r="DH60" s="56"/>
      <c r="DI60" s="2" t="s">
        <v>52</v>
      </c>
      <c r="DJ60" s="84"/>
      <c r="DK60" s="90" t="s">
        <v>83</v>
      </c>
      <c r="DL60" s="83"/>
      <c r="DM60" s="83"/>
      <c r="DN60" s="84"/>
      <c r="DO60" s="84"/>
      <c r="DP60" s="84"/>
      <c r="DQ60" s="84"/>
      <c r="DR60" s="84"/>
      <c r="DS60" s="83"/>
      <c r="DT60" s="84"/>
      <c r="DU60" s="2" t="s">
        <v>52</v>
      </c>
      <c r="DV60" s="107"/>
      <c r="DW60" s="107"/>
      <c r="DX60" s="2" t="s">
        <v>52</v>
      </c>
      <c r="DY60" s="107" t="s">
        <v>52</v>
      </c>
      <c r="DZ60" s="107" t="s">
        <v>52</v>
      </c>
      <c r="EA60" s="110" t="s">
        <v>52</v>
      </c>
    </row>
    <row r="61" spans="1:131" x14ac:dyDescent="0.5">
      <c r="A61" s="50" t="s">
        <v>102</v>
      </c>
      <c r="B61" s="22" t="s">
        <v>101</v>
      </c>
      <c r="C61" s="56"/>
      <c r="D61" s="56"/>
      <c r="E61" s="49" t="s">
        <v>52</v>
      </c>
      <c r="F61" s="50" t="s">
        <v>102</v>
      </c>
      <c r="G61" s="22" t="s">
        <v>101</v>
      </c>
      <c r="H61" s="55"/>
      <c r="I61" s="55"/>
      <c r="J61" s="56"/>
      <c r="K61" s="56"/>
      <c r="L61" s="56"/>
      <c r="M61" s="56"/>
      <c r="N61" s="56"/>
      <c r="O61" s="55"/>
      <c r="P61" s="56"/>
      <c r="Q61" s="49" t="s">
        <v>52</v>
      </c>
      <c r="R61" s="50" t="s">
        <v>102</v>
      </c>
      <c r="S61" s="22" t="s">
        <v>101</v>
      </c>
      <c r="T61" s="55"/>
      <c r="U61" s="55"/>
      <c r="V61" s="56"/>
      <c r="W61" s="56"/>
      <c r="X61" s="56"/>
      <c r="Y61" s="56"/>
      <c r="Z61" s="56"/>
      <c r="AA61" s="55"/>
      <c r="AB61" s="56"/>
      <c r="AC61" s="49" t="s">
        <v>52</v>
      </c>
      <c r="AD61" s="50" t="s">
        <v>102</v>
      </c>
      <c r="AE61" s="22" t="s">
        <v>101</v>
      </c>
      <c r="AF61" s="55"/>
      <c r="AG61" s="55"/>
      <c r="AH61" s="56"/>
      <c r="AI61" s="56"/>
      <c r="AJ61" s="56"/>
      <c r="AK61" s="56"/>
      <c r="AL61" s="56"/>
      <c r="AM61" s="55"/>
      <c r="AN61" s="56"/>
      <c r="AO61" s="49" t="s">
        <v>52</v>
      </c>
      <c r="AP61" s="50" t="s">
        <v>102</v>
      </c>
      <c r="AQ61" s="22" t="s">
        <v>101</v>
      </c>
      <c r="AR61" s="55"/>
      <c r="AS61" s="55"/>
      <c r="AT61" s="56"/>
      <c r="AU61" s="56"/>
      <c r="AV61" s="56"/>
      <c r="AW61" s="56"/>
      <c r="AX61" s="56"/>
      <c r="AY61" s="55"/>
      <c r="AZ61" s="56"/>
      <c r="BA61" s="49" t="s">
        <v>52</v>
      </c>
      <c r="BB61" s="50" t="s">
        <v>102</v>
      </c>
      <c r="BC61" s="22" t="s">
        <v>101</v>
      </c>
      <c r="BD61" s="55"/>
      <c r="BE61" s="55"/>
      <c r="BF61" s="56"/>
      <c r="BG61" s="56"/>
      <c r="BH61" s="56"/>
      <c r="BI61" s="56"/>
      <c r="BJ61" s="56"/>
      <c r="BK61" s="55"/>
      <c r="BL61" s="56"/>
      <c r="BM61" s="49" t="s">
        <v>52</v>
      </c>
      <c r="BN61" s="51" t="s">
        <v>102</v>
      </c>
      <c r="BO61" s="22" t="s">
        <v>101</v>
      </c>
      <c r="BP61" s="55"/>
      <c r="BQ61" s="55"/>
      <c r="BR61" s="56"/>
      <c r="BS61" s="56"/>
      <c r="BT61" s="56"/>
      <c r="BU61" s="56"/>
      <c r="BV61" s="56"/>
      <c r="BW61" s="58"/>
      <c r="BX61" s="59"/>
      <c r="BY61" s="49" t="s">
        <v>52</v>
      </c>
      <c r="BZ61" s="51" t="s">
        <v>102</v>
      </c>
      <c r="CA61" s="22" t="s">
        <v>101</v>
      </c>
      <c r="CB61" s="55"/>
      <c r="CC61" s="55"/>
      <c r="CD61" s="56"/>
      <c r="CE61" s="56"/>
      <c r="CF61" s="56"/>
      <c r="CG61" s="56"/>
      <c r="CH61" s="56"/>
      <c r="CI61" s="58"/>
      <c r="CJ61" s="59"/>
      <c r="CK61" s="49" t="s">
        <v>52</v>
      </c>
      <c r="CL61" s="50" t="s">
        <v>102</v>
      </c>
      <c r="CM61" s="22" t="s">
        <v>101</v>
      </c>
      <c r="CN61" s="55"/>
      <c r="CO61" s="55"/>
      <c r="CP61" s="56"/>
      <c r="CQ61" s="56"/>
      <c r="CR61" s="56"/>
      <c r="CS61" s="56"/>
      <c r="CT61" s="56"/>
      <c r="CU61" s="58"/>
      <c r="CV61" s="56"/>
      <c r="CW61" s="49" t="s">
        <v>52</v>
      </c>
      <c r="CX61" s="50" t="s">
        <v>102</v>
      </c>
      <c r="CY61" s="22" t="s">
        <v>101</v>
      </c>
      <c r="CZ61" s="55"/>
      <c r="DA61" s="55"/>
      <c r="DB61" s="56"/>
      <c r="DC61" s="56"/>
      <c r="DD61" s="56"/>
      <c r="DE61" s="56"/>
      <c r="DF61" s="56"/>
      <c r="DG61" s="55"/>
      <c r="DH61" s="56"/>
      <c r="DI61" s="2" t="s">
        <v>52</v>
      </c>
      <c r="DJ61" s="80" t="s">
        <v>102</v>
      </c>
      <c r="DK61" s="82" t="s">
        <v>101</v>
      </c>
      <c r="DL61" s="83"/>
      <c r="DM61" s="83"/>
      <c r="DN61" s="84"/>
      <c r="DO61" s="84"/>
      <c r="DP61" s="84"/>
      <c r="DQ61" s="84"/>
      <c r="DR61" s="84"/>
      <c r="DS61" s="83"/>
      <c r="DT61" s="84"/>
      <c r="DU61" s="2" t="s">
        <v>52</v>
      </c>
      <c r="DV61" s="107"/>
      <c r="DW61" s="107"/>
      <c r="DX61" s="2" t="s">
        <v>52</v>
      </c>
      <c r="DY61" s="107" t="s">
        <v>52</v>
      </c>
      <c r="DZ61" s="107" t="s">
        <v>52</v>
      </c>
      <c r="EA61" s="110" t="s">
        <v>52</v>
      </c>
    </row>
    <row r="62" spans="1:131" x14ac:dyDescent="0.5">
      <c r="A62" s="50" t="s">
        <v>89</v>
      </c>
      <c r="B62" s="22" t="s">
        <v>24</v>
      </c>
      <c r="C62" s="56"/>
      <c r="D62" s="56"/>
      <c r="E62" s="49" t="s">
        <v>52</v>
      </c>
      <c r="F62" s="50" t="s">
        <v>89</v>
      </c>
      <c r="G62" s="22" t="s">
        <v>24</v>
      </c>
      <c r="H62" s="55"/>
      <c r="I62" s="55"/>
      <c r="J62" s="56"/>
      <c r="K62" s="56"/>
      <c r="L62" s="56"/>
      <c r="M62" s="56"/>
      <c r="N62" s="56"/>
      <c r="O62" s="55"/>
      <c r="P62" s="56"/>
      <c r="Q62" s="49" t="s">
        <v>52</v>
      </c>
      <c r="R62" s="50" t="s">
        <v>89</v>
      </c>
      <c r="S62" s="22" t="s">
        <v>24</v>
      </c>
      <c r="T62" s="55"/>
      <c r="U62" s="55"/>
      <c r="V62" s="56"/>
      <c r="W62" s="56"/>
      <c r="X62" s="56"/>
      <c r="Y62" s="56"/>
      <c r="Z62" s="56"/>
      <c r="AA62" s="55"/>
      <c r="AB62" s="56"/>
      <c r="AC62" s="49" t="s">
        <v>52</v>
      </c>
      <c r="AD62" s="50" t="s">
        <v>89</v>
      </c>
      <c r="AE62" s="22" t="s">
        <v>24</v>
      </c>
      <c r="AF62" s="55"/>
      <c r="AG62" s="55"/>
      <c r="AH62" s="56"/>
      <c r="AI62" s="56"/>
      <c r="AJ62" s="56"/>
      <c r="AK62" s="56"/>
      <c r="AL62" s="56"/>
      <c r="AM62" s="55"/>
      <c r="AN62" s="56"/>
      <c r="AO62" s="49" t="s">
        <v>52</v>
      </c>
      <c r="AP62" s="50" t="s">
        <v>89</v>
      </c>
      <c r="AQ62" s="22" t="s">
        <v>24</v>
      </c>
      <c r="AR62" s="55"/>
      <c r="AS62" s="55"/>
      <c r="AT62" s="56"/>
      <c r="AU62" s="56"/>
      <c r="AV62" s="56"/>
      <c r="AW62" s="56"/>
      <c r="AX62" s="56"/>
      <c r="AY62" s="55"/>
      <c r="AZ62" s="56"/>
      <c r="BA62" s="49" t="s">
        <v>52</v>
      </c>
      <c r="BB62" s="50" t="s">
        <v>89</v>
      </c>
      <c r="BC62" s="22" t="s">
        <v>24</v>
      </c>
      <c r="BD62" s="55"/>
      <c r="BE62" s="55"/>
      <c r="BF62" s="56"/>
      <c r="BG62" s="56"/>
      <c r="BH62" s="56"/>
      <c r="BI62" s="56"/>
      <c r="BJ62" s="56"/>
      <c r="BK62" s="55"/>
      <c r="BL62" s="56"/>
      <c r="BM62" s="49" t="s">
        <v>52</v>
      </c>
      <c r="BN62" s="51" t="s">
        <v>89</v>
      </c>
      <c r="BO62" s="22" t="s">
        <v>24</v>
      </c>
      <c r="BP62" s="55"/>
      <c r="BQ62" s="55"/>
      <c r="BR62" s="56"/>
      <c r="BS62" s="56"/>
      <c r="BT62" s="56"/>
      <c r="BU62" s="56"/>
      <c r="BV62" s="56"/>
      <c r="BW62" s="58"/>
      <c r="BX62" s="59"/>
      <c r="BY62" s="49" t="s">
        <v>52</v>
      </c>
      <c r="BZ62" s="51" t="s">
        <v>89</v>
      </c>
      <c r="CA62" s="22" t="s">
        <v>24</v>
      </c>
      <c r="CB62" s="55"/>
      <c r="CC62" s="55"/>
      <c r="CD62" s="56"/>
      <c r="CE62" s="56"/>
      <c r="CF62" s="56"/>
      <c r="CG62" s="56"/>
      <c r="CH62" s="56"/>
      <c r="CI62" s="58"/>
      <c r="CJ62" s="59"/>
      <c r="CK62" s="49" t="s">
        <v>52</v>
      </c>
      <c r="CL62" s="50" t="s">
        <v>89</v>
      </c>
      <c r="CM62" s="22" t="s">
        <v>24</v>
      </c>
      <c r="CN62" s="55"/>
      <c r="CO62" s="55"/>
      <c r="CP62" s="56"/>
      <c r="CQ62" s="56"/>
      <c r="CR62" s="56"/>
      <c r="CS62" s="56"/>
      <c r="CT62" s="56"/>
      <c r="CU62" s="58"/>
      <c r="CV62" s="56"/>
      <c r="CW62" s="49" t="s">
        <v>52</v>
      </c>
      <c r="CX62" s="50" t="s">
        <v>89</v>
      </c>
      <c r="CY62" s="22" t="s">
        <v>24</v>
      </c>
      <c r="CZ62" s="55"/>
      <c r="DA62" s="55"/>
      <c r="DB62" s="56"/>
      <c r="DC62" s="56"/>
      <c r="DD62" s="56"/>
      <c r="DE62" s="56"/>
      <c r="DF62" s="56"/>
      <c r="DG62" s="55"/>
      <c r="DH62" s="56"/>
      <c r="DI62" s="2" t="s">
        <v>52</v>
      </c>
      <c r="DJ62" s="80" t="s">
        <v>89</v>
      </c>
      <c r="DK62" s="82" t="s">
        <v>24</v>
      </c>
      <c r="DL62" s="83"/>
      <c r="DM62" s="83"/>
      <c r="DN62" s="84"/>
      <c r="DO62" s="84"/>
      <c r="DP62" s="84"/>
      <c r="DQ62" s="84"/>
      <c r="DR62" s="84"/>
      <c r="DS62" s="83"/>
      <c r="DT62" s="84"/>
      <c r="DU62" s="2" t="s">
        <v>52</v>
      </c>
      <c r="DV62" s="107"/>
      <c r="DW62" s="107"/>
      <c r="DX62" s="2" t="s">
        <v>52</v>
      </c>
      <c r="DY62" s="107" t="s">
        <v>52</v>
      </c>
      <c r="DZ62" s="107" t="s">
        <v>52</v>
      </c>
      <c r="EA62" s="110" t="s">
        <v>52</v>
      </c>
    </row>
    <row r="63" spans="1:131" x14ac:dyDescent="0.5">
      <c r="A63" s="17" t="s">
        <v>96</v>
      </c>
      <c r="B63" s="16" t="s">
        <v>17</v>
      </c>
      <c r="C63" s="21">
        <v>16140.37329064</v>
      </c>
      <c r="D63" s="21">
        <v>16106.76218351</v>
      </c>
      <c r="E63" s="49" t="s">
        <v>52</v>
      </c>
      <c r="F63" s="17" t="s">
        <v>96</v>
      </c>
      <c r="G63" s="16" t="s">
        <v>17</v>
      </c>
      <c r="H63" s="15">
        <v>78</v>
      </c>
      <c r="I63" s="15">
        <v>63022</v>
      </c>
      <c r="J63" s="14">
        <v>0</v>
      </c>
      <c r="K63" s="14">
        <v>1202.704369</v>
      </c>
      <c r="L63" s="14">
        <v>-1202.704369</v>
      </c>
      <c r="M63" s="14">
        <v>15106.623559830001</v>
      </c>
      <c r="N63" s="14">
        <v>16201.649085569999</v>
      </c>
      <c r="O63" s="15">
        <v>0</v>
      </c>
      <c r="P63" s="14">
        <v>0</v>
      </c>
      <c r="Q63" s="49" t="s">
        <v>52</v>
      </c>
      <c r="R63" s="17" t="s">
        <v>96</v>
      </c>
      <c r="S63" s="16" t="s">
        <v>17</v>
      </c>
      <c r="T63" s="15">
        <v>76</v>
      </c>
      <c r="U63" s="15">
        <v>62288</v>
      </c>
      <c r="V63" s="14">
        <v>0</v>
      </c>
      <c r="W63" s="14">
        <v>104.25378585</v>
      </c>
      <c r="X63" s="14">
        <v>-104.25378585</v>
      </c>
      <c r="Y63" s="14">
        <v>15121.303411790001</v>
      </c>
      <c r="Z63" s="14">
        <v>15111.5594686</v>
      </c>
      <c r="AA63" s="15">
        <v>0</v>
      </c>
      <c r="AB63" s="14">
        <v>0</v>
      </c>
      <c r="AC63" s="49" t="s">
        <v>52</v>
      </c>
      <c r="AD63" s="17" t="s">
        <v>96</v>
      </c>
      <c r="AE63" s="16" t="s">
        <v>17</v>
      </c>
      <c r="AF63" s="15">
        <v>75</v>
      </c>
      <c r="AG63" s="15">
        <v>61624</v>
      </c>
      <c r="AH63" s="14">
        <v>0</v>
      </c>
      <c r="AI63" s="14">
        <v>144.79820599999999</v>
      </c>
      <c r="AJ63" s="14">
        <v>-144.79820599999999</v>
      </c>
      <c r="AK63" s="14">
        <v>15041.58406521</v>
      </c>
      <c r="AL63" s="14">
        <v>15133.0990062</v>
      </c>
      <c r="AM63" s="15">
        <v>0</v>
      </c>
      <c r="AN63" s="14">
        <v>0</v>
      </c>
      <c r="AO63" s="49" t="s">
        <v>52</v>
      </c>
      <c r="AP63" s="17" t="s">
        <v>96</v>
      </c>
      <c r="AQ63" s="16" t="s">
        <v>17</v>
      </c>
      <c r="AR63" s="15">
        <v>74</v>
      </c>
      <c r="AS63" s="15">
        <v>60773</v>
      </c>
      <c r="AT63" s="14">
        <v>0</v>
      </c>
      <c r="AU63" s="14">
        <v>48.208023000000097</v>
      </c>
      <c r="AV63" s="14">
        <v>-48.208023000000097</v>
      </c>
      <c r="AW63" s="14">
        <v>15072.44758955</v>
      </c>
      <c r="AX63" s="14">
        <v>15083.25573596</v>
      </c>
      <c r="AY63" s="15">
        <v>0</v>
      </c>
      <c r="AZ63" s="14">
        <v>0</v>
      </c>
      <c r="BA63" s="49" t="s">
        <v>52</v>
      </c>
      <c r="BB63" s="17" t="s">
        <v>96</v>
      </c>
      <c r="BC63" s="16" t="s">
        <v>17</v>
      </c>
      <c r="BD63" s="15">
        <v>74</v>
      </c>
      <c r="BE63" s="15">
        <v>60773</v>
      </c>
      <c r="BF63" s="14">
        <v>0</v>
      </c>
      <c r="BG63" s="14">
        <v>0</v>
      </c>
      <c r="BH63" s="14">
        <v>0</v>
      </c>
      <c r="BI63" s="14">
        <v>15106.0091603</v>
      </c>
      <c r="BJ63" s="14">
        <v>15091.775776160001</v>
      </c>
      <c r="BK63" s="15">
        <v>0</v>
      </c>
      <c r="BL63" s="14">
        <v>0</v>
      </c>
      <c r="BM63" s="49" t="s">
        <v>52</v>
      </c>
      <c r="BN63" s="20" t="s">
        <v>96</v>
      </c>
      <c r="BO63" s="16" t="s">
        <v>17</v>
      </c>
      <c r="BP63" s="15">
        <v>72</v>
      </c>
      <c r="BQ63" s="15">
        <v>59389</v>
      </c>
      <c r="BR63" s="14">
        <v>0</v>
      </c>
      <c r="BS63" s="14">
        <v>268.76725787999999</v>
      </c>
      <c r="BT63" s="14">
        <v>-268.76725787999999</v>
      </c>
      <c r="BU63" s="14">
        <v>14896.983305379999</v>
      </c>
      <c r="BV63" s="14">
        <v>15113.74046619</v>
      </c>
      <c r="BW63" s="18">
        <v>0</v>
      </c>
      <c r="BX63" s="19">
        <v>0</v>
      </c>
      <c r="BY63" s="49" t="s">
        <v>52</v>
      </c>
      <c r="BZ63" s="20" t="s">
        <v>96</v>
      </c>
      <c r="CA63" s="16" t="s">
        <v>17</v>
      </c>
      <c r="CB63" s="15">
        <v>72</v>
      </c>
      <c r="CC63" s="15">
        <v>59390</v>
      </c>
      <c r="CD63" s="14">
        <v>0</v>
      </c>
      <c r="CE63" s="14">
        <v>0</v>
      </c>
      <c r="CF63" s="14">
        <v>0</v>
      </c>
      <c r="CG63" s="14">
        <v>14980.590951919999</v>
      </c>
      <c r="CH63" s="14">
        <v>14945.8370923</v>
      </c>
      <c r="CI63" s="18">
        <v>0</v>
      </c>
      <c r="CJ63" s="19">
        <v>0</v>
      </c>
      <c r="CK63" s="49" t="s">
        <v>52</v>
      </c>
      <c r="CL63" s="17" t="s">
        <v>96</v>
      </c>
      <c r="CM63" s="16" t="s">
        <v>17</v>
      </c>
      <c r="CN63" s="15">
        <v>71</v>
      </c>
      <c r="CO63" s="15">
        <v>56322</v>
      </c>
      <c r="CP63" s="14">
        <v>0</v>
      </c>
      <c r="CQ63" s="14">
        <v>412.772628</v>
      </c>
      <c r="CR63" s="14">
        <v>-412.772628</v>
      </c>
      <c r="CS63" s="14">
        <v>14632.22473792</v>
      </c>
      <c r="CT63" s="14">
        <v>14728.469597019999</v>
      </c>
      <c r="CU63" s="18">
        <v>0</v>
      </c>
      <c r="CV63" s="14">
        <v>0</v>
      </c>
      <c r="CW63" s="49" t="s">
        <v>52</v>
      </c>
      <c r="CX63" s="17" t="s">
        <v>96</v>
      </c>
      <c r="CY63" s="16" t="s">
        <v>17</v>
      </c>
      <c r="CZ63" s="15">
        <v>71</v>
      </c>
      <c r="DA63" s="15">
        <v>56328</v>
      </c>
      <c r="DB63" s="14">
        <v>0</v>
      </c>
      <c r="DC63" s="14">
        <v>4.9999925977317603E-8</v>
      </c>
      <c r="DD63" s="14">
        <v>-4.9999925977317603E-8</v>
      </c>
      <c r="DE63" s="14">
        <v>14701.99305963</v>
      </c>
      <c r="DF63" s="14">
        <v>14669.487490879999</v>
      </c>
      <c r="DG63" s="15">
        <v>0</v>
      </c>
      <c r="DH63" s="14">
        <v>0</v>
      </c>
      <c r="DI63" s="2" t="s">
        <v>52</v>
      </c>
      <c r="DJ63" s="85" t="s">
        <v>96</v>
      </c>
      <c r="DK63" s="86" t="s">
        <v>17</v>
      </c>
      <c r="DL63" s="87">
        <v>71</v>
      </c>
      <c r="DM63" s="87">
        <v>56325</v>
      </c>
      <c r="DN63" s="88">
        <v>0</v>
      </c>
      <c r="DO63" s="88">
        <v>0</v>
      </c>
      <c r="DP63" s="88">
        <v>0</v>
      </c>
      <c r="DQ63" s="88">
        <v>14760.99330801</v>
      </c>
      <c r="DR63" s="88">
        <v>14731.16101389</v>
      </c>
      <c r="DS63" s="87">
        <v>0</v>
      </c>
      <c r="DT63" s="88">
        <v>0</v>
      </c>
      <c r="DU63" s="2" t="s">
        <v>52</v>
      </c>
      <c r="DV63" s="136"/>
      <c r="DW63" s="137"/>
      <c r="DX63" s="2" t="s">
        <v>52</v>
      </c>
      <c r="DY63" s="136">
        <v>0</v>
      </c>
      <c r="DZ63" s="137">
        <f t="shared" ref="DZ63" si="396">(DP63-DD63)/DD63</f>
        <v>-1</v>
      </c>
      <c r="EA63" s="138">
        <f t="shared" ref="EA63" si="397">(DR63-DF63)/DF63</f>
        <v>4.2042043424040977E-3</v>
      </c>
    </row>
    <row r="64" spans="1:131" x14ac:dyDescent="0.5">
      <c r="A64" s="17" t="s">
        <v>95</v>
      </c>
      <c r="B64" s="16" t="s">
        <v>8</v>
      </c>
      <c r="C64" s="21">
        <v>0</v>
      </c>
      <c r="D64" s="21">
        <v>0</v>
      </c>
      <c r="E64" s="49" t="s">
        <v>52</v>
      </c>
      <c r="F64" s="17" t="s">
        <v>95</v>
      </c>
      <c r="G64" s="16" t="s">
        <v>8</v>
      </c>
      <c r="H64" s="15">
        <v>0</v>
      </c>
      <c r="I64" s="15">
        <v>0</v>
      </c>
      <c r="J64" s="14">
        <v>0</v>
      </c>
      <c r="K64" s="14">
        <v>0</v>
      </c>
      <c r="L64" s="14">
        <v>0</v>
      </c>
      <c r="M64" s="14">
        <v>0</v>
      </c>
      <c r="N64" s="14">
        <v>0</v>
      </c>
      <c r="O64" s="15">
        <v>0</v>
      </c>
      <c r="P64" s="14">
        <v>0</v>
      </c>
      <c r="Q64" s="49" t="s">
        <v>52</v>
      </c>
      <c r="R64" s="17" t="s">
        <v>95</v>
      </c>
      <c r="S64" s="16" t="s">
        <v>8</v>
      </c>
      <c r="T64" s="15">
        <v>0</v>
      </c>
      <c r="U64" s="15">
        <v>0</v>
      </c>
      <c r="V64" s="14">
        <v>0</v>
      </c>
      <c r="W64" s="14">
        <v>0</v>
      </c>
      <c r="X64" s="14">
        <v>0</v>
      </c>
      <c r="Y64" s="14">
        <v>0</v>
      </c>
      <c r="Z64" s="14">
        <v>0</v>
      </c>
      <c r="AA64" s="15">
        <v>0</v>
      </c>
      <c r="AB64" s="14">
        <v>0</v>
      </c>
      <c r="AC64" s="49" t="s">
        <v>52</v>
      </c>
      <c r="AD64" s="17" t="s">
        <v>95</v>
      </c>
      <c r="AE64" s="16" t="s">
        <v>8</v>
      </c>
      <c r="AF64" s="15">
        <v>0</v>
      </c>
      <c r="AG64" s="15">
        <v>0</v>
      </c>
      <c r="AH64" s="14">
        <v>0</v>
      </c>
      <c r="AI64" s="14">
        <v>0</v>
      </c>
      <c r="AJ64" s="14">
        <v>0</v>
      </c>
      <c r="AK64" s="14">
        <v>0</v>
      </c>
      <c r="AL64" s="14">
        <v>0</v>
      </c>
      <c r="AM64" s="15">
        <v>0</v>
      </c>
      <c r="AN64" s="14">
        <v>0</v>
      </c>
      <c r="AO64" s="49" t="s">
        <v>52</v>
      </c>
      <c r="AP64" s="17" t="s">
        <v>95</v>
      </c>
      <c r="AQ64" s="16" t="s">
        <v>8</v>
      </c>
      <c r="AR64" s="15">
        <v>0</v>
      </c>
      <c r="AS64" s="15">
        <v>0</v>
      </c>
      <c r="AT64" s="14">
        <v>0</v>
      </c>
      <c r="AU64" s="14">
        <v>0</v>
      </c>
      <c r="AV64" s="14">
        <v>0</v>
      </c>
      <c r="AW64" s="14">
        <v>0</v>
      </c>
      <c r="AX64" s="14">
        <v>0</v>
      </c>
      <c r="AY64" s="15">
        <v>0</v>
      </c>
      <c r="AZ64" s="14">
        <v>0</v>
      </c>
      <c r="BA64" s="49" t="s">
        <v>52</v>
      </c>
      <c r="BB64" s="17" t="s">
        <v>95</v>
      </c>
      <c r="BC64" s="16" t="s">
        <v>8</v>
      </c>
      <c r="BD64" s="15">
        <v>0</v>
      </c>
      <c r="BE64" s="15">
        <v>0</v>
      </c>
      <c r="BF64" s="14">
        <v>0</v>
      </c>
      <c r="BG64" s="14">
        <v>0</v>
      </c>
      <c r="BH64" s="14">
        <v>0</v>
      </c>
      <c r="BI64" s="14">
        <v>0</v>
      </c>
      <c r="BJ64" s="14">
        <v>0</v>
      </c>
      <c r="BK64" s="15">
        <v>0</v>
      </c>
      <c r="BL64" s="14">
        <v>0</v>
      </c>
      <c r="BM64" s="49" t="s">
        <v>52</v>
      </c>
      <c r="BN64" s="20" t="s">
        <v>95</v>
      </c>
      <c r="BO64" s="16" t="s">
        <v>8</v>
      </c>
      <c r="BP64" s="15">
        <v>0</v>
      </c>
      <c r="BQ64" s="15">
        <v>0</v>
      </c>
      <c r="BR64" s="14">
        <v>0</v>
      </c>
      <c r="BS64" s="14">
        <v>0</v>
      </c>
      <c r="BT64" s="14">
        <v>0</v>
      </c>
      <c r="BU64" s="14">
        <v>0</v>
      </c>
      <c r="BV64" s="14">
        <v>0</v>
      </c>
      <c r="BW64" s="18">
        <v>0</v>
      </c>
      <c r="BX64" s="19">
        <v>0</v>
      </c>
      <c r="BY64" s="49" t="s">
        <v>52</v>
      </c>
      <c r="BZ64" s="20" t="s">
        <v>95</v>
      </c>
      <c r="CA64" s="16" t="s">
        <v>8</v>
      </c>
      <c r="CB64" s="15">
        <v>0</v>
      </c>
      <c r="CC64" s="15">
        <v>0</v>
      </c>
      <c r="CD64" s="14">
        <v>0</v>
      </c>
      <c r="CE64" s="14">
        <v>0</v>
      </c>
      <c r="CF64" s="14">
        <v>0</v>
      </c>
      <c r="CG64" s="14">
        <v>0</v>
      </c>
      <c r="CH64" s="14">
        <v>0</v>
      </c>
      <c r="CI64" s="18">
        <v>0</v>
      </c>
      <c r="CJ64" s="19">
        <v>0</v>
      </c>
      <c r="CK64" s="49" t="s">
        <v>52</v>
      </c>
      <c r="CL64" s="17" t="s">
        <v>95</v>
      </c>
      <c r="CM64" s="16" t="s">
        <v>8</v>
      </c>
      <c r="CN64" s="15">
        <v>0</v>
      </c>
      <c r="CO64" s="15">
        <v>0</v>
      </c>
      <c r="CP64" s="14">
        <v>0</v>
      </c>
      <c r="CQ64" s="14">
        <v>0</v>
      </c>
      <c r="CR64" s="14">
        <v>0</v>
      </c>
      <c r="CS64" s="14">
        <v>0</v>
      </c>
      <c r="CT64" s="14">
        <v>0</v>
      </c>
      <c r="CU64" s="18">
        <v>0</v>
      </c>
      <c r="CV64" s="14">
        <v>0</v>
      </c>
      <c r="CW64" s="49" t="s">
        <v>52</v>
      </c>
      <c r="CX64" s="17" t="s">
        <v>95</v>
      </c>
      <c r="CY64" s="16" t="s">
        <v>8</v>
      </c>
      <c r="CZ64" s="15">
        <v>0</v>
      </c>
      <c r="DA64" s="15">
        <v>0</v>
      </c>
      <c r="DB64" s="14">
        <v>0</v>
      </c>
      <c r="DC64" s="14">
        <v>0</v>
      </c>
      <c r="DD64" s="14">
        <v>0</v>
      </c>
      <c r="DE64" s="14">
        <v>0</v>
      </c>
      <c r="DF64" s="14">
        <v>0</v>
      </c>
      <c r="DG64" s="15">
        <v>0</v>
      </c>
      <c r="DH64" s="14">
        <v>0</v>
      </c>
      <c r="DI64" s="2" t="s">
        <v>52</v>
      </c>
      <c r="DJ64" s="85" t="s">
        <v>95</v>
      </c>
      <c r="DK64" s="86" t="s">
        <v>8</v>
      </c>
      <c r="DL64" s="87">
        <v>0</v>
      </c>
      <c r="DM64" s="87">
        <v>0</v>
      </c>
      <c r="DN64" s="88">
        <v>0</v>
      </c>
      <c r="DO64" s="88">
        <v>0</v>
      </c>
      <c r="DP64" s="88">
        <v>0</v>
      </c>
      <c r="DQ64" s="88">
        <v>0</v>
      </c>
      <c r="DR64" s="88">
        <v>0</v>
      </c>
      <c r="DS64" s="87">
        <v>0</v>
      </c>
      <c r="DT64" s="88">
        <v>0</v>
      </c>
      <c r="DU64" s="2" t="s">
        <v>52</v>
      </c>
      <c r="DV64" s="136"/>
      <c r="DW64" s="137"/>
      <c r="DX64" s="2" t="s">
        <v>52</v>
      </c>
      <c r="DY64" s="136">
        <v>0</v>
      </c>
      <c r="DZ64" s="137">
        <v>0</v>
      </c>
      <c r="EA64" s="138">
        <v>0</v>
      </c>
    </row>
    <row r="65" spans="1:131" x14ac:dyDescent="0.5">
      <c r="A65" s="17" t="s">
        <v>100</v>
      </c>
      <c r="B65" s="16" t="s">
        <v>25</v>
      </c>
      <c r="C65" s="21">
        <v>1112.5221349999999</v>
      </c>
      <c r="D65" s="21">
        <v>1109.202059</v>
      </c>
      <c r="E65" s="49" t="s">
        <v>52</v>
      </c>
      <c r="F65" s="17" t="s">
        <v>100</v>
      </c>
      <c r="G65" s="16" t="s">
        <v>25</v>
      </c>
      <c r="H65" s="15">
        <v>4</v>
      </c>
      <c r="I65" s="15">
        <v>30</v>
      </c>
      <c r="J65" s="14">
        <v>0</v>
      </c>
      <c r="K65" s="14">
        <v>0</v>
      </c>
      <c r="L65" s="14">
        <v>0</v>
      </c>
      <c r="M65" s="14">
        <v>1119.266971</v>
      </c>
      <c r="N65" s="14">
        <v>1116.006625</v>
      </c>
      <c r="O65" s="15">
        <v>0</v>
      </c>
      <c r="P65" s="14">
        <v>0</v>
      </c>
      <c r="Q65" s="49" t="s">
        <v>52</v>
      </c>
      <c r="R65" s="17" t="s">
        <v>100</v>
      </c>
      <c r="S65" s="16" t="s">
        <v>25</v>
      </c>
      <c r="T65" s="15">
        <v>3</v>
      </c>
      <c r="U65" s="15">
        <v>19</v>
      </c>
      <c r="V65" s="14">
        <v>0</v>
      </c>
      <c r="W65" s="14">
        <v>261.85378209999999</v>
      </c>
      <c r="X65" s="14">
        <v>-261.85378209999999</v>
      </c>
      <c r="Y65" s="14">
        <v>862.96336429999997</v>
      </c>
      <c r="Z65" s="14">
        <v>1122.1403330000001</v>
      </c>
      <c r="AA65" s="15">
        <v>0</v>
      </c>
      <c r="AB65" s="14">
        <v>0</v>
      </c>
      <c r="AC65" s="49" t="s">
        <v>52</v>
      </c>
      <c r="AD65" s="17" t="s">
        <v>100</v>
      </c>
      <c r="AE65" s="16" t="s">
        <v>25</v>
      </c>
      <c r="AF65" s="15">
        <v>3</v>
      </c>
      <c r="AG65" s="15">
        <v>19</v>
      </c>
      <c r="AH65" s="14">
        <v>0</v>
      </c>
      <c r="AI65" s="14">
        <v>0</v>
      </c>
      <c r="AJ65" s="14">
        <v>0</v>
      </c>
      <c r="AK65" s="14">
        <v>868.08374779999997</v>
      </c>
      <c r="AL65" s="14">
        <v>865.59714650000001</v>
      </c>
      <c r="AM65" s="15">
        <v>0</v>
      </c>
      <c r="AN65" s="14">
        <v>0</v>
      </c>
      <c r="AO65" s="49" t="s">
        <v>52</v>
      </c>
      <c r="AP65" s="17" t="s">
        <v>100</v>
      </c>
      <c r="AQ65" s="16" t="s">
        <v>25</v>
      </c>
      <c r="AR65" s="15">
        <v>3</v>
      </c>
      <c r="AS65" s="15">
        <v>19</v>
      </c>
      <c r="AT65" s="14">
        <v>0</v>
      </c>
      <c r="AU65" s="14">
        <v>0</v>
      </c>
      <c r="AV65" s="14">
        <v>0</v>
      </c>
      <c r="AW65" s="14">
        <v>875.15734799999996</v>
      </c>
      <c r="AX65" s="14">
        <v>871.00643309999998</v>
      </c>
      <c r="AY65" s="15">
        <v>0</v>
      </c>
      <c r="AZ65" s="14">
        <v>0</v>
      </c>
      <c r="BA65" s="49" t="s">
        <v>52</v>
      </c>
      <c r="BB65" s="17" t="s">
        <v>100</v>
      </c>
      <c r="BC65" s="16" t="s">
        <v>25</v>
      </c>
      <c r="BD65" s="15">
        <v>3</v>
      </c>
      <c r="BE65" s="15">
        <v>19</v>
      </c>
      <c r="BF65" s="14">
        <v>0</v>
      </c>
      <c r="BG65" s="14">
        <v>0</v>
      </c>
      <c r="BH65" s="14">
        <v>0</v>
      </c>
      <c r="BI65" s="14">
        <v>881.18048439999995</v>
      </c>
      <c r="BJ65" s="14">
        <v>878.15886909999995</v>
      </c>
      <c r="BK65" s="15">
        <v>0</v>
      </c>
      <c r="BL65" s="14">
        <v>0</v>
      </c>
      <c r="BM65" s="49" t="s">
        <v>52</v>
      </c>
      <c r="BN65" s="20" t="s">
        <v>100</v>
      </c>
      <c r="BO65" s="16" t="s">
        <v>25</v>
      </c>
      <c r="BP65" s="15">
        <v>3</v>
      </c>
      <c r="BQ65" s="15">
        <v>19</v>
      </c>
      <c r="BR65" s="14">
        <v>0</v>
      </c>
      <c r="BS65" s="14">
        <v>0</v>
      </c>
      <c r="BT65" s="14">
        <v>0</v>
      </c>
      <c r="BU65" s="14">
        <v>887.20392130000005</v>
      </c>
      <c r="BV65" s="14">
        <v>884.70203609999999</v>
      </c>
      <c r="BW65" s="18">
        <v>0</v>
      </c>
      <c r="BX65" s="19">
        <v>0</v>
      </c>
      <c r="BY65" s="49" t="s">
        <v>52</v>
      </c>
      <c r="BZ65" s="20" t="s">
        <v>100</v>
      </c>
      <c r="CA65" s="16" t="s">
        <v>25</v>
      </c>
      <c r="CB65" s="15">
        <v>3</v>
      </c>
      <c r="CC65" s="15">
        <v>19</v>
      </c>
      <c r="CD65" s="14">
        <v>0</v>
      </c>
      <c r="CE65" s="14">
        <v>0</v>
      </c>
      <c r="CF65" s="14">
        <v>0</v>
      </c>
      <c r="CG65" s="14">
        <v>893.52668530000005</v>
      </c>
      <c r="CH65" s="14">
        <v>890.96574299999997</v>
      </c>
      <c r="CI65" s="18">
        <v>0</v>
      </c>
      <c r="CJ65" s="19">
        <v>0</v>
      </c>
      <c r="CK65" s="49" t="s">
        <v>52</v>
      </c>
      <c r="CL65" s="17" t="s">
        <v>100</v>
      </c>
      <c r="CM65" s="16" t="s">
        <v>25</v>
      </c>
      <c r="CN65" s="15">
        <v>3</v>
      </c>
      <c r="CO65" s="15">
        <v>19</v>
      </c>
      <c r="CP65" s="14">
        <v>0</v>
      </c>
      <c r="CQ65" s="14">
        <v>0</v>
      </c>
      <c r="CR65" s="14">
        <v>0</v>
      </c>
      <c r="CS65" s="14">
        <v>898.53745200000003</v>
      </c>
      <c r="CT65" s="14">
        <v>896.11788690000003</v>
      </c>
      <c r="CU65" s="18">
        <v>0</v>
      </c>
      <c r="CV65" s="14">
        <v>0</v>
      </c>
      <c r="CW65" s="49" t="s">
        <v>52</v>
      </c>
      <c r="CX65" s="17" t="s">
        <v>100</v>
      </c>
      <c r="CY65" s="16" t="s">
        <v>25</v>
      </c>
      <c r="CZ65" s="15">
        <v>3</v>
      </c>
      <c r="DA65" s="15">
        <v>19</v>
      </c>
      <c r="DB65" s="14">
        <v>0</v>
      </c>
      <c r="DC65" s="14">
        <v>0</v>
      </c>
      <c r="DD65" s="14">
        <v>0</v>
      </c>
      <c r="DE65" s="14">
        <v>903.44918619999999</v>
      </c>
      <c r="DF65" s="14">
        <v>901.08085879999999</v>
      </c>
      <c r="DG65" s="15">
        <v>0</v>
      </c>
      <c r="DH65" s="14">
        <v>0</v>
      </c>
      <c r="DI65" s="2" t="s">
        <v>52</v>
      </c>
      <c r="DJ65" s="85" t="s">
        <v>100</v>
      </c>
      <c r="DK65" s="86" t="s">
        <v>25</v>
      </c>
      <c r="DL65" s="87">
        <v>3</v>
      </c>
      <c r="DM65" s="87">
        <v>19</v>
      </c>
      <c r="DN65" s="88">
        <v>0</v>
      </c>
      <c r="DO65" s="88">
        <v>0</v>
      </c>
      <c r="DP65" s="88">
        <v>0</v>
      </c>
      <c r="DQ65" s="88">
        <v>908.40870229999996</v>
      </c>
      <c r="DR65" s="88">
        <v>906.00815690000002</v>
      </c>
      <c r="DS65" s="87">
        <v>0</v>
      </c>
      <c r="DT65" s="88">
        <v>0</v>
      </c>
      <c r="DU65" s="2" t="s">
        <v>52</v>
      </c>
      <c r="DV65" s="136"/>
      <c r="DW65" s="137"/>
      <c r="DX65" s="2" t="s">
        <v>52</v>
      </c>
      <c r="DY65" s="136">
        <v>0</v>
      </c>
      <c r="DZ65" s="137">
        <v>0</v>
      </c>
      <c r="EA65" s="138">
        <f>(DR65-DF65)/DF65</f>
        <v>5.4682085984623851E-3</v>
      </c>
    </row>
    <row r="66" spans="1:131" x14ac:dyDescent="0.5">
      <c r="A66" s="17" t="s">
        <v>99</v>
      </c>
      <c r="B66" s="16" t="s">
        <v>98</v>
      </c>
      <c r="C66" s="21">
        <v>5319.12</v>
      </c>
      <c r="D66" s="21">
        <v>5265.41</v>
      </c>
      <c r="E66" s="49" t="s">
        <v>52</v>
      </c>
      <c r="F66" s="17" t="s">
        <v>99</v>
      </c>
      <c r="G66" s="16" t="s">
        <v>98</v>
      </c>
      <c r="H66" s="15">
        <v>1</v>
      </c>
      <c r="I66" s="15">
        <v>190744</v>
      </c>
      <c r="J66" s="14">
        <v>18.399999999999999</v>
      </c>
      <c r="K66" s="14">
        <v>61.28</v>
      </c>
      <c r="L66" s="14">
        <v>-42.88</v>
      </c>
      <c r="M66" s="14">
        <v>5434.4</v>
      </c>
      <c r="N66" s="14">
        <v>5382.59</v>
      </c>
      <c r="O66" s="15">
        <v>0</v>
      </c>
      <c r="P66" s="14">
        <v>0</v>
      </c>
      <c r="Q66" s="49" t="s">
        <v>52</v>
      </c>
      <c r="R66" s="17" t="s">
        <v>99</v>
      </c>
      <c r="S66" s="16" t="s">
        <v>98</v>
      </c>
      <c r="T66" s="15">
        <v>1</v>
      </c>
      <c r="U66" s="15">
        <v>189044</v>
      </c>
      <c r="V66" s="14">
        <v>15.43</v>
      </c>
      <c r="W66" s="14">
        <v>68.14</v>
      </c>
      <c r="X66" s="14">
        <v>-52.71</v>
      </c>
      <c r="Y66" s="14">
        <v>5451.34</v>
      </c>
      <c r="Z66" s="14">
        <v>5457.69</v>
      </c>
      <c r="AA66" s="15">
        <v>0</v>
      </c>
      <c r="AB66" s="14">
        <v>0</v>
      </c>
      <c r="AC66" s="49" t="s">
        <v>52</v>
      </c>
      <c r="AD66" s="17" t="s">
        <v>99</v>
      </c>
      <c r="AE66" s="16" t="s">
        <v>98</v>
      </c>
      <c r="AF66" s="15">
        <v>1</v>
      </c>
      <c r="AG66" s="15">
        <v>187506</v>
      </c>
      <c r="AH66" s="14">
        <v>15.55</v>
      </c>
      <c r="AI66" s="14">
        <v>58.91</v>
      </c>
      <c r="AJ66" s="14">
        <v>-43.36</v>
      </c>
      <c r="AK66" s="14">
        <v>5472.76</v>
      </c>
      <c r="AL66" s="14">
        <v>5464.72</v>
      </c>
      <c r="AM66" s="15">
        <v>0</v>
      </c>
      <c r="AN66" s="14">
        <v>0</v>
      </c>
      <c r="AO66" s="49" t="s">
        <v>52</v>
      </c>
      <c r="AP66" s="17" t="s">
        <v>99</v>
      </c>
      <c r="AQ66" s="16" t="s">
        <v>98</v>
      </c>
      <c r="AR66" s="15">
        <v>1</v>
      </c>
      <c r="AS66" s="15">
        <v>185895</v>
      </c>
      <c r="AT66" s="14">
        <v>15.79</v>
      </c>
      <c r="AU66" s="14">
        <v>68.66</v>
      </c>
      <c r="AV66" s="14">
        <v>-52.87</v>
      </c>
      <c r="AW66" s="14">
        <v>5361.28</v>
      </c>
      <c r="AX66" s="14">
        <v>5445.48</v>
      </c>
      <c r="AY66" s="15">
        <v>0</v>
      </c>
      <c r="AZ66" s="14">
        <v>0</v>
      </c>
      <c r="BA66" s="49" t="s">
        <v>52</v>
      </c>
      <c r="BB66" s="17" t="s">
        <v>99</v>
      </c>
      <c r="BC66" s="16" t="s">
        <v>98</v>
      </c>
      <c r="BD66" s="15">
        <v>1</v>
      </c>
      <c r="BE66" s="15">
        <v>184690</v>
      </c>
      <c r="BF66" s="14">
        <v>14.32</v>
      </c>
      <c r="BG66" s="14">
        <v>48.19</v>
      </c>
      <c r="BH66" s="14">
        <v>-33.869999999999997</v>
      </c>
      <c r="BI66" s="14">
        <v>5287.88</v>
      </c>
      <c r="BJ66" s="14">
        <v>5358.01</v>
      </c>
      <c r="BK66" s="15">
        <v>0</v>
      </c>
      <c r="BL66" s="14">
        <v>0</v>
      </c>
      <c r="BM66" s="49" t="s">
        <v>52</v>
      </c>
      <c r="BN66" s="20" t="s">
        <v>99</v>
      </c>
      <c r="BO66" s="16" t="s">
        <v>98</v>
      </c>
      <c r="BP66" s="15">
        <v>1</v>
      </c>
      <c r="BQ66" s="15">
        <v>183213</v>
      </c>
      <c r="BR66" s="14">
        <v>15.3</v>
      </c>
      <c r="BS66" s="14">
        <v>57.76</v>
      </c>
      <c r="BT66" s="14">
        <v>-42.46</v>
      </c>
      <c r="BU66" s="14">
        <v>5278.36</v>
      </c>
      <c r="BV66" s="14">
        <v>5363.34</v>
      </c>
      <c r="BW66" s="18">
        <v>0</v>
      </c>
      <c r="BX66" s="19">
        <v>0</v>
      </c>
      <c r="BY66" s="49" t="s">
        <v>52</v>
      </c>
      <c r="BZ66" s="20" t="s">
        <v>99</v>
      </c>
      <c r="CA66" s="16" t="s">
        <v>98</v>
      </c>
      <c r="CB66" s="15">
        <v>1</v>
      </c>
      <c r="CC66" s="15">
        <v>181974</v>
      </c>
      <c r="CD66" s="14">
        <v>14.53</v>
      </c>
      <c r="CE66" s="14">
        <v>73.260000000000005</v>
      </c>
      <c r="CF66" s="14">
        <v>-58.73</v>
      </c>
      <c r="CG66" s="14">
        <v>5307.27</v>
      </c>
      <c r="CH66" s="14">
        <v>5349.38</v>
      </c>
      <c r="CI66" s="18">
        <v>0</v>
      </c>
      <c r="CJ66" s="19">
        <v>0</v>
      </c>
      <c r="CK66" s="49" t="s">
        <v>52</v>
      </c>
      <c r="CL66" s="17" t="s">
        <v>99</v>
      </c>
      <c r="CM66" s="16" t="s">
        <v>98</v>
      </c>
      <c r="CN66" s="15">
        <v>1</v>
      </c>
      <c r="CO66" s="15">
        <v>180825</v>
      </c>
      <c r="CP66" s="14">
        <v>14.16</v>
      </c>
      <c r="CQ66" s="14">
        <v>51.23</v>
      </c>
      <c r="CR66" s="14">
        <v>-37.07</v>
      </c>
      <c r="CS66" s="14">
        <v>5284.85</v>
      </c>
      <c r="CT66" s="14">
        <v>5309.67</v>
      </c>
      <c r="CU66" s="18">
        <v>0</v>
      </c>
      <c r="CV66" s="14">
        <v>0</v>
      </c>
      <c r="CW66" s="49" t="s">
        <v>52</v>
      </c>
      <c r="CX66" s="17" t="s">
        <v>99</v>
      </c>
      <c r="CY66" s="16" t="s">
        <v>98</v>
      </c>
      <c r="CZ66" s="15">
        <v>1</v>
      </c>
      <c r="DA66" s="15">
        <v>179801</v>
      </c>
      <c r="DB66" s="14">
        <v>15.74</v>
      </c>
      <c r="DC66" s="14">
        <v>55.01</v>
      </c>
      <c r="DD66" s="14">
        <v>-39.270000000000103</v>
      </c>
      <c r="DE66" s="112">
        <v>5195.84</v>
      </c>
      <c r="DF66" s="14">
        <v>5243.3</v>
      </c>
      <c r="DG66" s="15">
        <v>0</v>
      </c>
      <c r="DH66" s="14">
        <v>0</v>
      </c>
      <c r="DI66" s="2" t="s">
        <v>52</v>
      </c>
      <c r="DJ66" s="85" t="s">
        <v>99</v>
      </c>
      <c r="DK66" s="86" t="s">
        <v>98</v>
      </c>
      <c r="DL66" s="87">
        <v>1</v>
      </c>
      <c r="DM66" s="87">
        <v>178857</v>
      </c>
      <c r="DN66" s="88">
        <v>15.41</v>
      </c>
      <c r="DO66" s="88">
        <v>49.469999999999899</v>
      </c>
      <c r="DP66" s="88">
        <v>-34.059999999999903</v>
      </c>
      <c r="DQ66" s="111">
        <v>5067.75</v>
      </c>
      <c r="DR66" s="88">
        <v>5149.78</v>
      </c>
      <c r="DS66" s="87">
        <v>0</v>
      </c>
      <c r="DT66" s="88">
        <v>0</v>
      </c>
      <c r="DU66" s="2" t="s">
        <v>52</v>
      </c>
      <c r="DV66" s="136"/>
      <c r="DW66" s="137"/>
      <c r="DX66" s="2" t="s">
        <v>52</v>
      </c>
      <c r="DY66" s="136">
        <f>(DN66-DB66)/DB66</f>
        <v>-2.0965692503176623E-2</v>
      </c>
      <c r="DZ66" s="137">
        <f>(DP66-DD66)/DD66</f>
        <v>-0.13267125031831389</v>
      </c>
      <c r="EA66" s="138">
        <f>(DR66-DF66)/DF66</f>
        <v>-1.7836095588656082E-2</v>
      </c>
    </row>
    <row r="67" spans="1:131" x14ac:dyDescent="0.5">
      <c r="A67" s="27" t="s">
        <v>83</v>
      </c>
      <c r="B67" s="27" t="s">
        <v>97</v>
      </c>
      <c r="C67" s="26">
        <f t="shared" ref="C67:D67" si="398">SUM(C63:C66)</f>
        <v>22572.015425639998</v>
      </c>
      <c r="D67" s="26">
        <f t="shared" si="398"/>
        <v>22481.374242509999</v>
      </c>
      <c r="E67" s="49" t="s">
        <v>52</v>
      </c>
      <c r="F67" s="27" t="s">
        <v>83</v>
      </c>
      <c r="G67" s="27" t="s">
        <v>97</v>
      </c>
      <c r="H67" s="26">
        <f t="shared" ref="H67" si="399">SUM(H63:H66)</f>
        <v>83</v>
      </c>
      <c r="I67" s="26">
        <f t="shared" ref="I67" si="400">SUM(I63:I66)</f>
        <v>253796</v>
      </c>
      <c r="J67" s="26">
        <f t="shared" ref="J67" si="401">SUM(J63:J66)</f>
        <v>18.399999999999999</v>
      </c>
      <c r="K67" s="26">
        <f t="shared" ref="K67" si="402">SUM(K63:K66)</f>
        <v>1263.984369</v>
      </c>
      <c r="L67" s="26">
        <f t="shared" ref="L67" si="403">SUM(L63:L66)</f>
        <v>-1245.5843690000002</v>
      </c>
      <c r="M67" s="26">
        <f t="shared" ref="M67" si="404">SUM(M63:M66)</f>
        <v>21660.290530830003</v>
      </c>
      <c r="N67" s="26">
        <f t="shared" ref="N67" si="405">SUM(N63:N66)</f>
        <v>22700.245710569998</v>
      </c>
      <c r="O67" s="26">
        <f t="shared" ref="O67" si="406">SUM(O63:O66)</f>
        <v>0</v>
      </c>
      <c r="P67" s="26">
        <f t="shared" ref="P67" si="407">SUM(P63:P66)</f>
        <v>0</v>
      </c>
      <c r="Q67" s="49" t="s">
        <v>52</v>
      </c>
      <c r="R67" s="27" t="s">
        <v>83</v>
      </c>
      <c r="S67" s="27" t="s">
        <v>97</v>
      </c>
      <c r="T67" s="26">
        <f t="shared" ref="T67" si="408">SUM(T63:T66)</f>
        <v>80</v>
      </c>
      <c r="U67" s="26">
        <f t="shared" ref="U67" si="409">SUM(U63:U66)</f>
        <v>251351</v>
      </c>
      <c r="V67" s="26">
        <f t="shared" ref="V67" si="410">SUM(V63:V66)</f>
        <v>15.43</v>
      </c>
      <c r="W67" s="26">
        <f t="shared" ref="W67" si="411">SUM(W63:W66)</f>
        <v>434.24756794999996</v>
      </c>
      <c r="X67" s="26">
        <f t="shared" ref="X67" si="412">SUM(X63:X66)</f>
        <v>-418.81756794999995</v>
      </c>
      <c r="Y67" s="26">
        <f t="shared" ref="Y67" si="413">SUM(Y63:Y66)</f>
        <v>21435.60677609</v>
      </c>
      <c r="Z67" s="26">
        <f t="shared" ref="Z67" si="414">SUM(Z63:Z66)</f>
        <v>21691.389801599998</v>
      </c>
      <c r="AA67" s="26">
        <f t="shared" ref="AA67" si="415">SUM(AA63:AA66)</f>
        <v>0</v>
      </c>
      <c r="AB67" s="26">
        <f t="shared" ref="AB67" si="416">SUM(AB63:AB66)</f>
        <v>0</v>
      </c>
      <c r="AC67" s="49" t="s">
        <v>52</v>
      </c>
      <c r="AD67" s="27" t="s">
        <v>83</v>
      </c>
      <c r="AE67" s="27" t="s">
        <v>97</v>
      </c>
      <c r="AF67" s="26">
        <f t="shared" ref="AF67" si="417">SUM(AF63:AF66)</f>
        <v>79</v>
      </c>
      <c r="AG67" s="26">
        <f t="shared" ref="AG67" si="418">SUM(AG63:AG66)</f>
        <v>249149</v>
      </c>
      <c r="AH67" s="26">
        <f t="shared" ref="AH67" si="419">SUM(AH63:AH66)</f>
        <v>15.55</v>
      </c>
      <c r="AI67" s="26">
        <f t="shared" ref="AI67" si="420">SUM(AI63:AI66)</f>
        <v>203.70820599999999</v>
      </c>
      <c r="AJ67" s="26">
        <f t="shared" ref="AJ67" si="421">SUM(AJ63:AJ66)</f>
        <v>-188.15820600000001</v>
      </c>
      <c r="AK67" s="26">
        <f t="shared" ref="AK67" si="422">SUM(AK63:AK66)</f>
        <v>21382.427813009999</v>
      </c>
      <c r="AL67" s="26">
        <f t="shared" ref="AL67" si="423">SUM(AL63:AL66)</f>
        <v>21463.4161527</v>
      </c>
      <c r="AM67" s="26">
        <f t="shared" ref="AM67" si="424">SUM(AM63:AM66)</f>
        <v>0</v>
      </c>
      <c r="AN67" s="26">
        <f t="shared" ref="AN67" si="425">SUM(AN63:AN66)</f>
        <v>0</v>
      </c>
      <c r="AO67" s="49" t="s">
        <v>52</v>
      </c>
      <c r="AP67" s="27" t="s">
        <v>83</v>
      </c>
      <c r="AQ67" s="27" t="s">
        <v>97</v>
      </c>
      <c r="AR67" s="26">
        <f t="shared" ref="AR67" si="426">SUM(AR63:AR66)</f>
        <v>78</v>
      </c>
      <c r="AS67" s="26">
        <f t="shared" ref="AS67" si="427">SUM(AS63:AS66)</f>
        <v>246687</v>
      </c>
      <c r="AT67" s="26">
        <f t="shared" ref="AT67" si="428">SUM(AT63:AT66)</f>
        <v>15.79</v>
      </c>
      <c r="AU67" s="26">
        <f t="shared" ref="AU67" si="429">SUM(AU63:AU66)</f>
        <v>116.86802300000009</v>
      </c>
      <c r="AV67" s="26">
        <f t="shared" ref="AV67" si="430">SUM(AV63:AV66)</f>
        <v>-101.07802300000009</v>
      </c>
      <c r="AW67" s="26">
        <f t="shared" ref="AW67" si="431">SUM(AW63:AW66)</f>
        <v>21308.884937549999</v>
      </c>
      <c r="AX67" s="26">
        <f t="shared" ref="AX67" si="432">SUM(AX63:AX66)</f>
        <v>21399.742169059999</v>
      </c>
      <c r="AY67" s="26">
        <f t="shared" ref="AY67" si="433">SUM(AY63:AY66)</f>
        <v>0</v>
      </c>
      <c r="AZ67" s="26">
        <f t="shared" ref="AZ67" si="434">SUM(AZ63:AZ66)</f>
        <v>0</v>
      </c>
      <c r="BA67" s="49" t="s">
        <v>52</v>
      </c>
      <c r="BB67" s="27" t="s">
        <v>83</v>
      </c>
      <c r="BC67" s="27" t="s">
        <v>97</v>
      </c>
      <c r="BD67" s="26">
        <f t="shared" ref="BD67" si="435">SUM(BD63:BD66)</f>
        <v>78</v>
      </c>
      <c r="BE67" s="26">
        <f t="shared" ref="BE67" si="436">SUM(BE63:BE66)</f>
        <v>245482</v>
      </c>
      <c r="BF67" s="26">
        <f t="shared" ref="BF67" si="437">SUM(BF63:BF66)</f>
        <v>14.32</v>
      </c>
      <c r="BG67" s="26">
        <f t="shared" ref="BG67" si="438">SUM(BG63:BG66)</f>
        <v>48.19</v>
      </c>
      <c r="BH67" s="26">
        <f t="shared" ref="BH67" si="439">SUM(BH63:BH66)</f>
        <v>-33.869999999999997</v>
      </c>
      <c r="BI67" s="26">
        <f t="shared" ref="BI67" si="440">SUM(BI63:BI66)</f>
        <v>21275.069644700001</v>
      </c>
      <c r="BJ67" s="26">
        <f t="shared" ref="BJ67" si="441">SUM(BJ63:BJ66)</f>
        <v>21327.944645260002</v>
      </c>
      <c r="BK67" s="26">
        <f t="shared" ref="BK67" si="442">SUM(BK63:BK66)</f>
        <v>0</v>
      </c>
      <c r="BL67" s="26">
        <f t="shared" ref="BL67" si="443">SUM(BL63:BL66)</f>
        <v>0</v>
      </c>
      <c r="BM67" s="49" t="s">
        <v>52</v>
      </c>
      <c r="BN67" s="27" t="s">
        <v>83</v>
      </c>
      <c r="BO67" s="27" t="s">
        <v>97</v>
      </c>
      <c r="BP67" s="26">
        <f t="shared" ref="BP67" si="444">SUM(BP63:BP66)</f>
        <v>76</v>
      </c>
      <c r="BQ67" s="26">
        <f t="shared" ref="BQ67" si="445">SUM(BQ63:BQ66)</f>
        <v>242621</v>
      </c>
      <c r="BR67" s="26">
        <f t="shared" ref="BR67" si="446">SUM(BR63:BR66)</f>
        <v>15.3</v>
      </c>
      <c r="BS67" s="26">
        <f t="shared" ref="BS67" si="447">SUM(BS63:BS66)</f>
        <v>326.52725787999998</v>
      </c>
      <c r="BT67" s="26">
        <f t="shared" ref="BT67" si="448">SUM(BT63:BT66)</f>
        <v>-311.22725787999997</v>
      </c>
      <c r="BU67" s="26">
        <f t="shared" ref="BU67" si="449">SUM(BU63:BU66)</f>
        <v>21062.547226679999</v>
      </c>
      <c r="BV67" s="26">
        <f t="shared" ref="BV67" si="450">SUM(BV63:BV66)</f>
        <v>21361.78250229</v>
      </c>
      <c r="BW67" s="26">
        <f t="shared" ref="BW67" si="451">SUM(BW63:BW66)</f>
        <v>0</v>
      </c>
      <c r="BX67" s="26">
        <f t="shared" ref="BX67" si="452">SUM(BX63:BX66)</f>
        <v>0</v>
      </c>
      <c r="BY67" s="49" t="s">
        <v>52</v>
      </c>
      <c r="BZ67" s="27" t="s">
        <v>83</v>
      </c>
      <c r="CA67" s="27" t="s">
        <v>97</v>
      </c>
      <c r="CB67" s="26">
        <f t="shared" ref="CB67" si="453">SUM(CB63:CB66)</f>
        <v>76</v>
      </c>
      <c r="CC67" s="26">
        <f t="shared" ref="CC67" si="454">SUM(CC63:CC66)</f>
        <v>241383</v>
      </c>
      <c r="CD67" s="26">
        <f t="shared" ref="CD67" si="455">SUM(CD63:CD66)</f>
        <v>14.53</v>
      </c>
      <c r="CE67" s="26">
        <f t="shared" ref="CE67" si="456">SUM(CE63:CE66)</f>
        <v>73.260000000000005</v>
      </c>
      <c r="CF67" s="26">
        <f t="shared" ref="CF67" si="457">SUM(CF63:CF66)</f>
        <v>-58.73</v>
      </c>
      <c r="CG67" s="26">
        <f t="shared" ref="CG67" si="458">SUM(CG63:CG66)</f>
        <v>21181.387637219999</v>
      </c>
      <c r="CH67" s="26">
        <f t="shared" ref="CH67" si="459">SUM(CH63:CH66)</f>
        <v>21186.182835300002</v>
      </c>
      <c r="CI67" s="26">
        <f t="shared" ref="CI67" si="460">SUM(CI63:CI66)</f>
        <v>0</v>
      </c>
      <c r="CJ67" s="26">
        <f t="shared" ref="CJ67" si="461">SUM(CJ63:CJ66)</f>
        <v>0</v>
      </c>
      <c r="CK67" s="49" t="s">
        <v>52</v>
      </c>
      <c r="CL67" s="27" t="s">
        <v>83</v>
      </c>
      <c r="CM67" s="27" t="s">
        <v>97</v>
      </c>
      <c r="CN67" s="26">
        <f t="shared" ref="CN67" si="462">SUM(CN63:CN66)</f>
        <v>75</v>
      </c>
      <c r="CO67" s="26">
        <f t="shared" ref="CO67" si="463">SUM(CO63:CO66)</f>
        <v>237166</v>
      </c>
      <c r="CP67" s="26">
        <f t="shared" ref="CP67" si="464">SUM(CP63:CP66)</f>
        <v>14.16</v>
      </c>
      <c r="CQ67" s="26">
        <f t="shared" ref="CQ67" si="465">SUM(CQ63:CQ66)</f>
        <v>464.00262800000002</v>
      </c>
      <c r="CR67" s="26">
        <f t="shared" ref="CR67" si="466">SUM(CR63:CR66)</f>
        <v>-449.84262799999999</v>
      </c>
      <c r="CS67" s="26">
        <f t="shared" ref="CS67" si="467">SUM(CS63:CS66)</f>
        <v>20815.612189920001</v>
      </c>
      <c r="CT67" s="26">
        <f t="shared" ref="CT67" si="468">SUM(CT63:CT66)</f>
        <v>20934.257483919999</v>
      </c>
      <c r="CU67" s="26">
        <f t="shared" ref="CU67" si="469">SUM(CU63:CU66)</f>
        <v>0</v>
      </c>
      <c r="CV67" s="26">
        <f t="shared" ref="CV67" si="470">SUM(CV63:CV66)</f>
        <v>0</v>
      </c>
      <c r="CW67" s="49" t="s">
        <v>52</v>
      </c>
      <c r="CX67" s="27" t="s">
        <v>83</v>
      </c>
      <c r="CY67" s="27" t="s">
        <v>97</v>
      </c>
      <c r="CZ67" s="26">
        <f t="shared" ref="CZ67" si="471">SUM(CZ63:CZ66)</f>
        <v>75</v>
      </c>
      <c r="DA67" s="26">
        <f t="shared" ref="DA67" si="472">SUM(DA63:DA66)</f>
        <v>236148</v>
      </c>
      <c r="DB67" s="26">
        <f t="shared" ref="DB67" si="473">SUM(DB63:DB66)</f>
        <v>15.74</v>
      </c>
      <c r="DC67" s="26">
        <f t="shared" ref="DC67" si="474">SUM(DC63:DC66)</f>
        <v>55.010000049999924</v>
      </c>
      <c r="DD67" s="78">
        <f t="shared" ref="DD67" si="475">SUM(DD63:DD66)</f>
        <v>-39.270000050000029</v>
      </c>
      <c r="DE67" s="114">
        <f t="shared" ref="DE67" si="476">SUM(DE63:DE66)</f>
        <v>20801.28224583</v>
      </c>
      <c r="DF67" s="26">
        <f t="shared" ref="DF67" si="477">SUM(DF63:DF66)</f>
        <v>20813.86834968</v>
      </c>
      <c r="DG67" s="26">
        <f t="shared" ref="DG67" si="478">SUM(DG63:DG66)</f>
        <v>0</v>
      </c>
      <c r="DH67" s="26">
        <f t="shared" ref="DH67" si="479">SUM(DH63:DH66)</f>
        <v>0</v>
      </c>
      <c r="DI67" s="49" t="s">
        <v>52</v>
      </c>
      <c r="DJ67" s="89" t="s">
        <v>83</v>
      </c>
      <c r="DK67" s="89" t="s">
        <v>97</v>
      </c>
      <c r="DL67" s="26">
        <f t="shared" ref="DL67:DT67" si="480">SUM(DL63:DL66)</f>
        <v>75</v>
      </c>
      <c r="DM67" s="26">
        <f t="shared" si="480"/>
        <v>235201</v>
      </c>
      <c r="DN67" s="26">
        <f t="shared" si="480"/>
        <v>15.41</v>
      </c>
      <c r="DO67" s="26">
        <f t="shared" si="480"/>
        <v>49.469999999999899</v>
      </c>
      <c r="DP67" s="78">
        <f t="shared" si="480"/>
        <v>-34.059999999999903</v>
      </c>
      <c r="DQ67" s="114">
        <f t="shared" si="480"/>
        <v>20737.152010309997</v>
      </c>
      <c r="DR67" s="26">
        <f t="shared" si="480"/>
        <v>20786.949170789998</v>
      </c>
      <c r="DS67" s="26">
        <f t="shared" si="480"/>
        <v>0</v>
      </c>
      <c r="DT67" s="26">
        <f t="shared" si="480"/>
        <v>0</v>
      </c>
      <c r="DU67" s="49" t="s">
        <v>52</v>
      </c>
      <c r="DV67" s="136"/>
      <c r="DW67" s="137"/>
      <c r="DX67" s="49" t="s">
        <v>52</v>
      </c>
      <c r="DY67" s="136">
        <f>(DN67-DB67)/DB67</f>
        <v>-2.0965692503176623E-2</v>
      </c>
      <c r="DZ67" s="137">
        <f>(DP67-DD67)/DD67</f>
        <v>-0.13267125142262692</v>
      </c>
      <c r="EA67" s="138">
        <f>(DR67-DF67)/DF67</f>
        <v>-1.2933289688274779E-3</v>
      </c>
    </row>
    <row r="68" spans="1:131" x14ac:dyDescent="0.5">
      <c r="A68" s="52"/>
      <c r="B68" s="7" t="s">
        <v>83</v>
      </c>
      <c r="C68" s="56"/>
      <c r="D68" s="56"/>
      <c r="E68" s="49" t="s">
        <v>52</v>
      </c>
      <c r="F68" s="52"/>
      <c r="G68" s="7" t="s">
        <v>83</v>
      </c>
      <c r="H68" s="55"/>
      <c r="I68" s="55"/>
      <c r="J68" s="56"/>
      <c r="K68" s="56"/>
      <c r="L68" s="56"/>
      <c r="M68" s="56"/>
      <c r="N68" s="56"/>
      <c r="O68" s="55"/>
      <c r="P68" s="56"/>
      <c r="Q68" s="49" t="s">
        <v>52</v>
      </c>
      <c r="R68" s="52"/>
      <c r="S68" s="7" t="s">
        <v>83</v>
      </c>
      <c r="T68" s="55"/>
      <c r="U68" s="55"/>
      <c r="V68" s="56"/>
      <c r="W68" s="56"/>
      <c r="X68" s="56"/>
      <c r="Y68" s="56"/>
      <c r="Z68" s="56"/>
      <c r="AA68" s="55"/>
      <c r="AB68" s="56"/>
      <c r="AC68" s="49" t="s">
        <v>52</v>
      </c>
      <c r="AD68" s="52"/>
      <c r="AE68" s="7" t="s">
        <v>83</v>
      </c>
      <c r="AF68" s="55"/>
      <c r="AG68" s="55"/>
      <c r="AH68" s="56"/>
      <c r="AI68" s="56"/>
      <c r="AJ68" s="56"/>
      <c r="AK68" s="56"/>
      <c r="AL68" s="56"/>
      <c r="AM68" s="55"/>
      <c r="AN68" s="56"/>
      <c r="AO68" s="49" t="s">
        <v>52</v>
      </c>
      <c r="AP68" s="52"/>
      <c r="AQ68" s="7" t="s">
        <v>83</v>
      </c>
      <c r="AR68" s="55"/>
      <c r="AS68" s="55"/>
      <c r="AT68" s="56"/>
      <c r="AU68" s="56"/>
      <c r="AV68" s="56"/>
      <c r="AW68" s="56"/>
      <c r="AX68" s="56"/>
      <c r="AY68" s="55"/>
      <c r="AZ68" s="56"/>
      <c r="BA68" s="49" t="s">
        <v>52</v>
      </c>
      <c r="BB68" s="52"/>
      <c r="BC68" s="7" t="s">
        <v>83</v>
      </c>
      <c r="BD68" s="55"/>
      <c r="BE68" s="55"/>
      <c r="BF68" s="56"/>
      <c r="BG68" s="56"/>
      <c r="BH68" s="56"/>
      <c r="BI68" s="56"/>
      <c r="BJ68" s="56"/>
      <c r="BK68" s="55"/>
      <c r="BL68" s="56"/>
      <c r="BM68" s="49" t="s">
        <v>52</v>
      </c>
      <c r="BN68" s="57"/>
      <c r="BO68" s="7" t="s">
        <v>83</v>
      </c>
      <c r="BP68" s="55"/>
      <c r="BQ68" s="55"/>
      <c r="BR68" s="56"/>
      <c r="BS68" s="56"/>
      <c r="BT68" s="56"/>
      <c r="BU68" s="56"/>
      <c r="BV68" s="56"/>
      <c r="BW68" s="58"/>
      <c r="BX68" s="59"/>
      <c r="BY68" s="49" t="s">
        <v>52</v>
      </c>
      <c r="BZ68" s="57"/>
      <c r="CA68" s="7" t="s">
        <v>83</v>
      </c>
      <c r="CB68" s="55"/>
      <c r="CC68" s="55"/>
      <c r="CD68" s="56"/>
      <c r="CE68" s="56"/>
      <c r="CF68" s="56"/>
      <c r="CG68" s="56"/>
      <c r="CH68" s="56"/>
      <c r="CI68" s="58"/>
      <c r="CJ68" s="59"/>
      <c r="CK68" s="49" t="s">
        <v>52</v>
      </c>
      <c r="CL68" s="52"/>
      <c r="CM68" s="7" t="s">
        <v>83</v>
      </c>
      <c r="CN68" s="55"/>
      <c r="CO68" s="55"/>
      <c r="CP68" s="56"/>
      <c r="CQ68" s="56"/>
      <c r="CR68" s="56"/>
      <c r="CS68" s="56"/>
      <c r="CT68" s="56"/>
      <c r="CU68" s="58"/>
      <c r="CV68" s="56"/>
      <c r="CW68" s="49" t="s">
        <v>52</v>
      </c>
      <c r="CX68" s="52"/>
      <c r="CY68" s="7" t="s">
        <v>83</v>
      </c>
      <c r="CZ68" s="55"/>
      <c r="DA68" s="55"/>
      <c r="DB68" s="56"/>
      <c r="DC68" s="56"/>
      <c r="DD68" s="56"/>
      <c r="DE68" s="56"/>
      <c r="DF68" s="56"/>
      <c r="DG68" s="55"/>
      <c r="DH68" s="56"/>
      <c r="DI68" s="2" t="s">
        <v>52</v>
      </c>
      <c r="DJ68" s="84"/>
      <c r="DK68" s="90" t="s">
        <v>83</v>
      </c>
      <c r="DL68" s="83"/>
      <c r="DM68" s="83"/>
      <c r="DN68" s="84"/>
      <c r="DO68" s="84"/>
      <c r="DP68" s="84"/>
      <c r="DQ68" s="84"/>
      <c r="DR68" s="84"/>
      <c r="DS68" s="83"/>
      <c r="DT68" s="84"/>
      <c r="DU68" s="2" t="s">
        <v>52</v>
      </c>
      <c r="DV68" s="107"/>
      <c r="DW68" s="107"/>
      <c r="DX68" s="2" t="s">
        <v>52</v>
      </c>
      <c r="DY68" s="107" t="s">
        <v>52</v>
      </c>
      <c r="DZ68" s="107" t="s">
        <v>52</v>
      </c>
      <c r="EA68" s="110" t="s">
        <v>52</v>
      </c>
    </row>
    <row r="69" spans="1:131" x14ac:dyDescent="0.5">
      <c r="A69" s="50" t="s">
        <v>88</v>
      </c>
      <c r="B69" s="22" t="s">
        <v>87</v>
      </c>
      <c r="C69" s="56"/>
      <c r="D69" s="56"/>
      <c r="E69" s="49" t="s">
        <v>52</v>
      </c>
      <c r="F69" s="50" t="s">
        <v>88</v>
      </c>
      <c r="G69" s="22" t="s">
        <v>87</v>
      </c>
      <c r="H69" s="55"/>
      <c r="I69" s="55"/>
      <c r="J69" s="56"/>
      <c r="K69" s="56"/>
      <c r="L69" s="56"/>
      <c r="M69" s="56"/>
      <c r="N69" s="56"/>
      <c r="O69" s="55"/>
      <c r="P69" s="56"/>
      <c r="Q69" s="49" t="s">
        <v>52</v>
      </c>
      <c r="R69" s="50" t="s">
        <v>88</v>
      </c>
      <c r="S69" s="22" t="s">
        <v>87</v>
      </c>
      <c r="T69" s="55"/>
      <c r="U69" s="55"/>
      <c r="V69" s="56"/>
      <c r="W69" s="56"/>
      <c r="X69" s="56"/>
      <c r="Y69" s="56"/>
      <c r="Z69" s="56"/>
      <c r="AA69" s="55"/>
      <c r="AB69" s="56"/>
      <c r="AC69" s="49" t="s">
        <v>52</v>
      </c>
      <c r="AD69" s="50" t="s">
        <v>88</v>
      </c>
      <c r="AE69" s="22" t="s">
        <v>87</v>
      </c>
      <c r="AF69" s="55"/>
      <c r="AG69" s="55"/>
      <c r="AH69" s="56"/>
      <c r="AI69" s="56"/>
      <c r="AJ69" s="56"/>
      <c r="AK69" s="56"/>
      <c r="AL69" s="56"/>
      <c r="AM69" s="55"/>
      <c r="AN69" s="56"/>
      <c r="AO69" s="49" t="s">
        <v>52</v>
      </c>
      <c r="AP69" s="50" t="s">
        <v>88</v>
      </c>
      <c r="AQ69" s="22" t="s">
        <v>87</v>
      </c>
      <c r="AR69" s="55"/>
      <c r="AS69" s="55"/>
      <c r="AT69" s="56"/>
      <c r="AU69" s="56"/>
      <c r="AV69" s="56"/>
      <c r="AW69" s="56"/>
      <c r="AX69" s="56"/>
      <c r="AY69" s="55"/>
      <c r="AZ69" s="56"/>
      <c r="BA69" s="49" t="s">
        <v>52</v>
      </c>
      <c r="BB69" s="50" t="s">
        <v>88</v>
      </c>
      <c r="BC69" s="22" t="s">
        <v>87</v>
      </c>
      <c r="BD69" s="55"/>
      <c r="BE69" s="55"/>
      <c r="BF69" s="56"/>
      <c r="BG69" s="56"/>
      <c r="BH69" s="56"/>
      <c r="BI69" s="56"/>
      <c r="BJ69" s="56"/>
      <c r="BK69" s="55"/>
      <c r="BL69" s="56"/>
      <c r="BM69" s="49" t="s">
        <v>52</v>
      </c>
      <c r="BN69" s="51" t="s">
        <v>88</v>
      </c>
      <c r="BO69" s="22" t="s">
        <v>87</v>
      </c>
      <c r="BP69" s="55"/>
      <c r="BQ69" s="55"/>
      <c r="BR69" s="56"/>
      <c r="BS69" s="56"/>
      <c r="BT69" s="56"/>
      <c r="BU69" s="56"/>
      <c r="BV69" s="56"/>
      <c r="BW69" s="58"/>
      <c r="BX69" s="59"/>
      <c r="BY69" s="49" t="s">
        <v>52</v>
      </c>
      <c r="BZ69" s="51" t="s">
        <v>88</v>
      </c>
      <c r="CA69" s="22" t="s">
        <v>87</v>
      </c>
      <c r="CB69" s="55"/>
      <c r="CC69" s="55"/>
      <c r="CD69" s="56"/>
      <c r="CE69" s="56"/>
      <c r="CF69" s="56"/>
      <c r="CG69" s="56"/>
      <c r="CH69" s="56"/>
      <c r="CI69" s="58"/>
      <c r="CJ69" s="59"/>
      <c r="CK69" s="49" t="s">
        <v>52</v>
      </c>
      <c r="CL69" s="50" t="s">
        <v>88</v>
      </c>
      <c r="CM69" s="22" t="s">
        <v>87</v>
      </c>
      <c r="CN69" s="55"/>
      <c r="CO69" s="55"/>
      <c r="CP69" s="56"/>
      <c r="CQ69" s="56"/>
      <c r="CR69" s="56"/>
      <c r="CS69" s="56"/>
      <c r="CT69" s="56"/>
      <c r="CU69" s="58"/>
      <c r="CV69" s="56"/>
      <c r="CW69" s="49" t="s">
        <v>52</v>
      </c>
      <c r="CX69" s="50" t="s">
        <v>88</v>
      </c>
      <c r="CY69" s="22" t="s">
        <v>87</v>
      </c>
      <c r="CZ69" s="55"/>
      <c r="DA69" s="55"/>
      <c r="DB69" s="56"/>
      <c r="DC69" s="56"/>
      <c r="DD69" s="56"/>
      <c r="DE69" s="56"/>
      <c r="DF69" s="56"/>
      <c r="DG69" s="55"/>
      <c r="DH69" s="56"/>
      <c r="DI69" s="2" t="s">
        <v>52</v>
      </c>
      <c r="DJ69" s="80" t="s">
        <v>88</v>
      </c>
      <c r="DK69" s="82" t="s">
        <v>87</v>
      </c>
      <c r="DL69" s="83"/>
      <c r="DM69" s="83"/>
      <c r="DN69" s="84"/>
      <c r="DO69" s="84"/>
      <c r="DP69" s="84"/>
      <c r="DQ69" s="84"/>
      <c r="DR69" s="84"/>
      <c r="DS69" s="83"/>
      <c r="DT69" s="84"/>
      <c r="DU69" s="2" t="s">
        <v>52</v>
      </c>
      <c r="DV69" s="107"/>
      <c r="DW69" s="107"/>
      <c r="DX69" s="2" t="s">
        <v>52</v>
      </c>
      <c r="DY69" s="107" t="s">
        <v>52</v>
      </c>
      <c r="DZ69" s="107" t="s">
        <v>52</v>
      </c>
      <c r="EA69" s="110" t="s">
        <v>52</v>
      </c>
    </row>
    <row r="70" spans="1:131" x14ac:dyDescent="0.5">
      <c r="A70" s="17" t="s">
        <v>96</v>
      </c>
      <c r="B70" s="16" t="s">
        <v>15</v>
      </c>
      <c r="C70" s="21">
        <v>4034.5204710500002</v>
      </c>
      <c r="D70" s="21">
        <v>3977.8897398200002</v>
      </c>
      <c r="E70" s="49" t="s">
        <v>52</v>
      </c>
      <c r="F70" s="17" t="s">
        <v>96</v>
      </c>
      <c r="G70" s="16" t="s">
        <v>15</v>
      </c>
      <c r="H70" s="15">
        <v>15</v>
      </c>
      <c r="I70" s="15">
        <v>258637</v>
      </c>
      <c r="J70" s="14">
        <v>0</v>
      </c>
      <c r="K70" s="14">
        <v>15.59950497</v>
      </c>
      <c r="L70" s="14">
        <v>-15.59950497</v>
      </c>
      <c r="M70" s="14">
        <v>4174.2776966900001</v>
      </c>
      <c r="N70" s="14">
        <v>4052.9507226800001</v>
      </c>
      <c r="O70" s="15">
        <v>0</v>
      </c>
      <c r="P70" s="14">
        <v>0</v>
      </c>
      <c r="Q70" s="49" t="s">
        <v>52</v>
      </c>
      <c r="R70" s="17" t="s">
        <v>96</v>
      </c>
      <c r="S70" s="16" t="s">
        <v>15</v>
      </c>
      <c r="T70" s="15">
        <v>15</v>
      </c>
      <c r="U70" s="15">
        <v>257771</v>
      </c>
      <c r="V70" s="14">
        <v>0</v>
      </c>
      <c r="W70" s="14">
        <v>18.563768589999999</v>
      </c>
      <c r="X70" s="14">
        <v>-18.563768589999999</v>
      </c>
      <c r="Y70" s="14">
        <v>4272.9352847500004</v>
      </c>
      <c r="Z70" s="14">
        <v>4227.2001689899998</v>
      </c>
      <c r="AA70" s="15">
        <v>0</v>
      </c>
      <c r="AB70" s="14">
        <v>0</v>
      </c>
      <c r="AC70" s="49" t="s">
        <v>52</v>
      </c>
      <c r="AD70" s="17" t="s">
        <v>96</v>
      </c>
      <c r="AE70" s="16" t="s">
        <v>15</v>
      </c>
      <c r="AF70" s="15">
        <v>15</v>
      </c>
      <c r="AG70" s="15">
        <v>256846</v>
      </c>
      <c r="AH70" s="14">
        <v>0</v>
      </c>
      <c r="AI70" s="14">
        <v>19.118207330000001</v>
      </c>
      <c r="AJ70" s="14">
        <v>-19.118207330000001</v>
      </c>
      <c r="AK70" s="14">
        <v>4398.6399430499996</v>
      </c>
      <c r="AL70" s="14">
        <v>4324.4088412499996</v>
      </c>
      <c r="AM70" s="15">
        <v>0</v>
      </c>
      <c r="AN70" s="14">
        <v>0</v>
      </c>
      <c r="AO70" s="49" t="s">
        <v>52</v>
      </c>
      <c r="AP70" s="17" t="s">
        <v>96</v>
      </c>
      <c r="AQ70" s="16" t="s">
        <v>15</v>
      </c>
      <c r="AR70" s="15">
        <v>15</v>
      </c>
      <c r="AS70" s="15">
        <v>255907</v>
      </c>
      <c r="AT70" s="14">
        <v>0</v>
      </c>
      <c r="AU70" s="14">
        <v>29.724394920000002</v>
      </c>
      <c r="AV70" s="14">
        <v>-29.724394920000002</v>
      </c>
      <c r="AW70" s="14">
        <v>4275.5324295299997</v>
      </c>
      <c r="AX70" s="14">
        <v>4342.1080260299996</v>
      </c>
      <c r="AY70" s="15">
        <v>0</v>
      </c>
      <c r="AZ70" s="14">
        <v>0</v>
      </c>
      <c r="BA70" s="49" t="s">
        <v>52</v>
      </c>
      <c r="BB70" s="17" t="s">
        <v>96</v>
      </c>
      <c r="BC70" s="16" t="s">
        <v>15</v>
      </c>
      <c r="BD70" s="15">
        <v>15</v>
      </c>
      <c r="BE70" s="15">
        <v>255243</v>
      </c>
      <c r="BF70" s="14">
        <v>0</v>
      </c>
      <c r="BG70" s="14">
        <v>13.044299649999999</v>
      </c>
      <c r="BH70" s="14">
        <v>-13.044299649999999</v>
      </c>
      <c r="BI70" s="14">
        <v>4219.1555947400002</v>
      </c>
      <c r="BJ70" s="14">
        <v>4244.9541176000002</v>
      </c>
      <c r="BK70" s="15">
        <v>0</v>
      </c>
      <c r="BL70" s="14">
        <v>0</v>
      </c>
      <c r="BM70" s="49" t="s">
        <v>52</v>
      </c>
      <c r="BN70" s="20" t="s">
        <v>96</v>
      </c>
      <c r="BO70" s="16" t="s">
        <v>15</v>
      </c>
      <c r="BP70" s="15">
        <v>15</v>
      </c>
      <c r="BQ70" s="15">
        <v>254488</v>
      </c>
      <c r="BR70" s="14">
        <v>0</v>
      </c>
      <c r="BS70" s="14">
        <v>16.916785099999998</v>
      </c>
      <c r="BT70" s="14">
        <v>-16.916785099999998</v>
      </c>
      <c r="BU70" s="14">
        <v>4230.7822410799999</v>
      </c>
      <c r="BV70" s="14">
        <v>4297.0678573599998</v>
      </c>
      <c r="BW70" s="18">
        <v>0</v>
      </c>
      <c r="BX70" s="19">
        <v>0</v>
      </c>
      <c r="BY70" s="49" t="s">
        <v>52</v>
      </c>
      <c r="BZ70" s="20" t="s">
        <v>96</v>
      </c>
      <c r="CA70" s="16" t="s">
        <v>15</v>
      </c>
      <c r="CB70" s="15">
        <v>15</v>
      </c>
      <c r="CC70" s="15">
        <v>253748</v>
      </c>
      <c r="CD70" s="14">
        <v>0</v>
      </c>
      <c r="CE70" s="14">
        <v>18.71692779</v>
      </c>
      <c r="CF70" s="14">
        <v>-18.71692779</v>
      </c>
      <c r="CG70" s="14">
        <v>4346.9907243300004</v>
      </c>
      <c r="CH70" s="14">
        <v>4332.3777244299999</v>
      </c>
      <c r="CI70" s="18">
        <v>0</v>
      </c>
      <c r="CJ70" s="19">
        <v>0</v>
      </c>
      <c r="CK70" s="49" t="s">
        <v>52</v>
      </c>
      <c r="CL70" s="17" t="s">
        <v>96</v>
      </c>
      <c r="CM70" s="16" t="s">
        <v>15</v>
      </c>
      <c r="CN70" s="15">
        <v>15</v>
      </c>
      <c r="CO70" s="15">
        <v>252978</v>
      </c>
      <c r="CP70" s="14">
        <v>0</v>
      </c>
      <c r="CQ70" s="14">
        <v>17.437277559999998</v>
      </c>
      <c r="CR70" s="14">
        <v>-17.437277559999998</v>
      </c>
      <c r="CS70" s="14">
        <v>4370.8469719699997</v>
      </c>
      <c r="CT70" s="14">
        <v>4347.75997224</v>
      </c>
      <c r="CU70" s="18">
        <v>0</v>
      </c>
      <c r="CV70" s="14">
        <v>0</v>
      </c>
      <c r="CW70" s="49" t="s">
        <v>52</v>
      </c>
      <c r="CX70" s="17" t="s">
        <v>96</v>
      </c>
      <c r="CY70" s="16" t="s">
        <v>15</v>
      </c>
      <c r="CZ70" s="15">
        <v>15</v>
      </c>
      <c r="DA70" s="15">
        <v>252071</v>
      </c>
      <c r="DB70" s="14">
        <v>0</v>
      </c>
      <c r="DC70" s="14">
        <v>19.2519785</v>
      </c>
      <c r="DD70" s="14">
        <v>-19.2519785</v>
      </c>
      <c r="DE70" s="112">
        <v>4342.8818170200002</v>
      </c>
      <c r="DF70" s="14">
        <v>4334.9311355600003</v>
      </c>
      <c r="DG70" s="15">
        <v>0</v>
      </c>
      <c r="DH70" s="14">
        <v>0</v>
      </c>
      <c r="DI70" s="2" t="s">
        <v>52</v>
      </c>
      <c r="DJ70" s="85" t="s">
        <v>96</v>
      </c>
      <c r="DK70" s="86" t="s">
        <v>15</v>
      </c>
      <c r="DL70" s="87">
        <v>15</v>
      </c>
      <c r="DM70" s="87">
        <v>251406</v>
      </c>
      <c r="DN70" s="88">
        <v>0</v>
      </c>
      <c r="DO70" s="88">
        <v>15.424994959999999</v>
      </c>
      <c r="DP70" s="88">
        <v>-15.424994959999999</v>
      </c>
      <c r="DQ70" s="111">
        <v>4196.2202251999997</v>
      </c>
      <c r="DR70" s="88">
        <v>4258.50841021</v>
      </c>
      <c r="DS70" s="87">
        <v>0</v>
      </c>
      <c r="DT70" s="88">
        <v>0</v>
      </c>
      <c r="DU70" s="2" t="s">
        <v>52</v>
      </c>
      <c r="DV70" s="136"/>
      <c r="DW70" s="137"/>
      <c r="DX70" s="2" t="s">
        <v>52</v>
      </c>
      <c r="DY70" s="136">
        <v>0</v>
      </c>
      <c r="DZ70" s="137">
        <f t="shared" ref="DZ70" si="481">(DP70-DD70)/DD70</f>
        <v>-0.19878390888500111</v>
      </c>
      <c r="EA70" s="138">
        <f t="shared" ref="EA70" si="482">(DR70-DF70)/DF70</f>
        <v>-1.7629513124924823E-2</v>
      </c>
    </row>
    <row r="71" spans="1:131" x14ac:dyDescent="0.5">
      <c r="A71" s="17" t="s">
        <v>95</v>
      </c>
      <c r="B71" s="16" t="s">
        <v>94</v>
      </c>
      <c r="C71" s="21">
        <v>0</v>
      </c>
      <c r="D71" s="21">
        <v>0</v>
      </c>
      <c r="E71" s="49" t="s">
        <v>52</v>
      </c>
      <c r="F71" s="17" t="s">
        <v>95</v>
      </c>
      <c r="G71" s="16" t="s">
        <v>94</v>
      </c>
      <c r="H71" s="15">
        <v>0</v>
      </c>
      <c r="I71" s="15">
        <v>0</v>
      </c>
      <c r="J71" s="14">
        <v>0</v>
      </c>
      <c r="K71" s="14">
        <v>0</v>
      </c>
      <c r="L71" s="14">
        <v>0</v>
      </c>
      <c r="M71" s="14">
        <v>0</v>
      </c>
      <c r="N71" s="14">
        <v>0</v>
      </c>
      <c r="O71" s="15">
        <v>0</v>
      </c>
      <c r="P71" s="14">
        <v>0</v>
      </c>
      <c r="Q71" s="49" t="s">
        <v>52</v>
      </c>
      <c r="R71" s="17" t="s">
        <v>95</v>
      </c>
      <c r="S71" s="16" t="s">
        <v>94</v>
      </c>
      <c r="T71" s="15">
        <v>0</v>
      </c>
      <c r="U71" s="15">
        <v>0</v>
      </c>
      <c r="V71" s="14">
        <v>0</v>
      </c>
      <c r="W71" s="14">
        <v>0</v>
      </c>
      <c r="X71" s="14">
        <v>0</v>
      </c>
      <c r="Y71" s="14">
        <v>0</v>
      </c>
      <c r="Z71" s="14">
        <v>0</v>
      </c>
      <c r="AA71" s="15">
        <v>0</v>
      </c>
      <c r="AB71" s="14">
        <v>0</v>
      </c>
      <c r="AC71" s="49" t="s">
        <v>52</v>
      </c>
      <c r="AD71" s="17" t="s">
        <v>95</v>
      </c>
      <c r="AE71" s="16" t="s">
        <v>94</v>
      </c>
      <c r="AF71" s="15">
        <v>0</v>
      </c>
      <c r="AG71" s="15">
        <v>0</v>
      </c>
      <c r="AH71" s="14">
        <v>0</v>
      </c>
      <c r="AI71" s="14">
        <v>0</v>
      </c>
      <c r="AJ71" s="14">
        <v>0</v>
      </c>
      <c r="AK71" s="14">
        <v>0</v>
      </c>
      <c r="AL71" s="14">
        <v>0</v>
      </c>
      <c r="AM71" s="15">
        <v>0</v>
      </c>
      <c r="AN71" s="14">
        <v>0</v>
      </c>
      <c r="AO71" s="49" t="s">
        <v>52</v>
      </c>
      <c r="AP71" s="17" t="s">
        <v>95</v>
      </c>
      <c r="AQ71" s="16" t="s">
        <v>94</v>
      </c>
      <c r="AR71" s="15">
        <v>0</v>
      </c>
      <c r="AS71" s="15">
        <v>0</v>
      </c>
      <c r="AT71" s="14">
        <v>0</v>
      </c>
      <c r="AU71" s="14">
        <v>0</v>
      </c>
      <c r="AV71" s="14">
        <v>0</v>
      </c>
      <c r="AW71" s="14">
        <v>0</v>
      </c>
      <c r="AX71" s="14">
        <v>0</v>
      </c>
      <c r="AY71" s="15">
        <v>0</v>
      </c>
      <c r="AZ71" s="14">
        <v>0</v>
      </c>
      <c r="BA71" s="49" t="s">
        <v>52</v>
      </c>
      <c r="BB71" s="17" t="s">
        <v>95</v>
      </c>
      <c r="BC71" s="16" t="s">
        <v>94</v>
      </c>
      <c r="BD71" s="15">
        <v>0</v>
      </c>
      <c r="BE71" s="15">
        <v>0</v>
      </c>
      <c r="BF71" s="14">
        <v>0</v>
      </c>
      <c r="BG71" s="14">
        <v>0</v>
      </c>
      <c r="BH71" s="14">
        <v>0</v>
      </c>
      <c r="BI71" s="14">
        <v>0</v>
      </c>
      <c r="BJ71" s="14">
        <v>0</v>
      </c>
      <c r="BK71" s="15">
        <v>0</v>
      </c>
      <c r="BL71" s="14">
        <v>0</v>
      </c>
      <c r="BM71" s="49" t="s">
        <v>52</v>
      </c>
      <c r="BN71" s="20" t="s">
        <v>95</v>
      </c>
      <c r="BO71" s="16" t="s">
        <v>94</v>
      </c>
      <c r="BP71" s="15">
        <v>0</v>
      </c>
      <c r="BQ71" s="15">
        <v>0</v>
      </c>
      <c r="BR71" s="14">
        <v>0</v>
      </c>
      <c r="BS71" s="14">
        <v>0</v>
      </c>
      <c r="BT71" s="14">
        <v>0</v>
      </c>
      <c r="BU71" s="14">
        <v>0</v>
      </c>
      <c r="BV71" s="14">
        <v>0</v>
      </c>
      <c r="BW71" s="18">
        <v>0</v>
      </c>
      <c r="BX71" s="19">
        <v>0</v>
      </c>
      <c r="BY71" s="49" t="s">
        <v>52</v>
      </c>
      <c r="BZ71" s="20" t="s">
        <v>95</v>
      </c>
      <c r="CA71" s="16" t="s">
        <v>94</v>
      </c>
      <c r="CB71" s="15">
        <v>0</v>
      </c>
      <c r="CC71" s="15">
        <v>0</v>
      </c>
      <c r="CD71" s="14">
        <v>0</v>
      </c>
      <c r="CE71" s="14">
        <v>0</v>
      </c>
      <c r="CF71" s="14">
        <v>0</v>
      </c>
      <c r="CG71" s="14">
        <v>0</v>
      </c>
      <c r="CH71" s="14">
        <v>0</v>
      </c>
      <c r="CI71" s="18">
        <v>0</v>
      </c>
      <c r="CJ71" s="19">
        <v>0</v>
      </c>
      <c r="CK71" s="49" t="s">
        <v>52</v>
      </c>
      <c r="CL71" s="17" t="s">
        <v>95</v>
      </c>
      <c r="CM71" s="16" t="s">
        <v>94</v>
      </c>
      <c r="CN71" s="15">
        <v>0</v>
      </c>
      <c r="CO71" s="15">
        <v>0</v>
      </c>
      <c r="CP71" s="14">
        <v>0</v>
      </c>
      <c r="CQ71" s="14">
        <v>0</v>
      </c>
      <c r="CR71" s="14">
        <v>0</v>
      </c>
      <c r="CS71" s="14">
        <v>0</v>
      </c>
      <c r="CT71" s="14">
        <v>0</v>
      </c>
      <c r="CU71" s="18">
        <v>0</v>
      </c>
      <c r="CV71" s="14">
        <v>0</v>
      </c>
      <c r="CW71" s="49" t="s">
        <v>52</v>
      </c>
      <c r="CX71" s="17" t="s">
        <v>95</v>
      </c>
      <c r="CY71" s="16" t="s">
        <v>94</v>
      </c>
      <c r="CZ71" s="15">
        <v>0</v>
      </c>
      <c r="DA71" s="15">
        <v>0</v>
      </c>
      <c r="DB71" s="14">
        <v>0</v>
      </c>
      <c r="DC71" s="14">
        <v>0</v>
      </c>
      <c r="DD71" s="14">
        <v>0</v>
      </c>
      <c r="DE71" s="14">
        <v>0</v>
      </c>
      <c r="DF71" s="14">
        <v>0</v>
      </c>
      <c r="DG71" s="15">
        <v>0</v>
      </c>
      <c r="DH71" s="14">
        <v>0</v>
      </c>
      <c r="DI71" s="2" t="s">
        <v>52</v>
      </c>
      <c r="DJ71" s="85" t="s">
        <v>95</v>
      </c>
      <c r="DK71" s="86" t="s">
        <v>94</v>
      </c>
      <c r="DL71" s="87">
        <v>0</v>
      </c>
      <c r="DM71" s="87">
        <v>0</v>
      </c>
      <c r="DN71" s="88">
        <v>0</v>
      </c>
      <c r="DO71" s="88">
        <v>0</v>
      </c>
      <c r="DP71" s="88">
        <v>0</v>
      </c>
      <c r="DQ71" s="88">
        <v>0</v>
      </c>
      <c r="DR71" s="88">
        <v>0</v>
      </c>
      <c r="DS71" s="87">
        <v>0</v>
      </c>
      <c r="DT71" s="88">
        <v>0</v>
      </c>
      <c r="DU71" s="2" t="s">
        <v>52</v>
      </c>
      <c r="DV71" s="107"/>
      <c r="DW71" s="107"/>
      <c r="DX71" s="2" t="s">
        <v>52</v>
      </c>
      <c r="DY71" s="107" t="s">
        <v>52</v>
      </c>
      <c r="DZ71" s="107" t="s">
        <v>52</v>
      </c>
      <c r="EA71" s="110" t="s">
        <v>52</v>
      </c>
    </row>
    <row r="72" spans="1:131" x14ac:dyDescent="0.5">
      <c r="A72" s="27" t="s">
        <v>83</v>
      </c>
      <c r="B72" s="27" t="s">
        <v>93</v>
      </c>
      <c r="C72" s="26">
        <f t="shared" ref="C72:D72" si="483">SUM(C70:C71)</f>
        <v>4034.5204710500002</v>
      </c>
      <c r="D72" s="26">
        <f t="shared" si="483"/>
        <v>3977.8897398200002</v>
      </c>
      <c r="E72" s="49" t="s">
        <v>52</v>
      </c>
      <c r="F72" s="27" t="s">
        <v>83</v>
      </c>
      <c r="G72" s="27" t="s">
        <v>93</v>
      </c>
      <c r="H72" s="26">
        <f t="shared" ref="H72" si="484">SUM(H70:H71)</f>
        <v>15</v>
      </c>
      <c r="I72" s="26">
        <f t="shared" ref="I72" si="485">SUM(I70:I71)</f>
        <v>258637</v>
      </c>
      <c r="J72" s="26">
        <f t="shared" ref="J72" si="486">SUM(J70:J71)</f>
        <v>0</v>
      </c>
      <c r="K72" s="26">
        <f t="shared" ref="K72" si="487">SUM(K70:K71)</f>
        <v>15.59950497</v>
      </c>
      <c r="L72" s="26">
        <f t="shared" ref="L72" si="488">SUM(L70:L71)</f>
        <v>-15.59950497</v>
      </c>
      <c r="M72" s="26">
        <f t="shared" ref="M72" si="489">SUM(M70:M71)</f>
        <v>4174.2776966900001</v>
      </c>
      <c r="N72" s="26">
        <f t="shared" ref="N72" si="490">SUM(N70:N71)</f>
        <v>4052.9507226800001</v>
      </c>
      <c r="O72" s="26">
        <f t="shared" ref="O72" si="491">SUM(O70:O71)</f>
        <v>0</v>
      </c>
      <c r="P72" s="26">
        <f t="shared" ref="P72" si="492">SUM(P70:P71)</f>
        <v>0</v>
      </c>
      <c r="Q72" s="49" t="s">
        <v>52</v>
      </c>
      <c r="R72" s="27" t="s">
        <v>83</v>
      </c>
      <c r="S72" s="27" t="s">
        <v>93</v>
      </c>
      <c r="T72" s="26">
        <f t="shared" ref="T72" si="493">SUM(T70:T71)</f>
        <v>15</v>
      </c>
      <c r="U72" s="26">
        <f t="shared" ref="U72" si="494">SUM(U70:U71)</f>
        <v>257771</v>
      </c>
      <c r="V72" s="26">
        <f t="shared" ref="V72" si="495">SUM(V70:V71)</f>
        <v>0</v>
      </c>
      <c r="W72" s="26">
        <f t="shared" ref="W72" si="496">SUM(W70:W71)</f>
        <v>18.563768589999999</v>
      </c>
      <c r="X72" s="26">
        <f t="shared" ref="X72" si="497">SUM(X70:X71)</f>
        <v>-18.563768589999999</v>
      </c>
      <c r="Y72" s="26">
        <f t="shared" ref="Y72" si="498">SUM(Y70:Y71)</f>
        <v>4272.9352847500004</v>
      </c>
      <c r="Z72" s="26">
        <f t="shared" ref="Z72" si="499">SUM(Z70:Z71)</f>
        <v>4227.2001689899998</v>
      </c>
      <c r="AA72" s="26">
        <f t="shared" ref="AA72" si="500">SUM(AA70:AA71)</f>
        <v>0</v>
      </c>
      <c r="AB72" s="26">
        <f t="shared" ref="AB72" si="501">SUM(AB70:AB71)</f>
        <v>0</v>
      </c>
      <c r="AC72" s="49" t="s">
        <v>52</v>
      </c>
      <c r="AD72" s="27" t="s">
        <v>83</v>
      </c>
      <c r="AE72" s="27" t="s">
        <v>93</v>
      </c>
      <c r="AF72" s="26">
        <f t="shared" ref="AF72" si="502">SUM(AF70:AF71)</f>
        <v>15</v>
      </c>
      <c r="AG72" s="26">
        <f t="shared" ref="AG72" si="503">SUM(AG70:AG71)</f>
        <v>256846</v>
      </c>
      <c r="AH72" s="26">
        <f t="shared" ref="AH72" si="504">SUM(AH70:AH71)</f>
        <v>0</v>
      </c>
      <c r="AI72" s="26">
        <f t="shared" ref="AI72" si="505">SUM(AI70:AI71)</f>
        <v>19.118207330000001</v>
      </c>
      <c r="AJ72" s="26">
        <f t="shared" ref="AJ72" si="506">SUM(AJ70:AJ71)</f>
        <v>-19.118207330000001</v>
      </c>
      <c r="AK72" s="26">
        <f t="shared" ref="AK72" si="507">SUM(AK70:AK71)</f>
        <v>4398.6399430499996</v>
      </c>
      <c r="AL72" s="26">
        <f t="shared" ref="AL72" si="508">SUM(AL70:AL71)</f>
        <v>4324.4088412499996</v>
      </c>
      <c r="AM72" s="26">
        <f t="shared" ref="AM72" si="509">SUM(AM70:AM71)</f>
        <v>0</v>
      </c>
      <c r="AN72" s="26">
        <f t="shared" ref="AN72" si="510">SUM(AN70:AN71)</f>
        <v>0</v>
      </c>
      <c r="AO72" s="49" t="s">
        <v>52</v>
      </c>
      <c r="AP72" s="27" t="s">
        <v>83</v>
      </c>
      <c r="AQ72" s="27" t="s">
        <v>93</v>
      </c>
      <c r="AR72" s="26">
        <f t="shared" ref="AR72" si="511">SUM(AR70:AR71)</f>
        <v>15</v>
      </c>
      <c r="AS72" s="26">
        <f t="shared" ref="AS72" si="512">SUM(AS70:AS71)</f>
        <v>255907</v>
      </c>
      <c r="AT72" s="26">
        <f t="shared" ref="AT72" si="513">SUM(AT70:AT71)</f>
        <v>0</v>
      </c>
      <c r="AU72" s="26">
        <f t="shared" ref="AU72" si="514">SUM(AU70:AU71)</f>
        <v>29.724394920000002</v>
      </c>
      <c r="AV72" s="26">
        <f t="shared" ref="AV72" si="515">SUM(AV70:AV71)</f>
        <v>-29.724394920000002</v>
      </c>
      <c r="AW72" s="26">
        <f t="shared" ref="AW72" si="516">SUM(AW70:AW71)</f>
        <v>4275.5324295299997</v>
      </c>
      <c r="AX72" s="26">
        <f t="shared" ref="AX72" si="517">SUM(AX70:AX71)</f>
        <v>4342.1080260299996</v>
      </c>
      <c r="AY72" s="26">
        <f t="shared" ref="AY72" si="518">SUM(AY70:AY71)</f>
        <v>0</v>
      </c>
      <c r="AZ72" s="26">
        <f t="shared" ref="AZ72" si="519">SUM(AZ70:AZ71)</f>
        <v>0</v>
      </c>
      <c r="BA72" s="49" t="s">
        <v>52</v>
      </c>
      <c r="BB72" s="27" t="s">
        <v>83</v>
      </c>
      <c r="BC72" s="27" t="s">
        <v>93</v>
      </c>
      <c r="BD72" s="26">
        <f t="shared" ref="BD72" si="520">SUM(BD70:BD71)</f>
        <v>15</v>
      </c>
      <c r="BE72" s="26">
        <f t="shared" ref="BE72" si="521">SUM(BE70:BE71)</f>
        <v>255243</v>
      </c>
      <c r="BF72" s="26">
        <f t="shared" ref="BF72" si="522">SUM(BF70:BF71)</f>
        <v>0</v>
      </c>
      <c r="BG72" s="26">
        <f t="shared" ref="BG72" si="523">SUM(BG70:BG71)</f>
        <v>13.044299649999999</v>
      </c>
      <c r="BH72" s="26">
        <f t="shared" ref="BH72" si="524">SUM(BH70:BH71)</f>
        <v>-13.044299649999999</v>
      </c>
      <c r="BI72" s="26">
        <f t="shared" ref="BI72" si="525">SUM(BI70:BI71)</f>
        <v>4219.1555947400002</v>
      </c>
      <c r="BJ72" s="26">
        <f t="shared" ref="BJ72" si="526">SUM(BJ70:BJ71)</f>
        <v>4244.9541176000002</v>
      </c>
      <c r="BK72" s="26">
        <f t="shared" ref="BK72" si="527">SUM(BK70:BK71)</f>
        <v>0</v>
      </c>
      <c r="BL72" s="26">
        <f t="shared" ref="BL72" si="528">SUM(BL70:BL71)</f>
        <v>0</v>
      </c>
      <c r="BM72" s="49" t="s">
        <v>52</v>
      </c>
      <c r="BN72" s="27" t="s">
        <v>83</v>
      </c>
      <c r="BO72" s="27" t="s">
        <v>93</v>
      </c>
      <c r="BP72" s="26">
        <f t="shared" ref="BP72" si="529">SUM(BP70:BP71)</f>
        <v>15</v>
      </c>
      <c r="BQ72" s="26">
        <f t="shared" ref="BQ72" si="530">SUM(BQ70:BQ71)</f>
        <v>254488</v>
      </c>
      <c r="BR72" s="26">
        <f t="shared" ref="BR72" si="531">SUM(BR70:BR71)</f>
        <v>0</v>
      </c>
      <c r="BS72" s="26">
        <f t="shared" ref="BS72" si="532">SUM(BS70:BS71)</f>
        <v>16.916785099999998</v>
      </c>
      <c r="BT72" s="26">
        <f t="shared" ref="BT72" si="533">SUM(BT70:BT71)</f>
        <v>-16.916785099999998</v>
      </c>
      <c r="BU72" s="26">
        <f t="shared" ref="BU72" si="534">SUM(BU70:BU71)</f>
        <v>4230.7822410799999</v>
      </c>
      <c r="BV72" s="26">
        <f t="shared" ref="BV72" si="535">SUM(BV70:BV71)</f>
        <v>4297.0678573599998</v>
      </c>
      <c r="BW72" s="26">
        <f t="shared" ref="BW72" si="536">SUM(BW70:BW71)</f>
        <v>0</v>
      </c>
      <c r="BX72" s="26">
        <f t="shared" ref="BX72" si="537">SUM(BX70:BX71)</f>
        <v>0</v>
      </c>
      <c r="BY72" s="49" t="s">
        <v>52</v>
      </c>
      <c r="BZ72" s="27" t="s">
        <v>83</v>
      </c>
      <c r="CA72" s="27" t="s">
        <v>93</v>
      </c>
      <c r="CB72" s="26">
        <f t="shared" ref="CB72" si="538">SUM(CB70:CB71)</f>
        <v>15</v>
      </c>
      <c r="CC72" s="26">
        <f t="shared" ref="CC72" si="539">SUM(CC70:CC71)</f>
        <v>253748</v>
      </c>
      <c r="CD72" s="26">
        <f t="shared" ref="CD72" si="540">SUM(CD70:CD71)</f>
        <v>0</v>
      </c>
      <c r="CE72" s="26">
        <f t="shared" ref="CE72" si="541">SUM(CE70:CE71)</f>
        <v>18.71692779</v>
      </c>
      <c r="CF72" s="26">
        <f t="shared" ref="CF72" si="542">SUM(CF70:CF71)</f>
        <v>-18.71692779</v>
      </c>
      <c r="CG72" s="26">
        <f t="shared" ref="CG72" si="543">SUM(CG70:CG71)</f>
        <v>4346.9907243300004</v>
      </c>
      <c r="CH72" s="26">
        <f t="shared" ref="CH72" si="544">SUM(CH70:CH71)</f>
        <v>4332.3777244299999</v>
      </c>
      <c r="CI72" s="26">
        <f t="shared" ref="CI72" si="545">SUM(CI70:CI71)</f>
        <v>0</v>
      </c>
      <c r="CJ72" s="26">
        <f t="shared" ref="CJ72" si="546">SUM(CJ70:CJ71)</f>
        <v>0</v>
      </c>
      <c r="CK72" s="49" t="s">
        <v>52</v>
      </c>
      <c r="CL72" s="27" t="s">
        <v>83</v>
      </c>
      <c r="CM72" s="27" t="s">
        <v>93</v>
      </c>
      <c r="CN72" s="26">
        <f t="shared" ref="CN72" si="547">SUM(CN70:CN71)</f>
        <v>15</v>
      </c>
      <c r="CO72" s="26">
        <f t="shared" ref="CO72" si="548">SUM(CO70:CO71)</f>
        <v>252978</v>
      </c>
      <c r="CP72" s="26">
        <f t="shared" ref="CP72" si="549">SUM(CP70:CP71)</f>
        <v>0</v>
      </c>
      <c r="CQ72" s="26">
        <f t="shared" ref="CQ72" si="550">SUM(CQ70:CQ71)</f>
        <v>17.437277559999998</v>
      </c>
      <c r="CR72" s="26">
        <f t="shared" ref="CR72" si="551">SUM(CR70:CR71)</f>
        <v>-17.437277559999998</v>
      </c>
      <c r="CS72" s="26">
        <f t="shared" ref="CS72" si="552">SUM(CS70:CS71)</f>
        <v>4370.8469719699997</v>
      </c>
      <c r="CT72" s="26">
        <f t="shared" ref="CT72" si="553">SUM(CT70:CT71)</f>
        <v>4347.75997224</v>
      </c>
      <c r="CU72" s="26">
        <f t="shared" ref="CU72" si="554">SUM(CU70:CU71)</f>
        <v>0</v>
      </c>
      <c r="CV72" s="26">
        <f t="shared" ref="CV72" si="555">SUM(CV70:CV71)</f>
        <v>0</v>
      </c>
      <c r="CW72" s="49" t="s">
        <v>52</v>
      </c>
      <c r="CX72" s="27" t="s">
        <v>83</v>
      </c>
      <c r="CY72" s="27" t="s">
        <v>93</v>
      </c>
      <c r="CZ72" s="26">
        <f t="shared" ref="CZ72" si="556">SUM(CZ70:CZ71)</f>
        <v>15</v>
      </c>
      <c r="DA72" s="26">
        <f t="shared" ref="DA72" si="557">SUM(DA70:DA71)</f>
        <v>252071</v>
      </c>
      <c r="DB72" s="26">
        <f t="shared" ref="DB72" si="558">SUM(DB70:DB71)</f>
        <v>0</v>
      </c>
      <c r="DC72" s="26">
        <f t="shared" ref="DC72" si="559">SUM(DC70:DC71)</f>
        <v>19.2519785</v>
      </c>
      <c r="DD72" s="78">
        <f t="shared" ref="DD72" si="560">SUM(DD70:DD71)</f>
        <v>-19.2519785</v>
      </c>
      <c r="DE72" s="114">
        <f t="shared" ref="DE72" si="561">SUM(DE70:DE71)</f>
        <v>4342.8818170200002</v>
      </c>
      <c r="DF72" s="26">
        <f t="shared" ref="DF72" si="562">SUM(DF70:DF71)</f>
        <v>4334.9311355600003</v>
      </c>
      <c r="DG72" s="26">
        <f t="shared" ref="DG72" si="563">SUM(DG70:DG71)</f>
        <v>0</v>
      </c>
      <c r="DH72" s="26">
        <f t="shared" ref="DH72" si="564">SUM(DH70:DH71)</f>
        <v>0</v>
      </c>
      <c r="DI72" s="49" t="s">
        <v>52</v>
      </c>
      <c r="DJ72" s="89" t="s">
        <v>83</v>
      </c>
      <c r="DK72" s="89" t="s">
        <v>93</v>
      </c>
      <c r="DL72" s="26">
        <f t="shared" ref="DL72:DT72" si="565">SUM(DL70:DL71)</f>
        <v>15</v>
      </c>
      <c r="DM72" s="26">
        <f t="shared" si="565"/>
        <v>251406</v>
      </c>
      <c r="DN72" s="26">
        <f t="shared" si="565"/>
        <v>0</v>
      </c>
      <c r="DO72" s="26">
        <f t="shared" si="565"/>
        <v>15.424994959999999</v>
      </c>
      <c r="DP72" s="78">
        <f t="shared" si="565"/>
        <v>-15.424994959999999</v>
      </c>
      <c r="DQ72" s="114">
        <f t="shared" si="565"/>
        <v>4196.2202251999997</v>
      </c>
      <c r="DR72" s="26">
        <f t="shared" si="565"/>
        <v>4258.50841021</v>
      </c>
      <c r="DS72" s="26">
        <f t="shared" si="565"/>
        <v>0</v>
      </c>
      <c r="DT72" s="26">
        <f t="shared" si="565"/>
        <v>0</v>
      </c>
      <c r="DU72" s="49" t="s">
        <v>52</v>
      </c>
      <c r="DV72" s="136"/>
      <c r="DW72" s="137"/>
      <c r="DX72" s="49" t="s">
        <v>52</v>
      </c>
      <c r="DY72" s="136">
        <v>0</v>
      </c>
      <c r="DZ72" s="137">
        <f t="shared" ref="DZ72" si="566">(DP72-DD72)/DD72</f>
        <v>-0.19878390888500111</v>
      </c>
      <c r="EA72" s="138">
        <f t="shared" ref="EA72" si="567">(DR72-DF72)/DF72</f>
        <v>-1.7629513124924823E-2</v>
      </c>
    </row>
    <row r="73" spans="1:131" x14ac:dyDescent="0.5">
      <c r="A73" s="52"/>
      <c r="B73" s="10" t="s">
        <v>83</v>
      </c>
      <c r="C73" s="56"/>
      <c r="D73" s="56"/>
      <c r="E73" s="49" t="s">
        <v>52</v>
      </c>
      <c r="F73" s="52"/>
      <c r="G73" s="10" t="s">
        <v>83</v>
      </c>
      <c r="H73" s="55"/>
      <c r="I73" s="55"/>
      <c r="J73" s="56"/>
      <c r="K73" s="56"/>
      <c r="L73" s="56"/>
      <c r="M73" s="56"/>
      <c r="N73" s="56"/>
      <c r="O73" s="55"/>
      <c r="P73" s="56"/>
      <c r="Q73" s="49" t="s">
        <v>52</v>
      </c>
      <c r="R73" s="52"/>
      <c r="S73" s="10" t="s">
        <v>83</v>
      </c>
      <c r="T73" s="55"/>
      <c r="U73" s="55"/>
      <c r="V73" s="56"/>
      <c r="W73" s="56"/>
      <c r="X73" s="56"/>
      <c r="Y73" s="56"/>
      <c r="Z73" s="56"/>
      <c r="AA73" s="55"/>
      <c r="AB73" s="56"/>
      <c r="AC73" s="49" t="s">
        <v>52</v>
      </c>
      <c r="AD73" s="52"/>
      <c r="AE73" s="10" t="s">
        <v>83</v>
      </c>
      <c r="AF73" s="55"/>
      <c r="AG73" s="55"/>
      <c r="AH73" s="56"/>
      <c r="AI73" s="56"/>
      <c r="AJ73" s="56"/>
      <c r="AK73" s="56"/>
      <c r="AL73" s="56"/>
      <c r="AM73" s="55"/>
      <c r="AN73" s="56"/>
      <c r="AO73" s="49" t="s">
        <v>52</v>
      </c>
      <c r="AP73" s="52"/>
      <c r="AQ73" s="10" t="s">
        <v>83</v>
      </c>
      <c r="AR73" s="55"/>
      <c r="AS73" s="55"/>
      <c r="AT73" s="56"/>
      <c r="AU73" s="56"/>
      <c r="AV73" s="56"/>
      <c r="AW73" s="56"/>
      <c r="AX73" s="56"/>
      <c r="AY73" s="55"/>
      <c r="AZ73" s="56"/>
      <c r="BA73" s="49" t="s">
        <v>52</v>
      </c>
      <c r="BB73" s="52"/>
      <c r="BC73" s="10" t="s">
        <v>83</v>
      </c>
      <c r="BD73" s="55"/>
      <c r="BE73" s="55"/>
      <c r="BF73" s="56"/>
      <c r="BG73" s="56"/>
      <c r="BH73" s="56"/>
      <c r="BI73" s="56"/>
      <c r="BJ73" s="56"/>
      <c r="BK73" s="55"/>
      <c r="BL73" s="56"/>
      <c r="BM73" s="49" t="s">
        <v>52</v>
      </c>
      <c r="BN73" s="57"/>
      <c r="BO73" s="10" t="s">
        <v>83</v>
      </c>
      <c r="BP73" s="55"/>
      <c r="BQ73" s="55"/>
      <c r="BR73" s="56"/>
      <c r="BS73" s="56"/>
      <c r="BT73" s="56"/>
      <c r="BU73" s="56"/>
      <c r="BV73" s="56"/>
      <c r="BW73" s="58"/>
      <c r="BX73" s="59"/>
      <c r="BY73" s="49" t="s">
        <v>52</v>
      </c>
      <c r="BZ73" s="57"/>
      <c r="CA73" s="10" t="s">
        <v>83</v>
      </c>
      <c r="CB73" s="55"/>
      <c r="CC73" s="55"/>
      <c r="CD73" s="56"/>
      <c r="CE73" s="56"/>
      <c r="CF73" s="56"/>
      <c r="CG73" s="56"/>
      <c r="CH73" s="56"/>
      <c r="CI73" s="58"/>
      <c r="CJ73" s="59"/>
      <c r="CK73" s="49" t="s">
        <v>52</v>
      </c>
      <c r="CL73" s="52"/>
      <c r="CM73" s="10" t="s">
        <v>83</v>
      </c>
      <c r="CN73" s="55"/>
      <c r="CO73" s="55"/>
      <c r="CP73" s="56"/>
      <c r="CQ73" s="56"/>
      <c r="CR73" s="56"/>
      <c r="CS73" s="56"/>
      <c r="CT73" s="56"/>
      <c r="CU73" s="58"/>
      <c r="CV73" s="56"/>
      <c r="CW73" s="49" t="s">
        <v>52</v>
      </c>
      <c r="CX73" s="52"/>
      <c r="CY73" s="10" t="s">
        <v>83</v>
      </c>
      <c r="CZ73" s="55"/>
      <c r="DA73" s="55"/>
      <c r="DB73" s="56"/>
      <c r="DC73" s="56"/>
      <c r="DD73" s="56"/>
      <c r="DE73" s="56"/>
      <c r="DF73" s="56"/>
      <c r="DG73" s="55"/>
      <c r="DH73" s="56"/>
      <c r="DI73" s="2" t="s">
        <v>52</v>
      </c>
      <c r="DJ73" s="84"/>
      <c r="DK73" s="92" t="s">
        <v>83</v>
      </c>
      <c r="DL73" s="83"/>
      <c r="DM73" s="83"/>
      <c r="DN73" s="84"/>
      <c r="DO73" s="84"/>
      <c r="DP73" s="84"/>
      <c r="DQ73" s="84"/>
      <c r="DR73" s="84"/>
      <c r="DS73" s="83"/>
      <c r="DT73" s="84"/>
      <c r="DU73" s="2" t="s">
        <v>52</v>
      </c>
      <c r="DV73" s="107"/>
      <c r="DW73" s="107"/>
      <c r="DX73" s="2" t="s">
        <v>52</v>
      </c>
      <c r="DY73" s="107" t="s">
        <v>52</v>
      </c>
      <c r="DZ73" s="107" t="s">
        <v>52</v>
      </c>
      <c r="EA73" s="110" t="s">
        <v>52</v>
      </c>
    </row>
    <row r="74" spans="1:131" x14ac:dyDescent="0.5">
      <c r="A74" s="17" t="s">
        <v>86</v>
      </c>
      <c r="B74" s="16" t="s">
        <v>85</v>
      </c>
      <c r="C74" s="21">
        <v>0</v>
      </c>
      <c r="D74" s="21">
        <v>0</v>
      </c>
      <c r="E74" s="49" t="s">
        <v>52</v>
      </c>
      <c r="F74" s="17" t="s">
        <v>86</v>
      </c>
      <c r="G74" s="16" t="s">
        <v>85</v>
      </c>
      <c r="H74" s="15">
        <v>0</v>
      </c>
      <c r="I74" s="15">
        <v>0</v>
      </c>
      <c r="J74" s="14">
        <v>0</v>
      </c>
      <c r="K74" s="14">
        <v>0</v>
      </c>
      <c r="L74" s="14">
        <v>0</v>
      </c>
      <c r="M74" s="14">
        <v>0</v>
      </c>
      <c r="N74" s="14">
        <v>0</v>
      </c>
      <c r="O74" s="15">
        <v>0</v>
      </c>
      <c r="P74" s="14">
        <v>0</v>
      </c>
      <c r="Q74" s="49" t="s">
        <v>52</v>
      </c>
      <c r="R74" s="17" t="s">
        <v>86</v>
      </c>
      <c r="S74" s="16" t="s">
        <v>85</v>
      </c>
      <c r="T74" s="15">
        <v>0</v>
      </c>
      <c r="U74" s="15">
        <v>0</v>
      </c>
      <c r="V74" s="14">
        <v>0</v>
      </c>
      <c r="W74" s="14">
        <v>0</v>
      </c>
      <c r="X74" s="14">
        <v>0</v>
      </c>
      <c r="Y74" s="14">
        <v>0</v>
      </c>
      <c r="Z74" s="14">
        <v>0</v>
      </c>
      <c r="AA74" s="15">
        <v>0</v>
      </c>
      <c r="AB74" s="14">
        <v>0</v>
      </c>
      <c r="AC74" s="49" t="s">
        <v>52</v>
      </c>
      <c r="AD74" s="17" t="s">
        <v>86</v>
      </c>
      <c r="AE74" s="16" t="s">
        <v>85</v>
      </c>
      <c r="AF74" s="15">
        <v>0</v>
      </c>
      <c r="AG74" s="15">
        <v>0</v>
      </c>
      <c r="AH74" s="14">
        <v>0</v>
      </c>
      <c r="AI74" s="14">
        <v>0</v>
      </c>
      <c r="AJ74" s="14">
        <v>0</v>
      </c>
      <c r="AK74" s="14">
        <v>0</v>
      </c>
      <c r="AL74" s="14">
        <v>0</v>
      </c>
      <c r="AM74" s="15">
        <v>0</v>
      </c>
      <c r="AN74" s="14">
        <v>0</v>
      </c>
      <c r="AO74" s="49" t="s">
        <v>52</v>
      </c>
      <c r="AP74" s="17" t="s">
        <v>86</v>
      </c>
      <c r="AQ74" s="16" t="s">
        <v>85</v>
      </c>
      <c r="AR74" s="15">
        <v>0</v>
      </c>
      <c r="AS74" s="15">
        <v>0</v>
      </c>
      <c r="AT74" s="14">
        <v>0</v>
      </c>
      <c r="AU74" s="14">
        <v>0</v>
      </c>
      <c r="AV74" s="14">
        <v>0</v>
      </c>
      <c r="AW74" s="14">
        <v>0</v>
      </c>
      <c r="AX74" s="14">
        <v>0</v>
      </c>
      <c r="AY74" s="15">
        <v>0</v>
      </c>
      <c r="AZ74" s="14">
        <v>0</v>
      </c>
      <c r="BA74" s="49" t="s">
        <v>52</v>
      </c>
      <c r="BB74" s="17" t="s">
        <v>86</v>
      </c>
      <c r="BC74" s="16" t="s">
        <v>85</v>
      </c>
      <c r="BD74" s="15">
        <v>0</v>
      </c>
      <c r="BE74" s="15">
        <v>0</v>
      </c>
      <c r="BF74" s="14">
        <v>0</v>
      </c>
      <c r="BG74" s="14">
        <v>0</v>
      </c>
      <c r="BH74" s="14">
        <v>0</v>
      </c>
      <c r="BI74" s="14">
        <v>0</v>
      </c>
      <c r="BJ74" s="14">
        <v>0</v>
      </c>
      <c r="BK74" s="15">
        <v>0</v>
      </c>
      <c r="BL74" s="14">
        <v>0</v>
      </c>
      <c r="BM74" s="49" t="s">
        <v>52</v>
      </c>
      <c r="BN74" s="20" t="s">
        <v>86</v>
      </c>
      <c r="BO74" s="16" t="s">
        <v>85</v>
      </c>
      <c r="BP74" s="15">
        <v>0</v>
      </c>
      <c r="BQ74" s="15">
        <v>0</v>
      </c>
      <c r="BR74" s="14">
        <v>0</v>
      </c>
      <c r="BS74" s="14">
        <v>0</v>
      </c>
      <c r="BT74" s="14">
        <v>0</v>
      </c>
      <c r="BU74" s="14">
        <v>0</v>
      </c>
      <c r="BV74" s="14">
        <v>0</v>
      </c>
      <c r="BW74" s="18">
        <v>0</v>
      </c>
      <c r="BX74" s="19">
        <v>0</v>
      </c>
      <c r="BY74" s="49" t="s">
        <v>52</v>
      </c>
      <c r="BZ74" s="20" t="s">
        <v>86</v>
      </c>
      <c r="CA74" s="16" t="s">
        <v>85</v>
      </c>
      <c r="CB74" s="15">
        <v>0</v>
      </c>
      <c r="CC74" s="15">
        <v>0</v>
      </c>
      <c r="CD74" s="14">
        <v>0</v>
      </c>
      <c r="CE74" s="14">
        <v>0</v>
      </c>
      <c r="CF74" s="14">
        <v>0</v>
      </c>
      <c r="CG74" s="14">
        <v>0</v>
      </c>
      <c r="CH74" s="14">
        <v>0</v>
      </c>
      <c r="CI74" s="18">
        <v>0</v>
      </c>
      <c r="CJ74" s="19">
        <v>0</v>
      </c>
      <c r="CK74" s="49" t="s">
        <v>52</v>
      </c>
      <c r="CL74" s="17" t="s">
        <v>86</v>
      </c>
      <c r="CM74" s="16" t="s">
        <v>85</v>
      </c>
      <c r="CN74" s="15">
        <v>0</v>
      </c>
      <c r="CO74" s="15">
        <v>0</v>
      </c>
      <c r="CP74" s="14">
        <v>0</v>
      </c>
      <c r="CQ74" s="14">
        <v>0</v>
      </c>
      <c r="CR74" s="14">
        <v>0</v>
      </c>
      <c r="CS74" s="14">
        <v>0</v>
      </c>
      <c r="CT74" s="14">
        <v>0</v>
      </c>
      <c r="CU74" s="18">
        <v>0</v>
      </c>
      <c r="CV74" s="14">
        <v>0</v>
      </c>
      <c r="CW74" s="49" t="s">
        <v>52</v>
      </c>
      <c r="CX74" s="17" t="s">
        <v>86</v>
      </c>
      <c r="CY74" s="16" t="s">
        <v>85</v>
      </c>
      <c r="CZ74" s="15">
        <v>0</v>
      </c>
      <c r="DA74" s="15">
        <v>0</v>
      </c>
      <c r="DB74" s="14">
        <v>0</v>
      </c>
      <c r="DC74" s="14">
        <v>0</v>
      </c>
      <c r="DD74" s="14">
        <v>0</v>
      </c>
      <c r="DE74" s="14">
        <v>0</v>
      </c>
      <c r="DF74" s="14">
        <v>0</v>
      </c>
      <c r="DG74" s="15">
        <v>0</v>
      </c>
      <c r="DH74" s="14">
        <v>0</v>
      </c>
      <c r="DI74" s="2" t="s">
        <v>52</v>
      </c>
      <c r="DJ74" s="92" t="s">
        <v>86</v>
      </c>
      <c r="DK74" s="90" t="s">
        <v>85</v>
      </c>
      <c r="DL74" s="93">
        <v>0</v>
      </c>
      <c r="DM74" s="93">
        <v>0</v>
      </c>
      <c r="DN74" s="94">
        <v>0</v>
      </c>
      <c r="DO74" s="94">
        <v>0</v>
      </c>
      <c r="DP74" s="94">
        <v>0</v>
      </c>
      <c r="DQ74" s="94">
        <v>0</v>
      </c>
      <c r="DR74" s="94">
        <v>0</v>
      </c>
      <c r="DS74" s="93">
        <v>0</v>
      </c>
      <c r="DT74" s="94">
        <v>0</v>
      </c>
      <c r="DU74" s="2" t="s">
        <v>52</v>
      </c>
      <c r="DV74" s="136"/>
      <c r="DW74" s="137"/>
      <c r="DX74" s="2" t="s">
        <v>52</v>
      </c>
      <c r="DY74" s="136">
        <v>0</v>
      </c>
      <c r="DZ74" s="137">
        <v>0</v>
      </c>
      <c r="EA74" s="138">
        <v>0</v>
      </c>
    </row>
    <row r="75" spans="1:131" x14ac:dyDescent="0.5">
      <c r="A75" s="52"/>
      <c r="B75" s="52"/>
      <c r="C75" s="56"/>
      <c r="D75" s="56"/>
      <c r="E75" s="49" t="s">
        <v>52</v>
      </c>
      <c r="F75" s="52"/>
      <c r="G75" s="52"/>
      <c r="H75" s="55"/>
      <c r="I75" s="55"/>
      <c r="J75" s="56"/>
      <c r="K75" s="56"/>
      <c r="L75" s="56"/>
      <c r="M75" s="56"/>
      <c r="N75" s="56"/>
      <c r="O75" s="55"/>
      <c r="P75" s="56"/>
      <c r="Q75" s="49" t="s">
        <v>52</v>
      </c>
      <c r="R75" s="52"/>
      <c r="S75" s="52"/>
      <c r="T75" s="55"/>
      <c r="U75" s="55"/>
      <c r="V75" s="56"/>
      <c r="W75" s="56"/>
      <c r="X75" s="56"/>
      <c r="Y75" s="56"/>
      <c r="Z75" s="56"/>
      <c r="AA75" s="55"/>
      <c r="AB75" s="56"/>
      <c r="AC75" s="49" t="s">
        <v>52</v>
      </c>
      <c r="AD75" s="52"/>
      <c r="AE75" s="52"/>
      <c r="AF75" s="55"/>
      <c r="AG75" s="55"/>
      <c r="AH75" s="56"/>
      <c r="AI75" s="56"/>
      <c r="AJ75" s="56"/>
      <c r="AK75" s="56"/>
      <c r="AL75" s="56"/>
      <c r="AM75" s="55"/>
      <c r="AN75" s="56"/>
      <c r="AO75" s="49" t="s">
        <v>52</v>
      </c>
      <c r="AP75" s="52"/>
      <c r="AQ75" s="52"/>
      <c r="AR75" s="55"/>
      <c r="AS75" s="55"/>
      <c r="AT75" s="56"/>
      <c r="AU75" s="56"/>
      <c r="AV75" s="56"/>
      <c r="AW75" s="56"/>
      <c r="AX75" s="56"/>
      <c r="AY75" s="55"/>
      <c r="AZ75" s="56"/>
      <c r="BA75" s="49" t="s">
        <v>52</v>
      </c>
      <c r="BB75" s="52"/>
      <c r="BC75" s="52"/>
      <c r="BD75" s="55"/>
      <c r="BE75" s="55"/>
      <c r="BF75" s="56"/>
      <c r="BG75" s="56"/>
      <c r="BH75" s="56"/>
      <c r="BI75" s="56"/>
      <c r="BJ75" s="56"/>
      <c r="BK75" s="55"/>
      <c r="BL75" s="56"/>
      <c r="BM75" s="49" t="s">
        <v>52</v>
      </c>
      <c r="BN75" s="57"/>
      <c r="BO75" s="52"/>
      <c r="BP75" s="55"/>
      <c r="BQ75" s="55"/>
      <c r="BR75" s="56"/>
      <c r="BS75" s="56"/>
      <c r="BT75" s="56"/>
      <c r="BU75" s="56"/>
      <c r="BV75" s="56"/>
      <c r="BW75" s="58"/>
      <c r="BX75" s="59"/>
      <c r="BY75" s="49" t="s">
        <v>52</v>
      </c>
      <c r="BZ75" s="57"/>
      <c r="CA75" s="52"/>
      <c r="CB75" s="55"/>
      <c r="CC75" s="55"/>
      <c r="CD75" s="56"/>
      <c r="CE75" s="56"/>
      <c r="CF75" s="56"/>
      <c r="CG75" s="56"/>
      <c r="CH75" s="56"/>
      <c r="CI75" s="58"/>
      <c r="CJ75" s="59"/>
      <c r="CK75" s="49" t="s">
        <v>52</v>
      </c>
      <c r="CL75" s="52"/>
      <c r="CM75" s="52"/>
      <c r="CN75" s="55"/>
      <c r="CO75" s="55"/>
      <c r="CP75" s="56"/>
      <c r="CQ75" s="56"/>
      <c r="CR75" s="56"/>
      <c r="CS75" s="56"/>
      <c r="CT75" s="56"/>
      <c r="CU75" s="58"/>
      <c r="CV75" s="56"/>
      <c r="CW75" s="49" t="s">
        <v>52</v>
      </c>
      <c r="CX75" s="52"/>
      <c r="CY75" s="52"/>
      <c r="CZ75" s="55"/>
      <c r="DA75" s="55"/>
      <c r="DB75" s="56"/>
      <c r="DC75" s="56"/>
      <c r="DD75" s="56"/>
      <c r="DE75" s="56"/>
      <c r="DF75" s="56"/>
      <c r="DG75" s="55"/>
      <c r="DH75" s="56"/>
      <c r="DI75" s="2" t="s">
        <v>52</v>
      </c>
      <c r="DJ75" s="84"/>
      <c r="DK75" s="84"/>
      <c r="DL75" s="83"/>
      <c r="DM75" s="83"/>
      <c r="DN75" s="84"/>
      <c r="DO75" s="84"/>
      <c r="DP75" s="84"/>
      <c r="DQ75" s="84"/>
      <c r="DR75" s="84"/>
      <c r="DS75" s="83"/>
      <c r="DT75" s="84"/>
      <c r="DU75" s="2" t="s">
        <v>52</v>
      </c>
      <c r="DV75" s="107"/>
      <c r="DW75" s="107"/>
      <c r="DX75" s="2" t="s">
        <v>52</v>
      </c>
      <c r="DY75" s="107" t="s">
        <v>52</v>
      </c>
      <c r="DZ75" s="107" t="s">
        <v>52</v>
      </c>
      <c r="EA75" s="110" t="s">
        <v>52</v>
      </c>
    </row>
    <row r="76" spans="1:131" x14ac:dyDescent="0.5">
      <c r="A76" s="13" t="s">
        <v>83</v>
      </c>
      <c r="B76" s="13" t="s">
        <v>92</v>
      </c>
      <c r="C76" s="12">
        <f t="shared" ref="C76:D76" si="568">SUM(C63:C66) + SUM(C70:C71) + SUM(C74:C74)</f>
        <v>26606.535896689998</v>
      </c>
      <c r="D76" s="12">
        <f t="shared" si="568"/>
        <v>26459.263982329998</v>
      </c>
      <c r="E76" s="49" t="s">
        <v>52</v>
      </c>
      <c r="F76" s="13" t="s">
        <v>83</v>
      </c>
      <c r="G76" s="13" t="s">
        <v>92</v>
      </c>
      <c r="H76" s="12">
        <f t="shared" ref="H76:BS76" si="569">SUM(H63:H66) + SUM(H70:H71) + SUM(H74:H74)</f>
        <v>98</v>
      </c>
      <c r="I76" s="12">
        <f t="shared" si="569"/>
        <v>512433</v>
      </c>
      <c r="J76" s="12">
        <f t="shared" si="569"/>
        <v>18.399999999999999</v>
      </c>
      <c r="K76" s="12">
        <f t="shared" si="569"/>
        <v>1279.58387397</v>
      </c>
      <c r="L76" s="12">
        <f t="shared" si="569"/>
        <v>-1261.1838739700001</v>
      </c>
      <c r="M76" s="12">
        <f t="shared" si="569"/>
        <v>25834.568227520002</v>
      </c>
      <c r="N76" s="12">
        <f t="shared" si="569"/>
        <v>26753.196433249999</v>
      </c>
      <c r="O76" s="12" t="e">
        <f>SUM(#REF!) + SUM(#REF!) + SUM(#REF!)</f>
        <v>#REF!</v>
      </c>
      <c r="P76" s="11" t="e">
        <f>SUM(#REF!) + SUM(#REF!) + SUM(#REF!)</f>
        <v>#REF!</v>
      </c>
      <c r="Q76" s="49" t="s">
        <v>52</v>
      </c>
      <c r="R76" s="13" t="s">
        <v>83</v>
      </c>
      <c r="S76" s="13" t="s">
        <v>92</v>
      </c>
      <c r="T76" s="12">
        <f t="shared" ref="T76" si="570">SUM(T63:T66) + SUM(T70:T71) + SUM(T74:T74)</f>
        <v>95</v>
      </c>
      <c r="U76" s="12">
        <f t="shared" si="569"/>
        <v>509122</v>
      </c>
      <c r="V76" s="12">
        <f t="shared" si="569"/>
        <v>15.43</v>
      </c>
      <c r="W76" s="12">
        <f t="shared" si="569"/>
        <v>452.81133653999996</v>
      </c>
      <c r="X76" s="12">
        <f t="shared" si="569"/>
        <v>-437.38133653999995</v>
      </c>
      <c r="Y76" s="12">
        <f t="shared" si="569"/>
        <v>25708.542060840002</v>
      </c>
      <c r="Z76" s="12">
        <f t="shared" si="569"/>
        <v>25918.589970589997</v>
      </c>
      <c r="AA76" s="12" t="e">
        <f>SUM(#REF!) + SUM(#REF!) + SUM(#REF!)</f>
        <v>#REF!</v>
      </c>
      <c r="AB76" s="11" t="e">
        <f>SUM(#REF!) + SUM(#REF!) + SUM(#REF!)</f>
        <v>#REF!</v>
      </c>
      <c r="AC76" s="49" t="s">
        <v>52</v>
      </c>
      <c r="AD76" s="13" t="s">
        <v>83</v>
      </c>
      <c r="AE76" s="13" t="s">
        <v>92</v>
      </c>
      <c r="AF76" s="12">
        <f t="shared" ref="AF76" si="571">SUM(AF63:AF66) + SUM(AF70:AF71) + SUM(AF74:AF74)</f>
        <v>94</v>
      </c>
      <c r="AG76" s="12">
        <f t="shared" si="569"/>
        <v>505995</v>
      </c>
      <c r="AH76" s="12">
        <f t="shared" si="569"/>
        <v>15.55</v>
      </c>
      <c r="AI76" s="12">
        <f t="shared" si="569"/>
        <v>222.82641332999998</v>
      </c>
      <c r="AJ76" s="12">
        <f t="shared" si="569"/>
        <v>-207.27641333</v>
      </c>
      <c r="AK76" s="12">
        <f t="shared" si="569"/>
        <v>25781.067756059998</v>
      </c>
      <c r="AL76" s="12">
        <f t="shared" si="569"/>
        <v>25787.824993949998</v>
      </c>
      <c r="AM76" s="12" t="e">
        <f>SUM(#REF!) + SUM(#REF!) + SUM(#REF!)</f>
        <v>#REF!</v>
      </c>
      <c r="AN76" s="11" t="e">
        <f>SUM(#REF!) + SUM(#REF!) + SUM(#REF!)</f>
        <v>#REF!</v>
      </c>
      <c r="AO76" s="49" t="s">
        <v>52</v>
      </c>
      <c r="AP76" s="13" t="s">
        <v>83</v>
      </c>
      <c r="AQ76" s="13" t="s">
        <v>92</v>
      </c>
      <c r="AR76" s="12">
        <f t="shared" ref="AR76" si="572">SUM(AR63:AR66) + SUM(AR70:AR71) + SUM(AR74:AR74)</f>
        <v>93</v>
      </c>
      <c r="AS76" s="12">
        <f t="shared" si="569"/>
        <v>502594</v>
      </c>
      <c r="AT76" s="12">
        <f t="shared" si="569"/>
        <v>15.79</v>
      </c>
      <c r="AU76" s="12">
        <f t="shared" si="569"/>
        <v>146.59241792000009</v>
      </c>
      <c r="AV76" s="12">
        <f t="shared" si="569"/>
        <v>-130.8024179200001</v>
      </c>
      <c r="AW76" s="12">
        <f t="shared" si="569"/>
        <v>25584.417367080001</v>
      </c>
      <c r="AX76" s="12">
        <f t="shared" si="569"/>
        <v>25741.850195089999</v>
      </c>
      <c r="AY76" s="12" t="e">
        <f>SUM(#REF!) + SUM(#REF!) + SUM(#REF!)</f>
        <v>#REF!</v>
      </c>
      <c r="AZ76" s="11" t="e">
        <f>SUM(#REF!) + SUM(#REF!) + SUM(#REF!)</f>
        <v>#REF!</v>
      </c>
      <c r="BA76" s="49" t="s">
        <v>52</v>
      </c>
      <c r="BB76" s="13" t="s">
        <v>83</v>
      </c>
      <c r="BC76" s="13" t="s">
        <v>92</v>
      </c>
      <c r="BD76" s="12">
        <f t="shared" ref="BD76" si="573">SUM(BD63:BD66) + SUM(BD70:BD71) + SUM(BD74:BD74)</f>
        <v>93</v>
      </c>
      <c r="BE76" s="12">
        <f t="shared" si="569"/>
        <v>500725</v>
      </c>
      <c r="BF76" s="12">
        <f t="shared" si="569"/>
        <v>14.32</v>
      </c>
      <c r="BG76" s="12">
        <f t="shared" si="569"/>
        <v>61.234299649999997</v>
      </c>
      <c r="BH76" s="12">
        <f t="shared" si="569"/>
        <v>-46.914299649999997</v>
      </c>
      <c r="BI76" s="12">
        <f t="shared" si="569"/>
        <v>25494.225239440002</v>
      </c>
      <c r="BJ76" s="12">
        <f t="shared" si="569"/>
        <v>25572.898762860001</v>
      </c>
      <c r="BK76" s="12" t="e">
        <f>SUM(#REF!) + SUM(#REF!) + SUM(#REF!)</f>
        <v>#REF!</v>
      </c>
      <c r="BL76" s="11" t="e">
        <f>SUM(#REF!) + SUM(#REF!) + SUM(#REF!)</f>
        <v>#REF!</v>
      </c>
      <c r="BM76" s="49" t="s">
        <v>52</v>
      </c>
      <c r="BN76" s="13" t="s">
        <v>83</v>
      </c>
      <c r="BO76" s="13" t="s">
        <v>92</v>
      </c>
      <c r="BP76" s="12">
        <f t="shared" ref="BP76" si="574">SUM(BP63:BP66) + SUM(BP70:BP71) + SUM(BP74:BP74)</f>
        <v>91</v>
      </c>
      <c r="BQ76" s="12">
        <f t="shared" si="569"/>
        <v>497109</v>
      </c>
      <c r="BR76" s="12">
        <f t="shared" si="569"/>
        <v>15.3</v>
      </c>
      <c r="BS76" s="12">
        <f t="shared" si="569"/>
        <v>343.44404297999995</v>
      </c>
      <c r="BT76" s="12">
        <f t="shared" ref="BT76:DF76" si="575">SUM(BT63:BT66) + SUM(BT70:BT71) + SUM(BT74:BT74)</f>
        <v>-328.14404297999999</v>
      </c>
      <c r="BU76" s="12">
        <f t="shared" si="575"/>
        <v>25293.329467759999</v>
      </c>
      <c r="BV76" s="12">
        <f t="shared" si="575"/>
        <v>25658.850359650001</v>
      </c>
      <c r="BW76" s="12" t="e">
        <f>SUM(#REF!) + SUM(#REF!) + SUM(#REF!)</f>
        <v>#REF!</v>
      </c>
      <c r="BX76" s="11" t="e">
        <f>SUM(#REF!) + SUM(#REF!) + SUM(#REF!)</f>
        <v>#REF!</v>
      </c>
      <c r="BY76" s="49" t="s">
        <v>52</v>
      </c>
      <c r="BZ76" s="13" t="s">
        <v>83</v>
      </c>
      <c r="CA76" s="13" t="s">
        <v>92</v>
      </c>
      <c r="CB76" s="12">
        <f t="shared" ref="CB76" si="576">SUM(CB63:CB66) + SUM(CB70:CB71) + SUM(CB74:CB74)</f>
        <v>91</v>
      </c>
      <c r="CC76" s="12">
        <f t="shared" si="575"/>
        <v>495131</v>
      </c>
      <c r="CD76" s="12">
        <f t="shared" si="575"/>
        <v>14.53</v>
      </c>
      <c r="CE76" s="12">
        <f t="shared" si="575"/>
        <v>91.976927790000005</v>
      </c>
      <c r="CF76" s="12">
        <f t="shared" si="575"/>
        <v>-77.446927789999989</v>
      </c>
      <c r="CG76" s="12">
        <f t="shared" si="575"/>
        <v>25528.37836155</v>
      </c>
      <c r="CH76" s="12">
        <f t="shared" si="575"/>
        <v>25518.560559730002</v>
      </c>
      <c r="CI76" s="12" t="e">
        <f>SUM(#REF!) + SUM(#REF!) + SUM(#REF!)</f>
        <v>#REF!</v>
      </c>
      <c r="CJ76" s="11" t="e">
        <f>SUM(#REF!) + SUM(#REF!) + SUM(#REF!)</f>
        <v>#REF!</v>
      </c>
      <c r="CK76" s="49" t="s">
        <v>52</v>
      </c>
      <c r="CL76" s="13" t="s">
        <v>83</v>
      </c>
      <c r="CM76" s="13" t="s">
        <v>92</v>
      </c>
      <c r="CN76" s="12">
        <f t="shared" ref="CN76" si="577">SUM(CN63:CN66) + SUM(CN70:CN71) + SUM(CN74:CN74)</f>
        <v>90</v>
      </c>
      <c r="CO76" s="12">
        <f t="shared" si="575"/>
        <v>490144</v>
      </c>
      <c r="CP76" s="12">
        <f t="shared" si="575"/>
        <v>14.16</v>
      </c>
      <c r="CQ76" s="12">
        <f t="shared" si="575"/>
        <v>481.43990556</v>
      </c>
      <c r="CR76" s="12">
        <f t="shared" si="575"/>
        <v>-467.27990555999997</v>
      </c>
      <c r="CS76" s="12">
        <f t="shared" si="575"/>
        <v>25186.459161890001</v>
      </c>
      <c r="CT76" s="12">
        <f t="shared" si="575"/>
        <v>25282.01745616</v>
      </c>
      <c r="CU76" s="12" t="e">
        <f>SUM(#REF!) + SUM(#REF!) + SUM(#REF!)</f>
        <v>#REF!</v>
      </c>
      <c r="CV76" s="11" t="e">
        <f>SUM(#REF!) + SUM(#REF!) + SUM(#REF!)</f>
        <v>#REF!</v>
      </c>
      <c r="CW76" s="49" t="s">
        <v>52</v>
      </c>
      <c r="CX76" s="13" t="s">
        <v>83</v>
      </c>
      <c r="CY76" s="13" t="s">
        <v>92</v>
      </c>
      <c r="CZ76" s="12">
        <f t="shared" ref="CZ76" si="578">SUM(CZ63:CZ66) + SUM(CZ70:CZ71) + SUM(CZ74:CZ74)</f>
        <v>90</v>
      </c>
      <c r="DA76" s="12">
        <f t="shared" si="575"/>
        <v>488219</v>
      </c>
      <c r="DB76" s="12">
        <f t="shared" si="575"/>
        <v>15.74</v>
      </c>
      <c r="DC76" s="12">
        <f t="shared" si="575"/>
        <v>74.261978549999924</v>
      </c>
      <c r="DD76" s="78">
        <f t="shared" si="575"/>
        <v>-58.521978550000028</v>
      </c>
      <c r="DE76" s="114">
        <f t="shared" si="575"/>
        <v>25144.164062849999</v>
      </c>
      <c r="DF76" s="12">
        <f t="shared" si="575"/>
        <v>25148.799485240001</v>
      </c>
      <c r="DG76" s="12" t="e">
        <f>SUM(#REF!) + SUM(#REF!) + SUM(#REF!)</f>
        <v>#REF!</v>
      </c>
      <c r="DH76" s="11" t="e">
        <f>SUM(#REF!) + SUM(#REF!) + SUM(#REF!)</f>
        <v>#REF!</v>
      </c>
      <c r="DI76" s="49" t="s">
        <v>52</v>
      </c>
      <c r="DJ76" s="91"/>
      <c r="DK76" s="91" t="s">
        <v>92</v>
      </c>
      <c r="DL76" s="12">
        <f t="shared" ref="DL76" si="579">SUM(DL63:DL66) + SUM(DL70:DL71) + SUM(DL74:DL74)</f>
        <v>90</v>
      </c>
      <c r="DM76" s="12">
        <f t="shared" ref="DM76:DR76" si="580">SUM(DM63:DM66) + SUM(DM70:DM71) + SUM(DM74:DM74)</f>
        <v>486607</v>
      </c>
      <c r="DN76" s="12">
        <f t="shared" si="580"/>
        <v>15.41</v>
      </c>
      <c r="DO76" s="12">
        <f t="shared" si="580"/>
        <v>64.894994959999906</v>
      </c>
      <c r="DP76" s="78">
        <f t="shared" si="580"/>
        <v>-49.484994959999902</v>
      </c>
      <c r="DQ76" s="114">
        <f t="shared" si="580"/>
        <v>24933.372235509996</v>
      </c>
      <c r="DR76" s="12">
        <f t="shared" si="580"/>
        <v>25045.457580999999</v>
      </c>
      <c r="DS76" s="12" t="e">
        <f>SUM(#REF!) + SUM(#REF!) + SUM(#REF!)</f>
        <v>#REF!</v>
      </c>
      <c r="DT76" s="11" t="e">
        <f>SUM(#REF!) + SUM(#REF!) + SUM(#REF!)</f>
        <v>#REF!</v>
      </c>
      <c r="DU76" s="49" t="s">
        <v>52</v>
      </c>
      <c r="DV76" s="136"/>
      <c r="DW76" s="137"/>
      <c r="DX76" s="49" t="s">
        <v>52</v>
      </c>
      <c r="DY76" s="136">
        <f t="shared" ref="DY76" si="581">(DN76-DB76)/DB76</f>
        <v>-2.0965692503176623E-2</v>
      </c>
      <c r="DZ76" s="137">
        <f t="shared" ref="DZ76" si="582">(DP76-DD76)/DD76</f>
        <v>-0.15442033598161936</v>
      </c>
      <c r="EA76" s="138">
        <f t="shared" ref="EA76" si="583">(DR76-DF76)/DF76</f>
        <v>-4.109218187558176E-3</v>
      </c>
    </row>
    <row r="77" spans="1:131" x14ac:dyDescent="0.5">
      <c r="A77" s="52"/>
      <c r="B77" s="7" t="s">
        <v>83</v>
      </c>
      <c r="C77" s="56"/>
      <c r="D77" s="56"/>
      <c r="E77" s="49" t="s">
        <v>52</v>
      </c>
      <c r="F77" s="52"/>
      <c r="G77" s="7" t="s">
        <v>83</v>
      </c>
      <c r="H77" s="55"/>
      <c r="I77" s="55"/>
      <c r="J77" s="56"/>
      <c r="K77" s="56"/>
      <c r="L77" s="56"/>
      <c r="M77" s="56"/>
      <c r="N77" s="56"/>
      <c r="O77" s="55"/>
      <c r="P77" s="56"/>
      <c r="Q77" s="49" t="s">
        <v>52</v>
      </c>
      <c r="R77" s="52"/>
      <c r="S77" s="7" t="s">
        <v>83</v>
      </c>
      <c r="T77" s="55"/>
      <c r="U77" s="55"/>
      <c r="V77" s="56"/>
      <c r="W77" s="56"/>
      <c r="X77" s="56"/>
      <c r="Y77" s="56"/>
      <c r="Z77" s="56"/>
      <c r="AA77" s="55"/>
      <c r="AB77" s="56"/>
      <c r="AC77" s="49" t="s">
        <v>52</v>
      </c>
      <c r="AD77" s="52"/>
      <c r="AE77" s="7" t="s">
        <v>83</v>
      </c>
      <c r="AF77" s="55"/>
      <c r="AG77" s="55"/>
      <c r="AH77" s="56"/>
      <c r="AI77" s="56"/>
      <c r="AJ77" s="56"/>
      <c r="AK77" s="56"/>
      <c r="AL77" s="56"/>
      <c r="AM77" s="55"/>
      <c r="AN77" s="56"/>
      <c r="AO77" s="49" t="s">
        <v>52</v>
      </c>
      <c r="AP77" s="52"/>
      <c r="AQ77" s="7" t="s">
        <v>83</v>
      </c>
      <c r="AR77" s="55"/>
      <c r="AS77" s="55"/>
      <c r="AT77" s="56"/>
      <c r="AU77" s="56"/>
      <c r="AV77" s="56"/>
      <c r="AW77" s="56"/>
      <c r="AX77" s="56"/>
      <c r="AY77" s="55"/>
      <c r="AZ77" s="56"/>
      <c r="BA77" s="49" t="s">
        <v>52</v>
      </c>
      <c r="BB77" s="52"/>
      <c r="BC77" s="7" t="s">
        <v>83</v>
      </c>
      <c r="BD77" s="55"/>
      <c r="BE77" s="55"/>
      <c r="BF77" s="56"/>
      <c r="BG77" s="56"/>
      <c r="BH77" s="56"/>
      <c r="BI77" s="56"/>
      <c r="BJ77" s="56"/>
      <c r="BK77" s="55"/>
      <c r="BL77" s="56"/>
      <c r="BM77" s="49" t="s">
        <v>52</v>
      </c>
      <c r="BN77" s="57"/>
      <c r="BO77" s="7" t="s">
        <v>83</v>
      </c>
      <c r="BP77" s="55"/>
      <c r="BQ77" s="55"/>
      <c r="BR77" s="56"/>
      <c r="BS77" s="56"/>
      <c r="BT77" s="56"/>
      <c r="BU77" s="56"/>
      <c r="BV77" s="56"/>
      <c r="BW77" s="58"/>
      <c r="BX77" s="59"/>
      <c r="BY77" s="49" t="s">
        <v>52</v>
      </c>
      <c r="BZ77" s="57"/>
      <c r="CA77" s="7" t="s">
        <v>83</v>
      </c>
      <c r="CB77" s="55"/>
      <c r="CC77" s="55"/>
      <c r="CD77" s="56"/>
      <c r="CE77" s="56"/>
      <c r="CF77" s="56"/>
      <c r="CG77" s="56"/>
      <c r="CH77" s="56"/>
      <c r="CI77" s="58"/>
      <c r="CJ77" s="59"/>
      <c r="CK77" s="49" t="s">
        <v>52</v>
      </c>
      <c r="CL77" s="52"/>
      <c r="CM77" s="7" t="s">
        <v>83</v>
      </c>
      <c r="CN77" s="55"/>
      <c r="CO77" s="55"/>
      <c r="CP77" s="56"/>
      <c r="CQ77" s="56"/>
      <c r="CR77" s="56"/>
      <c r="CS77" s="56"/>
      <c r="CT77" s="56"/>
      <c r="CU77" s="58"/>
      <c r="CV77" s="56"/>
      <c r="CW77" s="49" t="s">
        <v>52</v>
      </c>
      <c r="CX77" s="52"/>
      <c r="CY77" s="7" t="s">
        <v>83</v>
      </c>
      <c r="CZ77" s="55"/>
      <c r="DA77" s="55"/>
      <c r="DB77" s="56"/>
      <c r="DC77" s="56"/>
      <c r="DD77" s="56"/>
      <c r="DE77" s="56"/>
      <c r="DF77" s="56"/>
      <c r="DG77" s="55"/>
      <c r="DH77" s="56"/>
      <c r="DI77" s="2" t="s">
        <v>52</v>
      </c>
      <c r="DJ77" s="84"/>
      <c r="DK77" s="90" t="s">
        <v>83</v>
      </c>
      <c r="DL77" s="83"/>
      <c r="DM77" s="83"/>
      <c r="DN77" s="84"/>
      <c r="DO77" s="84"/>
      <c r="DP77" s="84"/>
      <c r="DQ77" s="84"/>
      <c r="DR77" s="84"/>
      <c r="DS77" s="83"/>
      <c r="DT77" s="84"/>
      <c r="DU77" s="2" t="s">
        <v>52</v>
      </c>
      <c r="DV77" s="107"/>
      <c r="DW77" s="107"/>
      <c r="DX77" s="2" t="s">
        <v>52</v>
      </c>
      <c r="DY77" s="107" t="s">
        <v>52</v>
      </c>
      <c r="DZ77" s="107" t="s">
        <v>52</v>
      </c>
      <c r="EA77" s="110" t="s">
        <v>52</v>
      </c>
    </row>
    <row r="78" spans="1:131" x14ac:dyDescent="0.5">
      <c r="A78" s="50" t="s">
        <v>91</v>
      </c>
      <c r="B78" s="22" t="s">
        <v>90</v>
      </c>
      <c r="C78" s="56"/>
      <c r="D78" s="56"/>
      <c r="E78" s="49" t="s">
        <v>52</v>
      </c>
      <c r="F78" s="50" t="s">
        <v>91</v>
      </c>
      <c r="G78" s="22" t="s">
        <v>90</v>
      </c>
      <c r="H78" s="55"/>
      <c r="I78" s="55"/>
      <c r="J78" s="56"/>
      <c r="K78" s="56"/>
      <c r="L78" s="56"/>
      <c r="M78" s="56"/>
      <c r="N78" s="56"/>
      <c r="O78" s="55"/>
      <c r="P78" s="56"/>
      <c r="Q78" s="49" t="s">
        <v>52</v>
      </c>
      <c r="R78" s="50" t="s">
        <v>91</v>
      </c>
      <c r="S78" s="22" t="s">
        <v>90</v>
      </c>
      <c r="T78" s="55"/>
      <c r="U78" s="55"/>
      <c r="V78" s="56"/>
      <c r="W78" s="56"/>
      <c r="X78" s="56"/>
      <c r="Y78" s="56"/>
      <c r="Z78" s="56"/>
      <c r="AA78" s="55"/>
      <c r="AB78" s="56"/>
      <c r="AC78" s="49" t="s">
        <v>52</v>
      </c>
      <c r="AD78" s="50" t="s">
        <v>91</v>
      </c>
      <c r="AE78" s="22" t="s">
        <v>90</v>
      </c>
      <c r="AF78" s="55"/>
      <c r="AG78" s="55"/>
      <c r="AH78" s="56"/>
      <c r="AI78" s="56"/>
      <c r="AJ78" s="56"/>
      <c r="AK78" s="56"/>
      <c r="AL78" s="56"/>
      <c r="AM78" s="55"/>
      <c r="AN78" s="56"/>
      <c r="AO78" s="49" t="s">
        <v>52</v>
      </c>
      <c r="AP78" s="50" t="s">
        <v>91</v>
      </c>
      <c r="AQ78" s="22" t="s">
        <v>90</v>
      </c>
      <c r="AR78" s="55"/>
      <c r="AS78" s="55"/>
      <c r="AT78" s="56"/>
      <c r="AU78" s="56"/>
      <c r="AV78" s="56"/>
      <c r="AW78" s="56"/>
      <c r="AX78" s="56"/>
      <c r="AY78" s="55"/>
      <c r="AZ78" s="56"/>
      <c r="BA78" s="49" t="s">
        <v>52</v>
      </c>
      <c r="BB78" s="50" t="s">
        <v>91</v>
      </c>
      <c r="BC78" s="22" t="s">
        <v>90</v>
      </c>
      <c r="BD78" s="55"/>
      <c r="BE78" s="55"/>
      <c r="BF78" s="56"/>
      <c r="BG78" s="56"/>
      <c r="BH78" s="56"/>
      <c r="BI78" s="56"/>
      <c r="BJ78" s="56"/>
      <c r="BK78" s="55"/>
      <c r="BL78" s="56"/>
      <c r="BM78" s="49" t="s">
        <v>52</v>
      </c>
      <c r="BN78" s="51" t="s">
        <v>91</v>
      </c>
      <c r="BO78" s="22" t="s">
        <v>90</v>
      </c>
      <c r="BP78" s="55"/>
      <c r="BQ78" s="55"/>
      <c r="BR78" s="56"/>
      <c r="BS78" s="56"/>
      <c r="BT78" s="56"/>
      <c r="BU78" s="56"/>
      <c r="BV78" s="56"/>
      <c r="BW78" s="58"/>
      <c r="BX78" s="59"/>
      <c r="BY78" s="49" t="s">
        <v>52</v>
      </c>
      <c r="BZ78" s="51" t="s">
        <v>91</v>
      </c>
      <c r="CA78" s="22" t="s">
        <v>90</v>
      </c>
      <c r="CB78" s="55"/>
      <c r="CC78" s="55"/>
      <c r="CD78" s="56"/>
      <c r="CE78" s="56"/>
      <c r="CF78" s="56"/>
      <c r="CG78" s="56"/>
      <c r="CH78" s="56"/>
      <c r="CI78" s="58"/>
      <c r="CJ78" s="59"/>
      <c r="CK78" s="49" t="s">
        <v>52</v>
      </c>
      <c r="CL78" s="50" t="s">
        <v>91</v>
      </c>
      <c r="CM78" s="22" t="s">
        <v>90</v>
      </c>
      <c r="CN78" s="55"/>
      <c r="CO78" s="55"/>
      <c r="CP78" s="56"/>
      <c r="CQ78" s="56"/>
      <c r="CR78" s="56"/>
      <c r="CS78" s="56"/>
      <c r="CT78" s="56"/>
      <c r="CU78" s="58"/>
      <c r="CV78" s="56"/>
      <c r="CW78" s="49" t="s">
        <v>52</v>
      </c>
      <c r="CX78" s="50" t="s">
        <v>91</v>
      </c>
      <c r="CY78" s="22" t="s">
        <v>90</v>
      </c>
      <c r="CZ78" s="55"/>
      <c r="DA78" s="55"/>
      <c r="DB78" s="56"/>
      <c r="DC78" s="56"/>
      <c r="DD78" s="56"/>
      <c r="DE78" s="56"/>
      <c r="DF78" s="56"/>
      <c r="DG78" s="55"/>
      <c r="DH78" s="56"/>
      <c r="DI78" s="2" t="s">
        <v>52</v>
      </c>
      <c r="DJ78" s="80" t="s">
        <v>91</v>
      </c>
      <c r="DK78" s="82" t="s">
        <v>90</v>
      </c>
      <c r="DL78" s="83"/>
      <c r="DM78" s="83"/>
      <c r="DN78" s="84"/>
      <c r="DO78" s="84"/>
      <c r="DP78" s="84"/>
      <c r="DQ78" s="84"/>
      <c r="DR78" s="84"/>
      <c r="DS78" s="83"/>
      <c r="DT78" s="84"/>
      <c r="DU78" s="2" t="s">
        <v>52</v>
      </c>
      <c r="DV78" s="107"/>
      <c r="DW78" s="107"/>
      <c r="DX78" s="2" t="s">
        <v>52</v>
      </c>
      <c r="DY78" s="107" t="s">
        <v>52</v>
      </c>
      <c r="DZ78" s="107" t="s">
        <v>52</v>
      </c>
      <c r="EA78" s="110" t="s">
        <v>52</v>
      </c>
    </row>
    <row r="79" spans="1:131" x14ac:dyDescent="0.5">
      <c r="A79" s="17" t="s">
        <v>89</v>
      </c>
      <c r="B79" s="16" t="s">
        <v>24</v>
      </c>
      <c r="C79" s="21">
        <v>97.342399999999998</v>
      </c>
      <c r="D79" s="21">
        <v>114.2623</v>
      </c>
      <c r="E79" s="49" t="s">
        <v>52</v>
      </c>
      <c r="F79" s="17" t="s">
        <v>89</v>
      </c>
      <c r="G79" s="16" t="s">
        <v>24</v>
      </c>
      <c r="H79" s="15">
        <v>4</v>
      </c>
      <c r="I79" s="15">
        <v>1007</v>
      </c>
      <c r="J79" s="14">
        <v>2.9999999999999997E-4</v>
      </c>
      <c r="K79" s="14">
        <v>5.33E-2</v>
      </c>
      <c r="L79" s="14">
        <v>-5.2999999999999999E-2</v>
      </c>
      <c r="M79" s="14">
        <v>66.193600000000004</v>
      </c>
      <c r="N79" s="14">
        <v>94.262100000000004</v>
      </c>
      <c r="O79" s="15">
        <v>0</v>
      </c>
      <c r="P79" s="14">
        <v>0</v>
      </c>
      <c r="Q79" s="49" t="s">
        <v>52</v>
      </c>
      <c r="R79" s="17" t="s">
        <v>89</v>
      </c>
      <c r="S79" s="16" t="s">
        <v>24</v>
      </c>
      <c r="T79" s="15">
        <v>4</v>
      </c>
      <c r="U79" s="15">
        <v>998</v>
      </c>
      <c r="V79" s="14">
        <v>0</v>
      </c>
      <c r="W79" s="14">
        <v>27.270099999999999</v>
      </c>
      <c r="X79" s="14">
        <v>-27.270099999999999</v>
      </c>
      <c r="Y79" s="14">
        <v>43.863700000000001</v>
      </c>
      <c r="Z79" s="14">
        <v>78.4893</v>
      </c>
      <c r="AA79" s="15">
        <v>0</v>
      </c>
      <c r="AB79" s="14">
        <v>0</v>
      </c>
      <c r="AC79" s="49" t="s">
        <v>52</v>
      </c>
      <c r="AD79" s="17" t="s">
        <v>89</v>
      </c>
      <c r="AE79" s="16" t="s">
        <v>24</v>
      </c>
      <c r="AF79" s="15">
        <v>4</v>
      </c>
      <c r="AG79" s="15">
        <v>998</v>
      </c>
      <c r="AH79" s="14">
        <v>0</v>
      </c>
      <c r="AI79" s="14">
        <v>0</v>
      </c>
      <c r="AJ79" s="14">
        <v>0</v>
      </c>
      <c r="AK79" s="14">
        <v>44.071800000000003</v>
      </c>
      <c r="AL79" s="14">
        <v>60.078099999999999</v>
      </c>
      <c r="AM79" s="15">
        <v>0</v>
      </c>
      <c r="AN79" s="14">
        <v>0</v>
      </c>
      <c r="AO79" s="49" t="s">
        <v>52</v>
      </c>
      <c r="AP79" s="17" t="s">
        <v>89</v>
      </c>
      <c r="AQ79" s="16" t="s">
        <v>24</v>
      </c>
      <c r="AR79" s="15">
        <v>4</v>
      </c>
      <c r="AS79" s="15">
        <v>998</v>
      </c>
      <c r="AT79" s="14">
        <v>0</v>
      </c>
      <c r="AU79" s="14">
        <v>0</v>
      </c>
      <c r="AV79" s="14">
        <v>0</v>
      </c>
      <c r="AW79" s="14">
        <v>44.266300000000001</v>
      </c>
      <c r="AX79" s="14">
        <v>60.3538</v>
      </c>
      <c r="AY79" s="15">
        <v>0</v>
      </c>
      <c r="AZ79" s="14">
        <v>0</v>
      </c>
      <c r="BA79" s="49" t="s">
        <v>52</v>
      </c>
      <c r="BB79" s="17" t="s">
        <v>89</v>
      </c>
      <c r="BC79" s="16" t="s">
        <v>24</v>
      </c>
      <c r="BD79" s="15">
        <v>4</v>
      </c>
      <c r="BE79" s="15">
        <v>989</v>
      </c>
      <c r="BF79" s="14">
        <v>0</v>
      </c>
      <c r="BG79" s="14">
        <v>11.437900000000001</v>
      </c>
      <c r="BH79" s="14">
        <v>-11.437900000000001</v>
      </c>
      <c r="BI79" s="14">
        <v>40.711599999999997</v>
      </c>
      <c r="BJ79" s="14">
        <v>51.773200000000003</v>
      </c>
      <c r="BK79" s="15">
        <v>0</v>
      </c>
      <c r="BL79" s="14">
        <v>0</v>
      </c>
      <c r="BM79" s="49" t="s">
        <v>52</v>
      </c>
      <c r="BN79" s="20" t="s">
        <v>89</v>
      </c>
      <c r="BO79" s="16" t="s">
        <v>24</v>
      </c>
      <c r="BP79" s="15">
        <v>4</v>
      </c>
      <c r="BQ79" s="15">
        <v>939</v>
      </c>
      <c r="BR79" s="14">
        <v>0</v>
      </c>
      <c r="BS79" s="14">
        <v>2.52</v>
      </c>
      <c r="BT79" s="14">
        <v>-2.52</v>
      </c>
      <c r="BU79" s="14">
        <v>38.377699999999997</v>
      </c>
      <c r="BV79" s="14">
        <v>47.593800000000002</v>
      </c>
      <c r="BW79" s="18">
        <v>0</v>
      </c>
      <c r="BX79" s="19">
        <v>0</v>
      </c>
      <c r="BY79" s="49" t="s">
        <v>52</v>
      </c>
      <c r="BZ79" s="20" t="s">
        <v>89</v>
      </c>
      <c r="CA79" s="16" t="s">
        <v>24</v>
      </c>
      <c r="CB79" s="15">
        <v>4</v>
      </c>
      <c r="CC79" s="15">
        <v>938</v>
      </c>
      <c r="CD79" s="14">
        <v>0</v>
      </c>
      <c r="CE79" s="14">
        <v>0</v>
      </c>
      <c r="CF79" s="14">
        <v>0</v>
      </c>
      <c r="CG79" s="14">
        <v>38.559800000000003</v>
      </c>
      <c r="CH79" s="14">
        <v>47.108899999999998</v>
      </c>
      <c r="CI79" s="18">
        <v>0</v>
      </c>
      <c r="CJ79" s="19">
        <v>0</v>
      </c>
      <c r="CK79" s="49" t="s">
        <v>52</v>
      </c>
      <c r="CL79" s="17" t="s">
        <v>89</v>
      </c>
      <c r="CM79" s="16" t="s">
        <v>24</v>
      </c>
      <c r="CN79" s="15">
        <v>3</v>
      </c>
      <c r="CO79" s="15">
        <v>914</v>
      </c>
      <c r="CP79" s="14">
        <v>0</v>
      </c>
      <c r="CQ79" s="14">
        <v>3.0000000000001099E-2</v>
      </c>
      <c r="CR79" s="14">
        <v>-3.0000000000001099E-2</v>
      </c>
      <c r="CS79" s="14">
        <v>30.018599999999999</v>
      </c>
      <c r="CT79" s="14">
        <v>45.6389</v>
      </c>
      <c r="CU79" s="18">
        <v>0</v>
      </c>
      <c r="CV79" s="14">
        <v>0</v>
      </c>
      <c r="CW79" s="49" t="s">
        <v>52</v>
      </c>
      <c r="CX79" s="17" t="s">
        <v>89</v>
      </c>
      <c r="CY79" s="16" t="s">
        <v>24</v>
      </c>
      <c r="CZ79" s="15">
        <v>3</v>
      </c>
      <c r="DA79" s="15">
        <v>914</v>
      </c>
      <c r="DB79" s="14">
        <v>0</v>
      </c>
      <c r="DC79" s="14">
        <v>0</v>
      </c>
      <c r="DD79" s="14">
        <v>0</v>
      </c>
      <c r="DE79" s="14">
        <v>30.163699999999999</v>
      </c>
      <c r="DF79" s="14">
        <v>39.150700000000001</v>
      </c>
      <c r="DG79" s="15">
        <v>0</v>
      </c>
      <c r="DH79" s="14">
        <v>0</v>
      </c>
      <c r="DI79" s="2" t="s">
        <v>52</v>
      </c>
      <c r="DJ79" s="85" t="s">
        <v>89</v>
      </c>
      <c r="DK79" s="86" t="s">
        <v>24</v>
      </c>
      <c r="DL79" s="87">
        <v>3</v>
      </c>
      <c r="DM79" s="87">
        <v>914</v>
      </c>
      <c r="DN79" s="88">
        <v>0</v>
      </c>
      <c r="DO79" s="88">
        <v>0</v>
      </c>
      <c r="DP79" s="88">
        <v>0</v>
      </c>
      <c r="DQ79" s="88">
        <v>30.163699999999999</v>
      </c>
      <c r="DR79" s="88">
        <v>39.150700000000001</v>
      </c>
      <c r="DS79" s="87">
        <v>0</v>
      </c>
      <c r="DT79" s="88">
        <v>0</v>
      </c>
      <c r="DU79" s="2" t="s">
        <v>52</v>
      </c>
      <c r="DV79" s="136"/>
      <c r="DW79" s="137"/>
      <c r="DX79" s="2" t="s">
        <v>52</v>
      </c>
      <c r="DY79" s="136">
        <v>0</v>
      </c>
      <c r="DZ79" s="137">
        <v>0</v>
      </c>
      <c r="EA79" s="138">
        <f t="shared" ref="EA79" si="584">(DR79-DF79)/DF79</f>
        <v>0</v>
      </c>
    </row>
    <row r="80" spans="1:131" x14ac:dyDescent="0.5">
      <c r="A80" s="52"/>
      <c r="B80" s="52"/>
      <c r="C80" s="56"/>
      <c r="D80" s="56"/>
      <c r="E80" s="49" t="s">
        <v>52</v>
      </c>
      <c r="F80" s="52"/>
      <c r="G80" s="52"/>
      <c r="H80" s="55"/>
      <c r="I80" s="55"/>
      <c r="J80" s="56"/>
      <c r="K80" s="56"/>
      <c r="L80" s="56"/>
      <c r="M80" s="56"/>
      <c r="N80" s="56"/>
      <c r="O80" s="55"/>
      <c r="P80" s="56"/>
      <c r="Q80" s="49" t="s">
        <v>52</v>
      </c>
      <c r="R80" s="52"/>
      <c r="S80" s="52"/>
      <c r="T80" s="55"/>
      <c r="U80" s="55"/>
      <c r="V80" s="56"/>
      <c r="W80" s="56"/>
      <c r="X80" s="56"/>
      <c r="Y80" s="56"/>
      <c r="Z80" s="56"/>
      <c r="AA80" s="55"/>
      <c r="AB80" s="56"/>
      <c r="AC80" s="49" t="s">
        <v>52</v>
      </c>
      <c r="AD80" s="52"/>
      <c r="AE80" s="52"/>
      <c r="AF80" s="55"/>
      <c r="AG80" s="55"/>
      <c r="AH80" s="56"/>
      <c r="AI80" s="56"/>
      <c r="AJ80" s="56"/>
      <c r="AK80" s="56"/>
      <c r="AL80" s="56"/>
      <c r="AM80" s="55"/>
      <c r="AN80" s="56"/>
      <c r="AO80" s="49" t="s">
        <v>52</v>
      </c>
      <c r="AP80" s="52"/>
      <c r="AQ80" s="52"/>
      <c r="AR80" s="55"/>
      <c r="AS80" s="55"/>
      <c r="AT80" s="56"/>
      <c r="AU80" s="56"/>
      <c r="AV80" s="56"/>
      <c r="AW80" s="56"/>
      <c r="AX80" s="56"/>
      <c r="AY80" s="55"/>
      <c r="AZ80" s="56"/>
      <c r="BA80" s="49" t="s">
        <v>52</v>
      </c>
      <c r="BB80" s="52"/>
      <c r="BC80" s="52"/>
      <c r="BD80" s="55"/>
      <c r="BE80" s="55"/>
      <c r="BF80" s="56"/>
      <c r="BG80" s="56"/>
      <c r="BH80" s="56"/>
      <c r="BI80" s="56"/>
      <c r="BJ80" s="56"/>
      <c r="BK80" s="55"/>
      <c r="BL80" s="56"/>
      <c r="BM80" s="49" t="s">
        <v>52</v>
      </c>
      <c r="BN80" s="57"/>
      <c r="BO80" s="52"/>
      <c r="BP80" s="55"/>
      <c r="BQ80" s="55"/>
      <c r="BR80" s="56"/>
      <c r="BS80" s="56"/>
      <c r="BT80" s="56"/>
      <c r="BU80" s="56"/>
      <c r="BV80" s="56"/>
      <c r="BW80" s="58"/>
      <c r="BX80" s="59"/>
      <c r="BY80" s="49" t="s">
        <v>52</v>
      </c>
      <c r="BZ80" s="57"/>
      <c r="CA80" s="52"/>
      <c r="CB80" s="55"/>
      <c r="CC80" s="55"/>
      <c r="CD80" s="56"/>
      <c r="CE80" s="56"/>
      <c r="CF80" s="56"/>
      <c r="CG80" s="56"/>
      <c r="CH80" s="56"/>
      <c r="CI80" s="58"/>
      <c r="CJ80" s="59"/>
      <c r="CK80" s="49" t="s">
        <v>52</v>
      </c>
      <c r="CL80" s="52"/>
      <c r="CM80" s="52"/>
      <c r="CN80" s="55"/>
      <c r="CO80" s="55"/>
      <c r="CP80" s="56"/>
      <c r="CQ80" s="56"/>
      <c r="CR80" s="56"/>
      <c r="CS80" s="56"/>
      <c r="CT80" s="56"/>
      <c r="CU80" s="58"/>
      <c r="CV80" s="56"/>
      <c r="CW80" s="49" t="s">
        <v>52</v>
      </c>
      <c r="CX80" s="52"/>
      <c r="CY80" s="52"/>
      <c r="CZ80" s="55"/>
      <c r="DA80" s="55"/>
      <c r="DB80" s="56"/>
      <c r="DC80" s="56"/>
      <c r="DD80" s="56"/>
      <c r="DE80" s="56"/>
      <c r="DF80" s="56"/>
      <c r="DG80" s="55"/>
      <c r="DH80" s="56"/>
      <c r="DI80" s="2" t="s">
        <v>52</v>
      </c>
      <c r="DJ80" s="84"/>
      <c r="DK80" s="84"/>
      <c r="DL80" s="83"/>
      <c r="DM80" s="83"/>
      <c r="DN80" s="84"/>
      <c r="DO80" s="84"/>
      <c r="DP80" s="84"/>
      <c r="DQ80" s="84"/>
      <c r="DR80" s="84"/>
      <c r="DS80" s="83"/>
      <c r="DT80" s="84"/>
      <c r="DU80" s="2" t="s">
        <v>52</v>
      </c>
      <c r="DV80" s="107"/>
      <c r="DW80" s="107"/>
      <c r="DX80" s="2" t="s">
        <v>52</v>
      </c>
      <c r="DY80" s="107" t="s">
        <v>52</v>
      </c>
      <c r="DZ80" s="107" t="s">
        <v>52</v>
      </c>
      <c r="EA80" s="110" t="s">
        <v>52</v>
      </c>
    </row>
    <row r="81" spans="1:131" x14ac:dyDescent="0.5">
      <c r="A81" s="17" t="s">
        <v>88</v>
      </c>
      <c r="B81" s="16" t="s">
        <v>87</v>
      </c>
      <c r="C81" s="21">
        <v>0</v>
      </c>
      <c r="D81" s="21">
        <v>0</v>
      </c>
      <c r="E81" s="49" t="s">
        <v>52</v>
      </c>
      <c r="F81" s="17" t="s">
        <v>88</v>
      </c>
      <c r="G81" s="16" t="s">
        <v>87</v>
      </c>
      <c r="H81" s="15">
        <v>0</v>
      </c>
      <c r="I81" s="15">
        <v>0</v>
      </c>
      <c r="J81" s="14">
        <v>0</v>
      </c>
      <c r="K81" s="14">
        <v>0</v>
      </c>
      <c r="L81" s="14">
        <v>0</v>
      </c>
      <c r="M81" s="14">
        <v>0</v>
      </c>
      <c r="N81" s="14">
        <v>0</v>
      </c>
      <c r="O81" s="15">
        <v>0</v>
      </c>
      <c r="P81" s="14">
        <v>0</v>
      </c>
      <c r="Q81" s="49" t="s">
        <v>52</v>
      </c>
      <c r="R81" s="17" t="s">
        <v>88</v>
      </c>
      <c r="S81" s="16" t="s">
        <v>87</v>
      </c>
      <c r="T81" s="15">
        <v>0</v>
      </c>
      <c r="U81" s="15">
        <v>0</v>
      </c>
      <c r="V81" s="14">
        <v>0</v>
      </c>
      <c r="W81" s="14">
        <v>0</v>
      </c>
      <c r="X81" s="14">
        <v>0</v>
      </c>
      <c r="Y81" s="14">
        <v>0</v>
      </c>
      <c r="Z81" s="14">
        <v>0</v>
      </c>
      <c r="AA81" s="15">
        <v>0</v>
      </c>
      <c r="AB81" s="14">
        <v>0</v>
      </c>
      <c r="AC81" s="49" t="s">
        <v>52</v>
      </c>
      <c r="AD81" s="17" t="s">
        <v>88</v>
      </c>
      <c r="AE81" s="16" t="s">
        <v>87</v>
      </c>
      <c r="AF81" s="15">
        <v>0</v>
      </c>
      <c r="AG81" s="15">
        <v>0</v>
      </c>
      <c r="AH81" s="14">
        <v>0</v>
      </c>
      <c r="AI81" s="14">
        <v>0</v>
      </c>
      <c r="AJ81" s="14">
        <v>0</v>
      </c>
      <c r="AK81" s="14">
        <v>0</v>
      </c>
      <c r="AL81" s="14">
        <v>0</v>
      </c>
      <c r="AM81" s="15">
        <v>0</v>
      </c>
      <c r="AN81" s="14">
        <v>0</v>
      </c>
      <c r="AO81" s="49" t="s">
        <v>52</v>
      </c>
      <c r="AP81" s="17" t="s">
        <v>88</v>
      </c>
      <c r="AQ81" s="16" t="s">
        <v>87</v>
      </c>
      <c r="AR81" s="15">
        <v>0</v>
      </c>
      <c r="AS81" s="15">
        <v>0</v>
      </c>
      <c r="AT81" s="14">
        <v>0</v>
      </c>
      <c r="AU81" s="14">
        <v>0</v>
      </c>
      <c r="AV81" s="14">
        <v>0</v>
      </c>
      <c r="AW81" s="14">
        <v>0</v>
      </c>
      <c r="AX81" s="14">
        <v>0</v>
      </c>
      <c r="AY81" s="15">
        <v>0</v>
      </c>
      <c r="AZ81" s="14">
        <v>0</v>
      </c>
      <c r="BA81" s="49" t="s">
        <v>52</v>
      </c>
      <c r="BB81" s="17" t="s">
        <v>88</v>
      </c>
      <c r="BC81" s="16" t="s">
        <v>87</v>
      </c>
      <c r="BD81" s="15">
        <v>0</v>
      </c>
      <c r="BE81" s="15">
        <v>0</v>
      </c>
      <c r="BF81" s="14">
        <v>0</v>
      </c>
      <c r="BG81" s="14">
        <v>0</v>
      </c>
      <c r="BH81" s="14">
        <v>0</v>
      </c>
      <c r="BI81" s="14">
        <v>0</v>
      </c>
      <c r="BJ81" s="14">
        <v>0</v>
      </c>
      <c r="BK81" s="15">
        <v>0</v>
      </c>
      <c r="BL81" s="14">
        <v>0</v>
      </c>
      <c r="BM81" s="49" t="s">
        <v>52</v>
      </c>
      <c r="BN81" s="20" t="s">
        <v>88</v>
      </c>
      <c r="BO81" s="16" t="s">
        <v>87</v>
      </c>
      <c r="BP81" s="15">
        <v>0</v>
      </c>
      <c r="BQ81" s="15">
        <v>0</v>
      </c>
      <c r="BR81" s="14">
        <v>0</v>
      </c>
      <c r="BS81" s="14">
        <v>0</v>
      </c>
      <c r="BT81" s="14">
        <v>0</v>
      </c>
      <c r="BU81" s="14">
        <v>0</v>
      </c>
      <c r="BV81" s="14">
        <v>0</v>
      </c>
      <c r="BW81" s="18">
        <v>0</v>
      </c>
      <c r="BX81" s="19">
        <v>0</v>
      </c>
      <c r="BY81" s="49" t="s">
        <v>52</v>
      </c>
      <c r="BZ81" s="20" t="s">
        <v>88</v>
      </c>
      <c r="CA81" s="16" t="s">
        <v>87</v>
      </c>
      <c r="CB81" s="15">
        <v>0</v>
      </c>
      <c r="CC81" s="15">
        <v>0</v>
      </c>
      <c r="CD81" s="14">
        <v>0</v>
      </c>
      <c r="CE81" s="14">
        <v>0</v>
      </c>
      <c r="CF81" s="14">
        <v>0</v>
      </c>
      <c r="CG81" s="14">
        <v>0</v>
      </c>
      <c r="CH81" s="14">
        <v>0</v>
      </c>
      <c r="CI81" s="18">
        <v>0</v>
      </c>
      <c r="CJ81" s="19">
        <v>0</v>
      </c>
      <c r="CK81" s="49" t="s">
        <v>52</v>
      </c>
      <c r="CL81" s="17" t="s">
        <v>88</v>
      </c>
      <c r="CM81" s="16" t="s">
        <v>87</v>
      </c>
      <c r="CN81" s="15">
        <v>0</v>
      </c>
      <c r="CO81" s="15">
        <v>0</v>
      </c>
      <c r="CP81" s="14">
        <v>0</v>
      </c>
      <c r="CQ81" s="14">
        <v>0</v>
      </c>
      <c r="CR81" s="14">
        <v>0</v>
      </c>
      <c r="CS81" s="14">
        <v>0</v>
      </c>
      <c r="CT81" s="14">
        <v>0</v>
      </c>
      <c r="CU81" s="18">
        <v>0</v>
      </c>
      <c r="CV81" s="14">
        <v>0</v>
      </c>
      <c r="CW81" s="49" t="s">
        <v>52</v>
      </c>
      <c r="CX81" s="17" t="s">
        <v>88</v>
      </c>
      <c r="CY81" s="16" t="s">
        <v>87</v>
      </c>
      <c r="CZ81" s="15">
        <v>0</v>
      </c>
      <c r="DA81" s="15">
        <v>0</v>
      </c>
      <c r="DB81" s="14">
        <v>0</v>
      </c>
      <c r="DC81" s="14">
        <v>0</v>
      </c>
      <c r="DD81" s="14">
        <v>0</v>
      </c>
      <c r="DE81" s="14">
        <v>0</v>
      </c>
      <c r="DF81" s="14">
        <v>0</v>
      </c>
      <c r="DG81" s="15">
        <v>0</v>
      </c>
      <c r="DH81" s="14">
        <v>0</v>
      </c>
      <c r="DI81" s="2" t="s">
        <v>52</v>
      </c>
      <c r="DJ81" s="85" t="s">
        <v>88</v>
      </c>
      <c r="DK81" s="86" t="s">
        <v>87</v>
      </c>
      <c r="DL81" s="87">
        <v>0</v>
      </c>
      <c r="DM81" s="87">
        <v>0</v>
      </c>
      <c r="DN81" s="88">
        <v>0</v>
      </c>
      <c r="DO81" s="88">
        <v>0</v>
      </c>
      <c r="DP81" s="88">
        <v>0</v>
      </c>
      <c r="DQ81" s="88">
        <v>0</v>
      </c>
      <c r="DR81" s="88">
        <v>0</v>
      </c>
      <c r="DS81" s="87">
        <v>0</v>
      </c>
      <c r="DT81" s="88">
        <v>0</v>
      </c>
      <c r="DU81" s="2" t="s">
        <v>52</v>
      </c>
      <c r="DV81" s="136"/>
      <c r="DW81" s="137"/>
      <c r="DX81" s="2" t="s">
        <v>52</v>
      </c>
      <c r="DY81" s="136">
        <v>0</v>
      </c>
      <c r="DZ81" s="137">
        <v>0</v>
      </c>
      <c r="EA81" s="138">
        <v>0</v>
      </c>
    </row>
    <row r="82" spans="1:131" x14ac:dyDescent="0.5">
      <c r="A82" s="52"/>
      <c r="B82" s="52"/>
      <c r="C82" s="56"/>
      <c r="D82" s="56"/>
      <c r="E82" s="49" t="s">
        <v>52</v>
      </c>
      <c r="F82" s="52"/>
      <c r="G82" s="52"/>
      <c r="H82" s="55"/>
      <c r="I82" s="55"/>
      <c r="J82" s="56"/>
      <c r="K82" s="56"/>
      <c r="L82" s="56"/>
      <c r="M82" s="56"/>
      <c r="N82" s="56"/>
      <c r="O82" s="55"/>
      <c r="P82" s="56"/>
      <c r="Q82" s="49" t="s">
        <v>52</v>
      </c>
      <c r="R82" s="52"/>
      <c r="S82" s="52"/>
      <c r="T82" s="55"/>
      <c r="U82" s="55"/>
      <c r="V82" s="56"/>
      <c r="W82" s="56"/>
      <c r="X82" s="56"/>
      <c r="Y82" s="56"/>
      <c r="Z82" s="56"/>
      <c r="AA82" s="55"/>
      <c r="AB82" s="56"/>
      <c r="AC82" s="49" t="s">
        <v>52</v>
      </c>
      <c r="AD82" s="52"/>
      <c r="AE82" s="52"/>
      <c r="AF82" s="55"/>
      <c r="AG82" s="55"/>
      <c r="AH82" s="56"/>
      <c r="AI82" s="56"/>
      <c r="AJ82" s="56"/>
      <c r="AK82" s="56"/>
      <c r="AL82" s="56"/>
      <c r="AM82" s="55"/>
      <c r="AN82" s="56"/>
      <c r="AO82" s="49" t="s">
        <v>52</v>
      </c>
      <c r="AP82" s="52"/>
      <c r="AQ82" s="52"/>
      <c r="AR82" s="55"/>
      <c r="AS82" s="55"/>
      <c r="AT82" s="56"/>
      <c r="AU82" s="56"/>
      <c r="AV82" s="56"/>
      <c r="AW82" s="56"/>
      <c r="AX82" s="56"/>
      <c r="AY82" s="55"/>
      <c r="AZ82" s="56"/>
      <c r="BA82" s="49" t="s">
        <v>52</v>
      </c>
      <c r="BB82" s="52"/>
      <c r="BC82" s="52"/>
      <c r="BD82" s="55"/>
      <c r="BE82" s="55"/>
      <c r="BF82" s="56"/>
      <c r="BG82" s="56"/>
      <c r="BH82" s="56"/>
      <c r="BI82" s="56"/>
      <c r="BJ82" s="56"/>
      <c r="BK82" s="55"/>
      <c r="BL82" s="56"/>
      <c r="BM82" s="49" t="s">
        <v>52</v>
      </c>
      <c r="BN82" s="57"/>
      <c r="BO82" s="52"/>
      <c r="BP82" s="55"/>
      <c r="BQ82" s="55"/>
      <c r="BR82" s="56"/>
      <c r="BS82" s="56"/>
      <c r="BT82" s="56"/>
      <c r="BU82" s="56"/>
      <c r="BV82" s="56"/>
      <c r="BW82" s="58"/>
      <c r="BX82" s="59"/>
      <c r="BY82" s="49" t="s">
        <v>52</v>
      </c>
      <c r="BZ82" s="57"/>
      <c r="CA82" s="52"/>
      <c r="CB82" s="55"/>
      <c r="CC82" s="55"/>
      <c r="CD82" s="56"/>
      <c r="CE82" s="56"/>
      <c r="CF82" s="56"/>
      <c r="CG82" s="56"/>
      <c r="CH82" s="56"/>
      <c r="CI82" s="58"/>
      <c r="CJ82" s="59"/>
      <c r="CK82" s="49" t="s">
        <v>52</v>
      </c>
      <c r="CL82" s="52"/>
      <c r="CM82" s="52"/>
      <c r="CN82" s="55"/>
      <c r="CO82" s="55"/>
      <c r="CP82" s="56"/>
      <c r="CQ82" s="56"/>
      <c r="CR82" s="56"/>
      <c r="CS82" s="56"/>
      <c r="CT82" s="56"/>
      <c r="CU82" s="58"/>
      <c r="CV82" s="56"/>
      <c r="CW82" s="49" t="s">
        <v>52</v>
      </c>
      <c r="CX82" s="52"/>
      <c r="CY82" s="52"/>
      <c r="CZ82" s="55"/>
      <c r="DA82" s="55"/>
      <c r="DB82" s="56"/>
      <c r="DC82" s="56"/>
      <c r="DD82" s="56"/>
      <c r="DE82" s="56"/>
      <c r="DF82" s="56"/>
      <c r="DG82" s="55"/>
      <c r="DH82" s="56"/>
      <c r="DI82" s="2" t="s">
        <v>52</v>
      </c>
      <c r="DJ82" s="84"/>
      <c r="DK82" s="84"/>
      <c r="DL82" s="83"/>
      <c r="DM82" s="83"/>
      <c r="DN82" s="84"/>
      <c r="DO82" s="84"/>
      <c r="DP82" s="84"/>
      <c r="DQ82" s="84"/>
      <c r="DR82" s="84"/>
      <c r="DS82" s="83"/>
      <c r="DT82" s="84"/>
      <c r="DU82" s="2" t="s">
        <v>52</v>
      </c>
      <c r="DV82" s="110"/>
      <c r="DW82" s="108"/>
      <c r="DX82" s="2" t="s">
        <v>52</v>
      </c>
      <c r="DY82" s="110"/>
      <c r="DZ82" s="108"/>
      <c r="EA82" s="110"/>
    </row>
    <row r="83" spans="1:131" x14ac:dyDescent="0.5">
      <c r="A83" s="17" t="s">
        <v>86</v>
      </c>
      <c r="B83" s="16" t="s">
        <v>85</v>
      </c>
      <c r="C83" s="21">
        <v>0</v>
      </c>
      <c r="D83" s="21">
        <v>0</v>
      </c>
      <c r="E83" s="49" t="s">
        <v>52</v>
      </c>
      <c r="F83" s="17" t="s">
        <v>86</v>
      </c>
      <c r="G83" s="16" t="s">
        <v>85</v>
      </c>
      <c r="H83" s="15">
        <v>0</v>
      </c>
      <c r="I83" s="15">
        <v>0</v>
      </c>
      <c r="J83" s="14">
        <v>0</v>
      </c>
      <c r="K83" s="14">
        <v>0</v>
      </c>
      <c r="L83" s="14">
        <v>0</v>
      </c>
      <c r="M83" s="14">
        <v>0</v>
      </c>
      <c r="N83" s="14">
        <v>0</v>
      </c>
      <c r="O83" s="15">
        <v>0</v>
      </c>
      <c r="P83" s="14">
        <v>0</v>
      </c>
      <c r="Q83" s="49" t="s">
        <v>52</v>
      </c>
      <c r="R83" s="17" t="s">
        <v>86</v>
      </c>
      <c r="S83" s="16" t="s">
        <v>85</v>
      </c>
      <c r="T83" s="15">
        <v>0</v>
      </c>
      <c r="U83" s="15">
        <v>0</v>
      </c>
      <c r="V83" s="14">
        <v>0</v>
      </c>
      <c r="W83" s="14">
        <v>0</v>
      </c>
      <c r="X83" s="14">
        <v>0</v>
      </c>
      <c r="Y83" s="14">
        <v>0</v>
      </c>
      <c r="Z83" s="14">
        <v>0</v>
      </c>
      <c r="AA83" s="15">
        <v>0</v>
      </c>
      <c r="AB83" s="14">
        <v>0</v>
      </c>
      <c r="AC83" s="49" t="s">
        <v>52</v>
      </c>
      <c r="AD83" s="17" t="s">
        <v>86</v>
      </c>
      <c r="AE83" s="16" t="s">
        <v>85</v>
      </c>
      <c r="AF83" s="15">
        <v>0</v>
      </c>
      <c r="AG83" s="15">
        <v>0</v>
      </c>
      <c r="AH83" s="14">
        <v>0</v>
      </c>
      <c r="AI83" s="14">
        <v>0</v>
      </c>
      <c r="AJ83" s="14">
        <v>0</v>
      </c>
      <c r="AK83" s="14">
        <v>0</v>
      </c>
      <c r="AL83" s="14">
        <v>0</v>
      </c>
      <c r="AM83" s="15">
        <v>0</v>
      </c>
      <c r="AN83" s="14">
        <v>0</v>
      </c>
      <c r="AO83" s="49" t="s">
        <v>52</v>
      </c>
      <c r="AP83" s="17" t="s">
        <v>86</v>
      </c>
      <c r="AQ83" s="16" t="s">
        <v>85</v>
      </c>
      <c r="AR83" s="15">
        <v>0</v>
      </c>
      <c r="AS83" s="15">
        <v>0</v>
      </c>
      <c r="AT83" s="14">
        <v>0</v>
      </c>
      <c r="AU83" s="14">
        <v>0</v>
      </c>
      <c r="AV83" s="14">
        <v>0</v>
      </c>
      <c r="AW83" s="14">
        <v>0</v>
      </c>
      <c r="AX83" s="14">
        <v>0</v>
      </c>
      <c r="AY83" s="15">
        <v>0</v>
      </c>
      <c r="AZ83" s="14">
        <v>0</v>
      </c>
      <c r="BA83" s="49" t="s">
        <v>52</v>
      </c>
      <c r="BB83" s="17" t="s">
        <v>86</v>
      </c>
      <c r="BC83" s="16" t="s">
        <v>85</v>
      </c>
      <c r="BD83" s="15">
        <v>0</v>
      </c>
      <c r="BE83" s="15">
        <v>0</v>
      </c>
      <c r="BF83" s="14">
        <v>0</v>
      </c>
      <c r="BG83" s="14">
        <v>0</v>
      </c>
      <c r="BH83" s="14">
        <v>0</v>
      </c>
      <c r="BI83" s="14">
        <v>0</v>
      </c>
      <c r="BJ83" s="14">
        <v>0</v>
      </c>
      <c r="BK83" s="15">
        <v>0</v>
      </c>
      <c r="BL83" s="14">
        <v>0</v>
      </c>
      <c r="BM83" s="49" t="s">
        <v>52</v>
      </c>
      <c r="BN83" s="20" t="s">
        <v>86</v>
      </c>
      <c r="BO83" s="16" t="s">
        <v>85</v>
      </c>
      <c r="BP83" s="15">
        <v>0</v>
      </c>
      <c r="BQ83" s="15">
        <v>0</v>
      </c>
      <c r="BR83" s="14">
        <v>0</v>
      </c>
      <c r="BS83" s="14">
        <v>0</v>
      </c>
      <c r="BT83" s="14">
        <v>0</v>
      </c>
      <c r="BU83" s="14">
        <v>0</v>
      </c>
      <c r="BV83" s="14">
        <v>0</v>
      </c>
      <c r="BW83" s="18">
        <v>0</v>
      </c>
      <c r="BX83" s="19">
        <v>0</v>
      </c>
      <c r="BY83" s="49" t="s">
        <v>52</v>
      </c>
      <c r="BZ83" s="20" t="s">
        <v>86</v>
      </c>
      <c r="CA83" s="16" t="s">
        <v>85</v>
      </c>
      <c r="CB83" s="15">
        <v>0</v>
      </c>
      <c r="CC83" s="15">
        <v>0</v>
      </c>
      <c r="CD83" s="14">
        <v>0</v>
      </c>
      <c r="CE83" s="14">
        <v>0</v>
      </c>
      <c r="CF83" s="14">
        <v>0</v>
      </c>
      <c r="CG83" s="14">
        <v>0</v>
      </c>
      <c r="CH83" s="14">
        <v>0</v>
      </c>
      <c r="CI83" s="18">
        <v>0</v>
      </c>
      <c r="CJ83" s="19">
        <v>0</v>
      </c>
      <c r="CK83" s="49" t="s">
        <v>52</v>
      </c>
      <c r="CL83" s="17" t="s">
        <v>86</v>
      </c>
      <c r="CM83" s="16" t="s">
        <v>85</v>
      </c>
      <c r="CN83" s="15">
        <v>0</v>
      </c>
      <c r="CO83" s="15">
        <v>0</v>
      </c>
      <c r="CP83" s="14">
        <v>0</v>
      </c>
      <c r="CQ83" s="14">
        <v>0</v>
      </c>
      <c r="CR83" s="14">
        <v>0</v>
      </c>
      <c r="CS83" s="14">
        <v>0</v>
      </c>
      <c r="CT83" s="14">
        <v>0</v>
      </c>
      <c r="CU83" s="18">
        <v>0</v>
      </c>
      <c r="CV83" s="14">
        <v>0</v>
      </c>
      <c r="CW83" s="49" t="s">
        <v>52</v>
      </c>
      <c r="CX83" s="17" t="s">
        <v>86</v>
      </c>
      <c r="CY83" s="16" t="s">
        <v>85</v>
      </c>
      <c r="CZ83" s="15">
        <v>0</v>
      </c>
      <c r="DA83" s="15">
        <v>0</v>
      </c>
      <c r="DB83" s="14">
        <v>0</v>
      </c>
      <c r="DC83" s="14">
        <v>0</v>
      </c>
      <c r="DD83" s="14">
        <v>0</v>
      </c>
      <c r="DE83" s="14">
        <v>0</v>
      </c>
      <c r="DF83" s="14">
        <v>0</v>
      </c>
      <c r="DG83" s="15">
        <v>0</v>
      </c>
      <c r="DH83" s="14">
        <v>0</v>
      </c>
      <c r="DI83" s="2" t="s">
        <v>52</v>
      </c>
      <c r="DJ83" s="85" t="s">
        <v>86</v>
      </c>
      <c r="DK83" s="86" t="s">
        <v>85</v>
      </c>
      <c r="DL83" s="87">
        <v>0</v>
      </c>
      <c r="DM83" s="87">
        <v>0</v>
      </c>
      <c r="DN83" s="88">
        <v>0</v>
      </c>
      <c r="DO83" s="88">
        <v>0</v>
      </c>
      <c r="DP83" s="88">
        <v>0</v>
      </c>
      <c r="DQ83" s="88">
        <v>0</v>
      </c>
      <c r="DR83" s="88">
        <v>0</v>
      </c>
      <c r="DS83" s="87">
        <v>0</v>
      </c>
      <c r="DT83" s="88">
        <v>0</v>
      </c>
      <c r="DU83" s="2" t="s">
        <v>52</v>
      </c>
      <c r="DV83" s="136">
        <v>0</v>
      </c>
      <c r="DW83" s="137">
        <v>0</v>
      </c>
      <c r="DX83" s="2" t="s">
        <v>52</v>
      </c>
      <c r="DY83" s="136">
        <v>0</v>
      </c>
      <c r="DZ83" s="137">
        <v>0</v>
      </c>
      <c r="EA83" s="138">
        <v>0</v>
      </c>
    </row>
    <row r="84" spans="1:131" x14ac:dyDescent="0.5">
      <c r="A84" s="52"/>
      <c r="B84" s="52"/>
      <c r="C84" s="56"/>
      <c r="D84" s="56"/>
      <c r="E84" s="49" t="s">
        <v>52</v>
      </c>
      <c r="F84" s="52"/>
      <c r="G84" s="52"/>
      <c r="H84" s="55"/>
      <c r="I84" s="55"/>
      <c r="J84" s="56"/>
      <c r="K84" s="56"/>
      <c r="L84" s="56"/>
      <c r="M84" s="56"/>
      <c r="N84" s="56"/>
      <c r="O84" s="55"/>
      <c r="P84" s="56"/>
      <c r="Q84" s="49" t="s">
        <v>52</v>
      </c>
      <c r="R84" s="52"/>
      <c r="S84" s="52"/>
      <c r="T84" s="55"/>
      <c r="U84" s="55"/>
      <c r="V84" s="56"/>
      <c r="W84" s="56"/>
      <c r="X84" s="56"/>
      <c r="Y84" s="56"/>
      <c r="Z84" s="56"/>
      <c r="AA84" s="55"/>
      <c r="AB84" s="56"/>
      <c r="AC84" s="49" t="s">
        <v>52</v>
      </c>
      <c r="AD84" s="52"/>
      <c r="AE84" s="52"/>
      <c r="AF84" s="55"/>
      <c r="AG84" s="55"/>
      <c r="AH84" s="56"/>
      <c r="AI84" s="56"/>
      <c r="AJ84" s="56"/>
      <c r="AK84" s="56"/>
      <c r="AL84" s="56"/>
      <c r="AM84" s="55"/>
      <c r="AN84" s="56"/>
      <c r="AO84" s="49" t="s">
        <v>52</v>
      </c>
      <c r="AP84" s="52"/>
      <c r="AQ84" s="52"/>
      <c r="AR84" s="55"/>
      <c r="AS84" s="55"/>
      <c r="AT84" s="56"/>
      <c r="AU84" s="56"/>
      <c r="AV84" s="56"/>
      <c r="AW84" s="56"/>
      <c r="AX84" s="56"/>
      <c r="AY84" s="55"/>
      <c r="AZ84" s="56"/>
      <c r="BA84" s="49" t="s">
        <v>52</v>
      </c>
      <c r="BB84" s="52"/>
      <c r="BC84" s="52"/>
      <c r="BD84" s="55"/>
      <c r="BE84" s="55"/>
      <c r="BF84" s="56"/>
      <c r="BG84" s="56"/>
      <c r="BH84" s="56"/>
      <c r="BI84" s="56"/>
      <c r="BJ84" s="56"/>
      <c r="BK84" s="55"/>
      <c r="BL84" s="56"/>
      <c r="BM84" s="49" t="s">
        <v>52</v>
      </c>
      <c r="BN84" s="57"/>
      <c r="BO84" s="52"/>
      <c r="BP84" s="55"/>
      <c r="BQ84" s="55"/>
      <c r="BR84" s="56"/>
      <c r="BS84" s="56"/>
      <c r="BT84" s="56"/>
      <c r="BU84" s="56"/>
      <c r="BV84" s="56"/>
      <c r="BW84" s="58"/>
      <c r="BX84" s="59"/>
      <c r="BY84" s="49" t="s">
        <v>52</v>
      </c>
      <c r="BZ84" s="57"/>
      <c r="CA84" s="52"/>
      <c r="CB84" s="55"/>
      <c r="CC84" s="55"/>
      <c r="CD84" s="56"/>
      <c r="CE84" s="56"/>
      <c r="CF84" s="56"/>
      <c r="CG84" s="56"/>
      <c r="CH84" s="56"/>
      <c r="CI84" s="58"/>
      <c r="CJ84" s="59"/>
      <c r="CK84" s="49" t="s">
        <v>52</v>
      </c>
      <c r="CL84" s="52"/>
      <c r="CM84" s="52"/>
      <c r="CN84" s="55"/>
      <c r="CO84" s="55"/>
      <c r="CP84" s="56"/>
      <c r="CQ84" s="56"/>
      <c r="CR84" s="56"/>
      <c r="CS84" s="56"/>
      <c r="CT84" s="56"/>
      <c r="CU84" s="58"/>
      <c r="CV84" s="56"/>
      <c r="CW84" s="49" t="s">
        <v>52</v>
      </c>
      <c r="CX84" s="52"/>
      <c r="CY84" s="52"/>
      <c r="CZ84" s="55"/>
      <c r="DA84" s="55"/>
      <c r="DB84" s="56"/>
      <c r="DC84" s="56"/>
      <c r="DD84" s="56"/>
      <c r="DE84" s="56"/>
      <c r="DF84" s="56"/>
      <c r="DG84" s="55"/>
      <c r="DH84" s="56"/>
      <c r="DI84" s="2" t="s">
        <v>52</v>
      </c>
      <c r="DJ84" s="84"/>
      <c r="DK84" s="84"/>
      <c r="DL84" s="83"/>
      <c r="DM84" s="83"/>
      <c r="DN84" s="84"/>
      <c r="DO84" s="84"/>
      <c r="DP84" s="84"/>
      <c r="DQ84" s="84"/>
      <c r="DR84" s="84"/>
      <c r="DS84" s="83"/>
      <c r="DT84" s="84"/>
      <c r="DU84" s="2" t="s">
        <v>52</v>
      </c>
      <c r="DV84" s="107" t="s">
        <v>52</v>
      </c>
      <c r="DW84" s="107" t="s">
        <v>52</v>
      </c>
      <c r="DX84" s="2" t="s">
        <v>52</v>
      </c>
      <c r="DY84" s="107" t="s">
        <v>52</v>
      </c>
      <c r="DZ84" s="107" t="s">
        <v>52</v>
      </c>
      <c r="EA84" s="110" t="s">
        <v>52</v>
      </c>
    </row>
    <row r="85" spans="1:131" x14ac:dyDescent="0.5">
      <c r="A85" s="13" t="s">
        <v>83</v>
      </c>
      <c r="B85" s="13" t="s">
        <v>84</v>
      </c>
      <c r="C85" s="12">
        <f t="shared" ref="C85:D85" si="585">SUM(C79:C83)</f>
        <v>97.342399999999998</v>
      </c>
      <c r="D85" s="12">
        <f t="shared" si="585"/>
        <v>114.2623</v>
      </c>
      <c r="E85" s="49" t="s">
        <v>52</v>
      </c>
      <c r="F85" s="13" t="s">
        <v>83</v>
      </c>
      <c r="G85" s="13" t="s">
        <v>84</v>
      </c>
      <c r="H85" s="12">
        <f t="shared" ref="H85:BS85" si="586">SUM(H79:H83)</f>
        <v>4</v>
      </c>
      <c r="I85" s="12">
        <f t="shared" si="586"/>
        <v>1007</v>
      </c>
      <c r="J85" s="12">
        <f t="shared" si="586"/>
        <v>2.9999999999999997E-4</v>
      </c>
      <c r="K85" s="12">
        <f t="shared" si="586"/>
        <v>5.33E-2</v>
      </c>
      <c r="L85" s="12">
        <f t="shared" si="586"/>
        <v>-5.2999999999999999E-2</v>
      </c>
      <c r="M85" s="12">
        <f t="shared" si="586"/>
        <v>66.193600000000004</v>
      </c>
      <c r="N85" s="12">
        <f t="shared" si="586"/>
        <v>94.262100000000004</v>
      </c>
      <c r="O85" s="12">
        <f t="shared" si="586"/>
        <v>0</v>
      </c>
      <c r="P85" s="12">
        <f t="shared" si="586"/>
        <v>0</v>
      </c>
      <c r="Q85" s="49" t="s">
        <v>52</v>
      </c>
      <c r="R85" s="13" t="s">
        <v>83</v>
      </c>
      <c r="S85" s="13" t="s">
        <v>84</v>
      </c>
      <c r="T85" s="12">
        <f t="shared" ref="T85" si="587">SUM(T79:T83)</f>
        <v>4</v>
      </c>
      <c r="U85" s="12">
        <f t="shared" si="586"/>
        <v>998</v>
      </c>
      <c r="V85" s="12">
        <f t="shared" si="586"/>
        <v>0</v>
      </c>
      <c r="W85" s="12">
        <f t="shared" si="586"/>
        <v>27.270099999999999</v>
      </c>
      <c r="X85" s="12">
        <f t="shared" si="586"/>
        <v>-27.270099999999999</v>
      </c>
      <c r="Y85" s="12">
        <f t="shared" si="586"/>
        <v>43.863700000000001</v>
      </c>
      <c r="Z85" s="12">
        <f t="shared" si="586"/>
        <v>78.4893</v>
      </c>
      <c r="AA85" s="12">
        <f t="shared" si="586"/>
        <v>0</v>
      </c>
      <c r="AB85" s="12">
        <f t="shared" si="586"/>
        <v>0</v>
      </c>
      <c r="AC85" s="49" t="s">
        <v>52</v>
      </c>
      <c r="AD85" s="13" t="s">
        <v>83</v>
      </c>
      <c r="AE85" s="13" t="s">
        <v>84</v>
      </c>
      <c r="AF85" s="12">
        <f t="shared" ref="AF85" si="588">SUM(AF79:AF83)</f>
        <v>4</v>
      </c>
      <c r="AG85" s="12">
        <f t="shared" si="586"/>
        <v>998</v>
      </c>
      <c r="AH85" s="12">
        <f t="shared" si="586"/>
        <v>0</v>
      </c>
      <c r="AI85" s="12">
        <f t="shared" si="586"/>
        <v>0</v>
      </c>
      <c r="AJ85" s="12">
        <f t="shared" si="586"/>
        <v>0</v>
      </c>
      <c r="AK85" s="12">
        <f t="shared" si="586"/>
        <v>44.071800000000003</v>
      </c>
      <c r="AL85" s="12">
        <f t="shared" si="586"/>
        <v>60.078099999999999</v>
      </c>
      <c r="AM85" s="12">
        <f t="shared" si="586"/>
        <v>0</v>
      </c>
      <c r="AN85" s="12">
        <f t="shared" si="586"/>
        <v>0</v>
      </c>
      <c r="AO85" s="49" t="s">
        <v>52</v>
      </c>
      <c r="AP85" s="13" t="s">
        <v>83</v>
      </c>
      <c r="AQ85" s="13" t="s">
        <v>84</v>
      </c>
      <c r="AR85" s="12">
        <f t="shared" ref="AR85" si="589">SUM(AR79:AR83)</f>
        <v>4</v>
      </c>
      <c r="AS85" s="12">
        <f t="shared" si="586"/>
        <v>998</v>
      </c>
      <c r="AT85" s="12">
        <f t="shared" si="586"/>
        <v>0</v>
      </c>
      <c r="AU85" s="12">
        <f t="shared" si="586"/>
        <v>0</v>
      </c>
      <c r="AV85" s="12">
        <f t="shared" si="586"/>
        <v>0</v>
      </c>
      <c r="AW85" s="12">
        <f t="shared" si="586"/>
        <v>44.266300000000001</v>
      </c>
      <c r="AX85" s="12">
        <f t="shared" si="586"/>
        <v>60.3538</v>
      </c>
      <c r="AY85" s="12">
        <f t="shared" si="586"/>
        <v>0</v>
      </c>
      <c r="AZ85" s="12">
        <f t="shared" si="586"/>
        <v>0</v>
      </c>
      <c r="BA85" s="49" t="s">
        <v>52</v>
      </c>
      <c r="BB85" s="13" t="s">
        <v>83</v>
      </c>
      <c r="BC85" s="13" t="s">
        <v>84</v>
      </c>
      <c r="BD85" s="12">
        <f t="shared" ref="BD85" si="590">SUM(BD79:BD83)</f>
        <v>4</v>
      </c>
      <c r="BE85" s="12">
        <f t="shared" si="586"/>
        <v>989</v>
      </c>
      <c r="BF85" s="12">
        <f t="shared" si="586"/>
        <v>0</v>
      </c>
      <c r="BG85" s="12">
        <f t="shared" si="586"/>
        <v>11.437900000000001</v>
      </c>
      <c r="BH85" s="12">
        <f t="shared" si="586"/>
        <v>-11.437900000000001</v>
      </c>
      <c r="BI85" s="12">
        <f t="shared" si="586"/>
        <v>40.711599999999997</v>
      </c>
      <c r="BJ85" s="12">
        <f t="shared" si="586"/>
        <v>51.773200000000003</v>
      </c>
      <c r="BK85" s="12">
        <f t="shared" si="586"/>
        <v>0</v>
      </c>
      <c r="BL85" s="12">
        <f t="shared" si="586"/>
        <v>0</v>
      </c>
      <c r="BM85" s="49" t="s">
        <v>52</v>
      </c>
      <c r="BN85" s="13" t="s">
        <v>83</v>
      </c>
      <c r="BO85" s="13" t="s">
        <v>84</v>
      </c>
      <c r="BP85" s="12">
        <f t="shared" ref="BP85" si="591">SUM(BP79:BP83)</f>
        <v>4</v>
      </c>
      <c r="BQ85" s="12">
        <f t="shared" si="586"/>
        <v>939</v>
      </c>
      <c r="BR85" s="12">
        <f t="shared" si="586"/>
        <v>0</v>
      </c>
      <c r="BS85" s="12">
        <f t="shared" si="586"/>
        <v>2.52</v>
      </c>
      <c r="BT85" s="12">
        <f t="shared" ref="BT85:DH85" si="592">SUM(BT79:BT83)</f>
        <v>-2.52</v>
      </c>
      <c r="BU85" s="12">
        <f t="shared" si="592"/>
        <v>38.377699999999997</v>
      </c>
      <c r="BV85" s="12">
        <f t="shared" si="592"/>
        <v>47.593800000000002</v>
      </c>
      <c r="BW85" s="12">
        <f t="shared" si="592"/>
        <v>0</v>
      </c>
      <c r="BX85" s="12">
        <f t="shared" si="592"/>
        <v>0</v>
      </c>
      <c r="BY85" s="49" t="s">
        <v>52</v>
      </c>
      <c r="BZ85" s="13" t="s">
        <v>83</v>
      </c>
      <c r="CA85" s="13" t="s">
        <v>84</v>
      </c>
      <c r="CB85" s="12">
        <f t="shared" ref="CB85" si="593">SUM(CB79:CB83)</f>
        <v>4</v>
      </c>
      <c r="CC85" s="12">
        <f t="shared" si="592"/>
        <v>938</v>
      </c>
      <c r="CD85" s="12">
        <f t="shared" si="592"/>
        <v>0</v>
      </c>
      <c r="CE85" s="12">
        <f t="shared" si="592"/>
        <v>0</v>
      </c>
      <c r="CF85" s="12">
        <f t="shared" si="592"/>
        <v>0</v>
      </c>
      <c r="CG85" s="12">
        <f t="shared" si="592"/>
        <v>38.559800000000003</v>
      </c>
      <c r="CH85" s="12">
        <f t="shared" si="592"/>
        <v>47.108899999999998</v>
      </c>
      <c r="CI85" s="12">
        <f t="shared" si="592"/>
        <v>0</v>
      </c>
      <c r="CJ85" s="12">
        <f t="shared" si="592"/>
        <v>0</v>
      </c>
      <c r="CK85" s="49" t="s">
        <v>52</v>
      </c>
      <c r="CL85" s="13" t="s">
        <v>83</v>
      </c>
      <c r="CM85" s="13" t="s">
        <v>84</v>
      </c>
      <c r="CN85" s="12">
        <f t="shared" ref="CN85" si="594">SUM(CN79:CN83)</f>
        <v>3</v>
      </c>
      <c r="CO85" s="12">
        <f t="shared" si="592"/>
        <v>914</v>
      </c>
      <c r="CP85" s="12">
        <f t="shared" si="592"/>
        <v>0</v>
      </c>
      <c r="CQ85" s="12">
        <f t="shared" si="592"/>
        <v>3.0000000000001099E-2</v>
      </c>
      <c r="CR85" s="12">
        <f t="shared" si="592"/>
        <v>-3.0000000000001099E-2</v>
      </c>
      <c r="CS85" s="12">
        <f t="shared" si="592"/>
        <v>30.018599999999999</v>
      </c>
      <c r="CT85" s="12">
        <f t="shared" si="592"/>
        <v>45.6389</v>
      </c>
      <c r="CU85" s="12">
        <f t="shared" si="592"/>
        <v>0</v>
      </c>
      <c r="CV85" s="12">
        <f t="shared" si="592"/>
        <v>0</v>
      </c>
      <c r="CW85" s="49" t="s">
        <v>52</v>
      </c>
      <c r="CX85" s="13" t="s">
        <v>83</v>
      </c>
      <c r="CY85" s="13" t="s">
        <v>84</v>
      </c>
      <c r="CZ85" s="12">
        <f t="shared" ref="CZ85" si="595">SUM(CZ79:CZ83)</f>
        <v>3</v>
      </c>
      <c r="DA85" s="12">
        <f t="shared" si="592"/>
        <v>914</v>
      </c>
      <c r="DB85" s="12">
        <f t="shared" si="592"/>
        <v>0</v>
      </c>
      <c r="DC85" s="12">
        <f t="shared" si="592"/>
        <v>0</v>
      </c>
      <c r="DD85" s="12">
        <f t="shared" si="592"/>
        <v>0</v>
      </c>
      <c r="DE85" s="12">
        <f t="shared" si="592"/>
        <v>30.163699999999999</v>
      </c>
      <c r="DF85" s="12">
        <f t="shared" si="592"/>
        <v>39.150700000000001</v>
      </c>
      <c r="DG85" s="12">
        <f t="shared" si="592"/>
        <v>0</v>
      </c>
      <c r="DH85" s="12">
        <f t="shared" si="592"/>
        <v>0</v>
      </c>
      <c r="DI85" s="49" t="s">
        <v>52</v>
      </c>
      <c r="DJ85" s="91" t="s">
        <v>83</v>
      </c>
      <c r="DK85" s="91" t="s">
        <v>84</v>
      </c>
      <c r="DL85" s="12">
        <f t="shared" ref="DL85:DT85" si="596">SUM(DL79:DL83)</f>
        <v>3</v>
      </c>
      <c r="DM85" s="12">
        <f t="shared" si="596"/>
        <v>914</v>
      </c>
      <c r="DN85" s="12">
        <f t="shared" si="596"/>
        <v>0</v>
      </c>
      <c r="DO85" s="12">
        <f t="shared" si="596"/>
        <v>0</v>
      </c>
      <c r="DP85" s="12">
        <f t="shared" si="596"/>
        <v>0</v>
      </c>
      <c r="DQ85" s="12">
        <f t="shared" si="596"/>
        <v>30.163699999999999</v>
      </c>
      <c r="DR85" s="12">
        <f t="shared" si="596"/>
        <v>39.150700000000001</v>
      </c>
      <c r="DS85" s="12">
        <f t="shared" si="596"/>
        <v>0</v>
      </c>
      <c r="DT85" s="12">
        <f t="shared" si="596"/>
        <v>0</v>
      </c>
      <c r="DU85" s="49" t="s">
        <v>52</v>
      </c>
      <c r="DV85" s="136">
        <v>0</v>
      </c>
      <c r="DW85" s="137">
        <v>0</v>
      </c>
      <c r="DX85" s="49" t="s">
        <v>52</v>
      </c>
      <c r="DY85" s="136">
        <v>0</v>
      </c>
      <c r="DZ85" s="137">
        <v>0</v>
      </c>
      <c r="EA85" s="138">
        <f t="shared" ref="EA85" si="597">(DR85-DF85)/DF85</f>
        <v>0</v>
      </c>
    </row>
    <row r="86" spans="1:131" x14ac:dyDescent="0.5">
      <c r="A86" s="52"/>
      <c r="B86" s="10" t="s">
        <v>83</v>
      </c>
      <c r="C86" s="56"/>
      <c r="D86" s="56"/>
      <c r="E86" s="49" t="s">
        <v>52</v>
      </c>
      <c r="F86" s="52"/>
      <c r="G86" s="10" t="s">
        <v>83</v>
      </c>
      <c r="H86" s="55"/>
      <c r="I86" s="55"/>
      <c r="J86" s="56"/>
      <c r="K86" s="56"/>
      <c r="L86" s="56"/>
      <c r="M86" s="56"/>
      <c r="N86" s="56"/>
      <c r="O86" s="55"/>
      <c r="P86" s="56"/>
      <c r="Q86" s="49" t="s">
        <v>52</v>
      </c>
      <c r="R86" s="52"/>
      <c r="S86" s="10" t="s">
        <v>83</v>
      </c>
      <c r="T86" s="55"/>
      <c r="U86" s="55"/>
      <c r="V86" s="56"/>
      <c r="W86" s="56"/>
      <c r="X86" s="56"/>
      <c r="Y86" s="56"/>
      <c r="Z86" s="56"/>
      <c r="AA86" s="55"/>
      <c r="AB86" s="56"/>
      <c r="AC86" s="49" t="s">
        <v>52</v>
      </c>
      <c r="AD86" s="52"/>
      <c r="AE86" s="10" t="s">
        <v>83</v>
      </c>
      <c r="AF86" s="55"/>
      <c r="AG86" s="55"/>
      <c r="AH86" s="56"/>
      <c r="AI86" s="56"/>
      <c r="AJ86" s="56"/>
      <c r="AK86" s="56"/>
      <c r="AL86" s="56"/>
      <c r="AM86" s="55"/>
      <c r="AN86" s="56"/>
      <c r="AO86" s="49" t="s">
        <v>52</v>
      </c>
      <c r="AP86" s="52"/>
      <c r="AQ86" s="10" t="s">
        <v>83</v>
      </c>
      <c r="AR86" s="55"/>
      <c r="AS86" s="55"/>
      <c r="AT86" s="56"/>
      <c r="AU86" s="56"/>
      <c r="AV86" s="56"/>
      <c r="AW86" s="56"/>
      <c r="AX86" s="56"/>
      <c r="AY86" s="55"/>
      <c r="AZ86" s="56"/>
      <c r="BA86" s="49" t="s">
        <v>52</v>
      </c>
      <c r="BB86" s="52"/>
      <c r="BC86" s="10" t="s">
        <v>83</v>
      </c>
      <c r="BD86" s="55"/>
      <c r="BE86" s="55"/>
      <c r="BF86" s="56"/>
      <c r="BG86" s="56"/>
      <c r="BH86" s="56"/>
      <c r="BI86" s="56"/>
      <c r="BJ86" s="56"/>
      <c r="BK86" s="55"/>
      <c r="BL86" s="56"/>
      <c r="BM86" s="49" t="s">
        <v>52</v>
      </c>
      <c r="BN86" s="57"/>
      <c r="BO86" s="10" t="s">
        <v>83</v>
      </c>
      <c r="BP86" s="55"/>
      <c r="BQ86" s="55"/>
      <c r="BR86" s="56"/>
      <c r="BS86" s="56"/>
      <c r="BT86" s="56"/>
      <c r="BU86" s="56"/>
      <c r="BV86" s="56"/>
      <c r="BW86" s="58"/>
      <c r="BX86" s="59"/>
      <c r="BY86" s="49" t="s">
        <v>52</v>
      </c>
      <c r="BZ86" s="57"/>
      <c r="CA86" s="10" t="s">
        <v>83</v>
      </c>
      <c r="CB86" s="55"/>
      <c r="CC86" s="55"/>
      <c r="CD86" s="56"/>
      <c r="CE86" s="56"/>
      <c r="CF86" s="56"/>
      <c r="CG86" s="56"/>
      <c r="CH86" s="56"/>
      <c r="CI86" s="58"/>
      <c r="CJ86" s="59"/>
      <c r="CK86" s="49" t="s">
        <v>52</v>
      </c>
      <c r="CL86" s="52"/>
      <c r="CM86" s="10" t="s">
        <v>83</v>
      </c>
      <c r="CN86" s="55"/>
      <c r="CO86" s="55"/>
      <c r="CP86" s="56"/>
      <c r="CQ86" s="56"/>
      <c r="CR86" s="56"/>
      <c r="CS86" s="56"/>
      <c r="CT86" s="56"/>
      <c r="CU86" s="58"/>
      <c r="CV86" s="56"/>
      <c r="CW86" s="49" t="s">
        <v>52</v>
      </c>
      <c r="CX86" s="52"/>
      <c r="CY86" s="10" t="s">
        <v>83</v>
      </c>
      <c r="CZ86" s="55"/>
      <c r="DA86" s="55"/>
      <c r="DB86" s="56"/>
      <c r="DC86" s="56"/>
      <c r="DD86" s="56"/>
      <c r="DE86" s="56"/>
      <c r="DF86" s="56"/>
      <c r="DG86" s="55"/>
      <c r="DH86" s="56"/>
      <c r="DI86" s="2" t="s">
        <v>52</v>
      </c>
      <c r="DJ86" s="84"/>
      <c r="DK86" s="92" t="s">
        <v>83</v>
      </c>
      <c r="DL86" s="55"/>
      <c r="DM86" s="55"/>
      <c r="DN86" s="56"/>
      <c r="DO86" s="56"/>
      <c r="DP86" s="56"/>
      <c r="DQ86" s="56"/>
      <c r="DR86" s="56"/>
      <c r="DS86" s="55"/>
      <c r="DT86" s="56"/>
      <c r="DU86" s="2" t="s">
        <v>52</v>
      </c>
      <c r="DV86" s="107" t="s">
        <v>52</v>
      </c>
      <c r="DW86" s="107" t="s">
        <v>52</v>
      </c>
      <c r="DX86" s="2" t="s">
        <v>52</v>
      </c>
      <c r="DY86" s="107" t="s">
        <v>52</v>
      </c>
      <c r="DZ86" s="107" t="s">
        <v>52</v>
      </c>
      <c r="EA86" s="110" t="s">
        <v>52</v>
      </c>
    </row>
    <row r="87" spans="1:131" x14ac:dyDescent="0.5">
      <c r="A87" s="13" t="s">
        <v>83</v>
      </c>
      <c r="B87" s="13" t="s">
        <v>44</v>
      </c>
      <c r="C87" s="12">
        <f t="shared" ref="C87:D87" si="598">SUM(C59:C59) + SUM(C76:C76) + SUM(C85:C85)</f>
        <v>6574287.2034216896</v>
      </c>
      <c r="D87" s="12">
        <f t="shared" si="598"/>
        <v>6670186.2660516007</v>
      </c>
      <c r="E87" s="49" t="s">
        <v>52</v>
      </c>
      <c r="F87" s="13" t="s">
        <v>83</v>
      </c>
      <c r="G87" s="13" t="s">
        <v>44</v>
      </c>
      <c r="H87" s="12">
        <f t="shared" ref="H87:BS87" si="599">SUM(H59:H59) + SUM(H76:H76) + SUM(H85:H85)</f>
        <v>1758</v>
      </c>
      <c r="I87" s="12">
        <f t="shared" si="599"/>
        <v>236295024</v>
      </c>
      <c r="J87" s="12">
        <f t="shared" si="599"/>
        <v>1277154.8269097798</v>
      </c>
      <c r="K87" s="12">
        <f t="shared" si="599"/>
        <v>1000327.6415199399</v>
      </c>
      <c r="L87" s="12">
        <f t="shared" si="599"/>
        <v>276827.18538983993</v>
      </c>
      <c r="M87" s="12">
        <f t="shared" si="599"/>
        <v>6999837.9374676803</v>
      </c>
      <c r="N87" s="12">
        <f t="shared" si="599"/>
        <v>6949894.2927762503</v>
      </c>
      <c r="O87" s="12" t="e">
        <f t="shared" si="599"/>
        <v>#REF!</v>
      </c>
      <c r="P87" s="12" t="e">
        <f t="shared" si="599"/>
        <v>#REF!</v>
      </c>
      <c r="Q87" s="49" t="s">
        <v>52</v>
      </c>
      <c r="R87" s="13" t="s">
        <v>83</v>
      </c>
      <c r="S87" s="13" t="s">
        <v>44</v>
      </c>
      <c r="T87" s="12">
        <f t="shared" ref="T87" si="600">SUM(T59:T59) + SUM(T76:T76) + SUM(T85:T85)</f>
        <v>1774</v>
      </c>
      <c r="U87" s="12">
        <f t="shared" si="599"/>
        <v>238312770</v>
      </c>
      <c r="V87" s="12">
        <f t="shared" si="599"/>
        <v>1056702.0842438198</v>
      </c>
      <c r="W87" s="12">
        <f t="shared" si="599"/>
        <v>1027593.7511361301</v>
      </c>
      <c r="X87" s="12">
        <f t="shared" si="599"/>
        <v>29108.33310768997</v>
      </c>
      <c r="Y87" s="12">
        <f t="shared" si="599"/>
        <v>7219610.6927988995</v>
      </c>
      <c r="Z87" s="12">
        <f t="shared" si="599"/>
        <v>7218274.1231773384</v>
      </c>
      <c r="AA87" s="12" t="e">
        <f t="shared" si="599"/>
        <v>#REF!</v>
      </c>
      <c r="AB87" s="12" t="e">
        <f t="shared" si="599"/>
        <v>#REF!</v>
      </c>
      <c r="AC87" s="49" t="s">
        <v>52</v>
      </c>
      <c r="AD87" s="13" t="s">
        <v>83</v>
      </c>
      <c r="AE87" s="13" t="s">
        <v>44</v>
      </c>
      <c r="AF87" s="12">
        <f t="shared" ref="AF87" si="601">SUM(AF59:AF59) + SUM(AF76:AF76) + SUM(AF85:AF85)</f>
        <v>1791</v>
      </c>
      <c r="AG87" s="12">
        <f t="shared" si="599"/>
        <v>241344556</v>
      </c>
      <c r="AH87" s="12">
        <f t="shared" si="599"/>
        <v>1395995.6071801002</v>
      </c>
      <c r="AI87" s="12">
        <f t="shared" si="599"/>
        <v>1346900.9955411491</v>
      </c>
      <c r="AJ87" s="12">
        <f t="shared" si="599"/>
        <v>49094.611638949718</v>
      </c>
      <c r="AK87" s="12">
        <f t="shared" si="599"/>
        <v>7440670.8410202693</v>
      </c>
      <c r="AL87" s="12">
        <f t="shared" si="599"/>
        <v>7479155.5147205591</v>
      </c>
      <c r="AM87" s="12" t="e">
        <f t="shared" si="599"/>
        <v>#REF!</v>
      </c>
      <c r="AN87" s="12" t="e">
        <f t="shared" si="599"/>
        <v>#REF!</v>
      </c>
      <c r="AO87" s="49" t="s">
        <v>52</v>
      </c>
      <c r="AP87" s="13" t="s">
        <v>83</v>
      </c>
      <c r="AQ87" s="13" t="s">
        <v>44</v>
      </c>
      <c r="AR87" s="12">
        <f t="shared" ref="AR87" si="602">SUM(AR59:AR59) + SUM(AR76:AR76) + SUM(AR85:AR85)</f>
        <v>1819</v>
      </c>
      <c r="AS87" s="12">
        <f t="shared" si="599"/>
        <v>245724339</v>
      </c>
      <c r="AT87" s="12">
        <f t="shared" si="599"/>
        <v>1438343.4105467102</v>
      </c>
      <c r="AU87" s="12">
        <f t="shared" si="599"/>
        <v>1259549.10132708</v>
      </c>
      <c r="AV87" s="12">
        <f t="shared" si="599"/>
        <v>178794.30921963011</v>
      </c>
      <c r="AW87" s="12">
        <f t="shared" si="599"/>
        <v>7535970.6829943396</v>
      </c>
      <c r="AX87" s="12">
        <f t="shared" si="599"/>
        <v>7700420.4608553294</v>
      </c>
      <c r="AY87" s="12" t="e">
        <f t="shared" si="599"/>
        <v>#REF!</v>
      </c>
      <c r="AZ87" s="12" t="e">
        <f t="shared" si="599"/>
        <v>#REF!</v>
      </c>
      <c r="BA87" s="49" t="s">
        <v>52</v>
      </c>
      <c r="BB87" s="13" t="s">
        <v>83</v>
      </c>
      <c r="BC87" s="13" t="s">
        <v>44</v>
      </c>
      <c r="BD87" s="12">
        <f t="shared" ref="BD87" si="603">SUM(BD59:BD59) + SUM(BD76:BD76) + SUM(BD85:BD85)</f>
        <v>1843</v>
      </c>
      <c r="BE87" s="12">
        <f t="shared" si="599"/>
        <v>248909424</v>
      </c>
      <c r="BF87" s="12">
        <f t="shared" si="599"/>
        <v>1111997.8263416097</v>
      </c>
      <c r="BG87" s="12">
        <f t="shared" si="599"/>
        <v>1059555.0437505599</v>
      </c>
      <c r="BH87" s="12">
        <f t="shared" si="599"/>
        <v>52442.782591050644</v>
      </c>
      <c r="BI87" s="12">
        <f t="shared" si="599"/>
        <v>7518702.5017515412</v>
      </c>
      <c r="BJ87" s="12">
        <f t="shared" si="599"/>
        <v>7671481.8950684192</v>
      </c>
      <c r="BK87" s="12" t="e">
        <f t="shared" si="599"/>
        <v>#REF!</v>
      </c>
      <c r="BL87" s="12" t="e">
        <f t="shared" si="599"/>
        <v>#REF!</v>
      </c>
      <c r="BM87" s="49" t="s">
        <v>52</v>
      </c>
      <c r="BN87" s="13" t="s">
        <v>83</v>
      </c>
      <c r="BO87" s="13" t="s">
        <v>44</v>
      </c>
      <c r="BP87" s="12">
        <f t="shared" ref="BP87" si="604">SUM(BP59:BP59) + SUM(BP76:BP76) + SUM(BP85:BP85)</f>
        <v>1849</v>
      </c>
      <c r="BQ87" s="12">
        <f t="shared" si="599"/>
        <v>251923162</v>
      </c>
      <c r="BR87" s="12">
        <f t="shared" si="599"/>
        <v>1356255.2106862299</v>
      </c>
      <c r="BS87" s="12">
        <f t="shared" si="599"/>
        <v>1399401.5267503299</v>
      </c>
      <c r="BT87" s="12">
        <f t="shared" ref="BT87:DH87" si="605">SUM(BT59:BT59) + SUM(BT76:BT76) + SUM(BT85:BT85)</f>
        <v>-43146.316064100334</v>
      </c>
      <c r="BU87" s="12">
        <f t="shared" si="605"/>
        <v>7561309.288424341</v>
      </c>
      <c r="BV87" s="12">
        <f t="shared" si="605"/>
        <v>7777801.6991374707</v>
      </c>
      <c r="BW87" s="12" t="e">
        <f t="shared" si="605"/>
        <v>#REF!</v>
      </c>
      <c r="BX87" s="12" t="e">
        <f t="shared" si="605"/>
        <v>#REF!</v>
      </c>
      <c r="BY87" s="49" t="s">
        <v>52</v>
      </c>
      <c r="BZ87" s="13" t="s">
        <v>83</v>
      </c>
      <c r="CA87" s="13" t="s">
        <v>44</v>
      </c>
      <c r="CB87" s="12">
        <f t="shared" ref="CB87" si="606">SUM(CB59:CB59) + SUM(CB76:CB76) + SUM(CB85:CB85)</f>
        <v>1865</v>
      </c>
      <c r="CC87" s="12">
        <f t="shared" si="605"/>
        <v>256003815</v>
      </c>
      <c r="CD87" s="12">
        <f t="shared" si="605"/>
        <v>1284795.7758885603</v>
      </c>
      <c r="CE87" s="12">
        <f t="shared" si="605"/>
        <v>1069139.0982659503</v>
      </c>
      <c r="CF87" s="12">
        <f t="shared" si="605"/>
        <v>215656.67762260986</v>
      </c>
      <c r="CG87" s="12">
        <f t="shared" si="605"/>
        <v>7987939.9371946398</v>
      </c>
      <c r="CH87" s="12">
        <f t="shared" si="605"/>
        <v>7979397.5260281907</v>
      </c>
      <c r="CI87" s="12" t="e">
        <f t="shared" si="605"/>
        <v>#REF!</v>
      </c>
      <c r="CJ87" s="12" t="e">
        <f t="shared" si="605"/>
        <v>#REF!</v>
      </c>
      <c r="CK87" s="49" t="s">
        <v>52</v>
      </c>
      <c r="CL87" s="13" t="s">
        <v>83</v>
      </c>
      <c r="CM87" s="13" t="s">
        <v>44</v>
      </c>
      <c r="CN87" s="12">
        <f t="shared" ref="CN87" si="607">SUM(CN59:CN59) + SUM(CN76:CN76) + SUM(CN85:CN85)</f>
        <v>1886</v>
      </c>
      <c r="CO87" s="12">
        <f t="shared" si="605"/>
        <v>258614320</v>
      </c>
      <c r="CP87" s="12">
        <f t="shared" si="605"/>
        <v>1060406.3421410897</v>
      </c>
      <c r="CQ87" s="12">
        <f t="shared" si="605"/>
        <v>1027650.9863932499</v>
      </c>
      <c r="CR87" s="12">
        <f t="shared" si="605"/>
        <v>32755.355747839854</v>
      </c>
      <c r="CS87" s="12">
        <f t="shared" si="605"/>
        <v>8080369.5215099789</v>
      </c>
      <c r="CT87" s="12">
        <f t="shared" si="605"/>
        <v>8131763.6712122709</v>
      </c>
      <c r="CU87" s="12" t="e">
        <f t="shared" si="605"/>
        <v>#REF!</v>
      </c>
      <c r="CV87" s="12" t="e">
        <f t="shared" si="605"/>
        <v>#REF!</v>
      </c>
      <c r="CW87" s="49" t="s">
        <v>52</v>
      </c>
      <c r="CX87" s="13" t="s">
        <v>83</v>
      </c>
      <c r="CY87" s="13" t="s">
        <v>44</v>
      </c>
      <c r="CZ87" s="12">
        <f t="shared" ref="CZ87" si="608">SUM(CZ59:CZ59) + SUM(CZ76:CZ76) + SUM(CZ85:CZ85)</f>
        <v>1908</v>
      </c>
      <c r="DA87" s="12">
        <f t="shared" si="605"/>
        <v>261253836</v>
      </c>
      <c r="DB87" s="12">
        <f t="shared" si="605"/>
        <v>1466374.9882513599</v>
      </c>
      <c r="DC87" s="12">
        <f t="shared" si="605"/>
        <v>1532965.68800828</v>
      </c>
      <c r="DD87" s="78">
        <f t="shared" si="605"/>
        <v>-66590.699756920105</v>
      </c>
      <c r="DE87" s="114">
        <f t="shared" si="605"/>
        <v>8023378.9941127012</v>
      </c>
      <c r="DF87" s="12">
        <f t="shared" si="605"/>
        <v>8199191.2128050895</v>
      </c>
      <c r="DG87" s="12" t="e">
        <f t="shared" si="605"/>
        <v>#REF!</v>
      </c>
      <c r="DH87" s="12" t="e">
        <f t="shared" si="605"/>
        <v>#REF!</v>
      </c>
      <c r="DI87" s="49" t="s">
        <v>52</v>
      </c>
      <c r="DJ87" s="91" t="s">
        <v>83</v>
      </c>
      <c r="DK87" s="91" t="s">
        <v>44</v>
      </c>
      <c r="DL87" s="12">
        <f t="shared" ref="DL87:DT87" si="609">SUM(DL59:DL59) + SUM(DL76:DL76) + SUM(DL85:DL85)</f>
        <v>1919</v>
      </c>
      <c r="DM87" s="12">
        <f t="shared" si="609"/>
        <v>266313561</v>
      </c>
      <c r="DN87" s="12">
        <f t="shared" si="609"/>
        <v>1384940.6775328303</v>
      </c>
      <c r="DO87" s="12">
        <f t="shared" si="609"/>
        <v>1228482.0454760396</v>
      </c>
      <c r="DP87" s="78">
        <f t="shared" si="609"/>
        <v>156458.63205679</v>
      </c>
      <c r="DQ87" s="114">
        <f t="shared" si="609"/>
        <v>8101305.5775707792</v>
      </c>
      <c r="DR87" s="12">
        <f t="shared" si="609"/>
        <v>8201174.6177598918</v>
      </c>
      <c r="DS87" s="12" t="e">
        <f t="shared" si="609"/>
        <v>#REF!</v>
      </c>
      <c r="DT87" s="12" t="e">
        <f t="shared" si="609"/>
        <v>#REF!</v>
      </c>
      <c r="DU87" s="49" t="s">
        <v>52</v>
      </c>
      <c r="DV87" s="136">
        <f>(DQ87-DE87)/DE87</f>
        <v>9.7124395488806057E-3</v>
      </c>
      <c r="DW87" s="137" t="e">
        <f>(DS87-DG87)/DG87</f>
        <v>#REF!</v>
      </c>
      <c r="DX87" s="49" t="s">
        <v>52</v>
      </c>
      <c r="DY87" s="136">
        <f t="shared" ref="DY87" si="610">(DN87-DB87)/DB87</f>
        <v>-5.5534437896843404E-2</v>
      </c>
      <c r="DZ87" s="137">
        <f t="shared" ref="DZ87" si="611">(DP87-DD87)/DD87</f>
        <v>-3.349556809403115</v>
      </c>
      <c r="EA87" s="138">
        <f t="shared" ref="EA87" si="612">(DR87-DF87)/DF87</f>
        <v>2.4190251249472773E-4</v>
      </c>
    </row>
    <row r="88" spans="1:131" x14ac:dyDescent="0.5">
      <c r="A88" s="52"/>
      <c r="B88" s="10" t="s">
        <v>83</v>
      </c>
      <c r="C88" s="56"/>
      <c r="D88" s="56"/>
      <c r="E88" s="49" t="s">
        <v>52</v>
      </c>
      <c r="F88" s="52"/>
      <c r="G88" s="10" t="s">
        <v>83</v>
      </c>
      <c r="H88" s="55"/>
      <c r="I88" s="55"/>
      <c r="J88" s="56"/>
      <c r="K88" s="56"/>
      <c r="L88" s="56"/>
      <c r="M88" s="56"/>
      <c r="N88" s="56"/>
      <c r="O88" s="55"/>
      <c r="P88" s="56"/>
      <c r="Q88" s="49" t="s">
        <v>52</v>
      </c>
      <c r="R88" s="52"/>
      <c r="S88" s="10" t="s">
        <v>83</v>
      </c>
      <c r="T88" s="55"/>
      <c r="U88" s="55"/>
      <c r="V88" s="56"/>
      <c r="W88" s="56"/>
      <c r="X88" s="56"/>
      <c r="Y88" s="56"/>
      <c r="Z88" s="56"/>
      <c r="AA88" s="55"/>
      <c r="AB88" s="56"/>
      <c r="AC88" s="49" t="s">
        <v>52</v>
      </c>
      <c r="AD88" s="52"/>
      <c r="AE88" s="10" t="s">
        <v>83</v>
      </c>
      <c r="AF88" s="55"/>
      <c r="AG88" s="55"/>
      <c r="AH88" s="56"/>
      <c r="AI88" s="56"/>
      <c r="AJ88" s="56"/>
      <c r="AK88" s="56"/>
      <c r="AL88" s="56"/>
      <c r="AM88" s="55"/>
      <c r="AN88" s="56"/>
      <c r="AO88" s="49" t="s">
        <v>52</v>
      </c>
      <c r="AP88" s="52"/>
      <c r="AQ88" s="10" t="s">
        <v>83</v>
      </c>
      <c r="AR88" s="55"/>
      <c r="AS88" s="55"/>
      <c r="AT88" s="56"/>
      <c r="AU88" s="56"/>
      <c r="AV88" s="56"/>
      <c r="AW88" s="56"/>
      <c r="AX88" s="56"/>
      <c r="AY88" s="55"/>
      <c r="AZ88" s="56"/>
      <c r="BA88" s="49" t="s">
        <v>52</v>
      </c>
      <c r="BB88" s="52"/>
      <c r="BC88" s="10" t="s">
        <v>83</v>
      </c>
      <c r="BD88" s="55"/>
      <c r="BE88" s="55"/>
      <c r="BF88" s="56"/>
      <c r="BG88" s="56"/>
      <c r="BH88" s="56"/>
      <c r="BI88" s="56"/>
      <c r="BJ88" s="56"/>
      <c r="BK88" s="55"/>
      <c r="BL88" s="56"/>
      <c r="BM88" s="49" t="s">
        <v>52</v>
      </c>
      <c r="BN88" s="57"/>
      <c r="BO88" s="10" t="s">
        <v>83</v>
      </c>
      <c r="BP88" s="55"/>
      <c r="BQ88" s="55"/>
      <c r="BR88" s="56"/>
      <c r="BS88" s="56"/>
      <c r="BT88" s="56"/>
      <c r="BU88" s="56"/>
      <c r="BV88" s="56"/>
      <c r="BW88" s="58"/>
      <c r="BX88" s="59"/>
      <c r="BY88" s="49" t="s">
        <v>52</v>
      </c>
      <c r="BZ88" s="57"/>
      <c r="CA88" s="10" t="s">
        <v>83</v>
      </c>
      <c r="CB88" s="55"/>
      <c r="CC88" s="55"/>
      <c r="CD88" s="56"/>
      <c r="CE88" s="56"/>
      <c r="CF88" s="56"/>
      <c r="CG88" s="56"/>
      <c r="CH88" s="56"/>
      <c r="CI88" s="58"/>
      <c r="CJ88" s="59"/>
      <c r="CK88" s="49" t="s">
        <v>52</v>
      </c>
      <c r="CL88" s="52"/>
      <c r="CM88" s="10" t="s">
        <v>83</v>
      </c>
      <c r="CN88" s="55"/>
      <c r="CO88" s="55"/>
      <c r="CP88" s="56"/>
      <c r="CQ88" s="56"/>
      <c r="CR88" s="56"/>
      <c r="CS88" s="56"/>
      <c r="CT88" s="56"/>
      <c r="CU88" s="58"/>
      <c r="CV88" s="56"/>
      <c r="CW88" s="49" t="s">
        <v>52</v>
      </c>
      <c r="CX88" s="52"/>
      <c r="CY88" s="10" t="s">
        <v>83</v>
      </c>
      <c r="CZ88" s="55"/>
      <c r="DA88" s="55"/>
      <c r="DB88" s="56"/>
      <c r="DC88" s="56"/>
      <c r="DD88" s="56"/>
      <c r="DE88" s="56"/>
      <c r="DF88" s="56"/>
      <c r="DG88" s="55"/>
      <c r="DH88" s="56"/>
      <c r="DI88" s="2" t="s">
        <v>52</v>
      </c>
      <c r="DJ88" s="84"/>
      <c r="DK88" s="92" t="s">
        <v>83</v>
      </c>
      <c r="DL88" s="83"/>
      <c r="DM88" s="83"/>
      <c r="DN88" s="84"/>
      <c r="DO88" s="84"/>
      <c r="DP88" s="84"/>
      <c r="DQ88" s="84"/>
      <c r="DR88" s="84"/>
      <c r="DS88" s="83"/>
      <c r="DT88" s="84"/>
      <c r="DU88" s="2" t="s">
        <v>52</v>
      </c>
      <c r="DV88" s="107" t="s">
        <v>52</v>
      </c>
      <c r="DW88" s="107" t="s">
        <v>52</v>
      </c>
      <c r="DX88" s="2" t="s">
        <v>52</v>
      </c>
      <c r="DY88" s="107" t="s">
        <v>52</v>
      </c>
      <c r="DZ88" s="107" t="s">
        <v>52</v>
      </c>
      <c r="EA88" s="110" t="s">
        <v>52</v>
      </c>
    </row>
    <row r="89" spans="1:131" x14ac:dyDescent="0.5">
      <c r="A89" s="52"/>
      <c r="B89" s="7" t="s">
        <v>74</v>
      </c>
      <c r="C89" s="9">
        <v>97260.961551179993</v>
      </c>
      <c r="D89" s="9">
        <v>95165.312489300006</v>
      </c>
      <c r="E89" s="49" t="s">
        <v>52</v>
      </c>
      <c r="F89" s="52"/>
      <c r="G89" s="7" t="s">
        <v>74</v>
      </c>
      <c r="H89" s="6" t="s">
        <v>82</v>
      </c>
      <c r="I89" s="6">
        <v>3647098</v>
      </c>
      <c r="J89" s="5">
        <v>4475.9275210400001</v>
      </c>
      <c r="K89" s="5">
        <v>3335.9397657</v>
      </c>
      <c r="L89" s="5">
        <v>1139.9877553399999</v>
      </c>
      <c r="M89" s="5">
        <v>100335.13529345</v>
      </c>
      <c r="N89" s="5">
        <v>98868.024475280006</v>
      </c>
      <c r="O89" s="6">
        <v>0</v>
      </c>
      <c r="P89" s="5">
        <v>0</v>
      </c>
      <c r="Q89" s="49" t="s">
        <v>52</v>
      </c>
      <c r="R89" s="52"/>
      <c r="S89" s="7" t="s">
        <v>74</v>
      </c>
      <c r="T89" s="6" t="s">
        <v>81</v>
      </c>
      <c r="U89" s="6">
        <v>3854287</v>
      </c>
      <c r="V89" s="5">
        <v>7281.7311193799997</v>
      </c>
      <c r="W89" s="5">
        <v>1452.4143561599999</v>
      </c>
      <c r="X89" s="5">
        <v>5829.3167632200002</v>
      </c>
      <c r="Y89" s="5">
        <v>108136.90455787</v>
      </c>
      <c r="Z89" s="5">
        <v>104870.21255876</v>
      </c>
      <c r="AA89" s="6">
        <v>0</v>
      </c>
      <c r="AB89" s="5">
        <v>0</v>
      </c>
      <c r="AC89" s="49" t="s">
        <v>52</v>
      </c>
      <c r="AD89" s="52"/>
      <c r="AE89" s="7" t="s">
        <v>74</v>
      </c>
      <c r="AF89" s="6" t="s">
        <v>80</v>
      </c>
      <c r="AG89" s="6">
        <v>4085861</v>
      </c>
      <c r="AH89" s="5">
        <v>10188.22992365</v>
      </c>
      <c r="AI89" s="5">
        <v>1540.6594501899999</v>
      </c>
      <c r="AJ89" s="5">
        <v>8647.5704734600004</v>
      </c>
      <c r="AK89" s="5">
        <v>118077.41366797</v>
      </c>
      <c r="AL89" s="5">
        <v>114607.7982872</v>
      </c>
      <c r="AM89" s="6">
        <v>0</v>
      </c>
      <c r="AN89" s="5">
        <v>0</v>
      </c>
      <c r="AO89" s="49" t="s">
        <v>52</v>
      </c>
      <c r="AP89" s="52"/>
      <c r="AQ89" s="7" t="s">
        <v>74</v>
      </c>
      <c r="AR89" s="6" t="s">
        <v>79</v>
      </c>
      <c r="AS89" s="6">
        <v>4342221</v>
      </c>
      <c r="AT89" s="5">
        <v>8880.8008201600005</v>
      </c>
      <c r="AU89" s="5">
        <v>1846.6492191</v>
      </c>
      <c r="AV89" s="5">
        <v>7034.1516010599998</v>
      </c>
      <c r="AW89" s="5">
        <v>125750.77390494999</v>
      </c>
      <c r="AX89" s="5">
        <v>123742.51600792</v>
      </c>
      <c r="AY89" s="6">
        <v>0</v>
      </c>
      <c r="AZ89" s="5">
        <v>0</v>
      </c>
      <c r="BA89" s="49" t="s">
        <v>52</v>
      </c>
      <c r="BB89" s="52"/>
      <c r="BC89" s="7" t="s">
        <v>78</v>
      </c>
      <c r="BD89" s="6">
        <v>114</v>
      </c>
      <c r="BE89" s="6">
        <v>4612682</v>
      </c>
      <c r="BF89" s="5">
        <v>7070.6394579099997</v>
      </c>
      <c r="BG89" s="5">
        <v>1654.1926681</v>
      </c>
      <c r="BH89" s="5">
        <v>5416.4467898100002</v>
      </c>
      <c r="BI89" s="5">
        <v>131767.03484553</v>
      </c>
      <c r="BJ89" s="5">
        <v>130681.263404</v>
      </c>
      <c r="BK89" s="6">
        <v>0</v>
      </c>
      <c r="BL89" s="5">
        <v>0</v>
      </c>
      <c r="BM89" s="49" t="s">
        <v>52</v>
      </c>
      <c r="BN89" s="57"/>
      <c r="BO89" s="7" t="s">
        <v>78</v>
      </c>
      <c r="BP89" s="6" t="s">
        <v>77</v>
      </c>
      <c r="BQ89" s="6">
        <v>5435446</v>
      </c>
      <c r="BR89" s="5">
        <v>14691.199752099999</v>
      </c>
      <c r="BS89" s="5">
        <v>2295.2370397700001</v>
      </c>
      <c r="BT89" s="5">
        <v>12395.96271233</v>
      </c>
      <c r="BU89" s="5">
        <v>150121.81499627</v>
      </c>
      <c r="BV89" s="5">
        <v>143230.53612634999</v>
      </c>
      <c r="BW89" s="6">
        <v>0</v>
      </c>
      <c r="BX89" s="8">
        <v>0</v>
      </c>
      <c r="BY89" s="49" t="s">
        <v>52</v>
      </c>
      <c r="BZ89" s="57"/>
      <c r="CA89" s="7" t="s">
        <v>76</v>
      </c>
      <c r="CB89" s="6" t="s">
        <v>75</v>
      </c>
      <c r="CC89" s="6">
        <v>6563721</v>
      </c>
      <c r="CD89" s="5">
        <v>14053.691434890001</v>
      </c>
      <c r="CE89" s="5">
        <v>6283.0049286699996</v>
      </c>
      <c r="CF89" s="5">
        <v>7770.6865062199904</v>
      </c>
      <c r="CG89" s="5">
        <v>161978.18403373999</v>
      </c>
      <c r="CH89" s="5">
        <v>162168.21317676001</v>
      </c>
      <c r="CI89" s="6">
        <v>0</v>
      </c>
      <c r="CJ89" s="8">
        <v>0</v>
      </c>
      <c r="CK89" s="49" t="s">
        <v>52</v>
      </c>
      <c r="CL89" s="52"/>
      <c r="CM89" s="7" t="s">
        <v>74</v>
      </c>
      <c r="CN89" s="6" t="s">
        <v>73</v>
      </c>
      <c r="CO89" s="6">
        <v>7116095</v>
      </c>
      <c r="CP89" s="5">
        <v>7641.5342740100004</v>
      </c>
      <c r="CQ89" s="5">
        <v>2559.7269577799998</v>
      </c>
      <c r="CR89" s="5">
        <v>5081.8073162299997</v>
      </c>
      <c r="CS89" s="5">
        <v>170138.67063003001</v>
      </c>
      <c r="CT89" s="5">
        <v>168529.18254543</v>
      </c>
      <c r="CU89" s="6">
        <v>0</v>
      </c>
      <c r="CV89" s="5">
        <v>0</v>
      </c>
      <c r="CW89" s="49" t="s">
        <v>52</v>
      </c>
      <c r="CX89" s="52"/>
      <c r="CY89" s="7" t="s">
        <v>72</v>
      </c>
      <c r="CZ89" s="6" t="s">
        <v>71</v>
      </c>
      <c r="DA89" s="6">
        <v>8432466</v>
      </c>
      <c r="DB89" s="5">
        <v>15431.294947889999</v>
      </c>
      <c r="DC89" s="5">
        <v>5181.0288381600003</v>
      </c>
      <c r="DD89" s="5">
        <v>10250.266109730001</v>
      </c>
      <c r="DE89" s="79">
        <v>188244.46176161</v>
      </c>
      <c r="DF89" s="5">
        <v>183180.67023995999</v>
      </c>
      <c r="DG89" s="6">
        <v>0</v>
      </c>
      <c r="DH89" s="5">
        <v>0</v>
      </c>
      <c r="DI89" s="2" t="s">
        <v>52</v>
      </c>
      <c r="DJ89" s="84"/>
      <c r="DK89" s="90" t="s">
        <v>74</v>
      </c>
      <c r="DL89" s="93" t="s">
        <v>275</v>
      </c>
      <c r="DM89" s="93">
        <v>10633970</v>
      </c>
      <c r="DN89" s="94">
        <v>23858.544834330001</v>
      </c>
      <c r="DO89" s="94">
        <v>12607.941150680001</v>
      </c>
      <c r="DP89" s="94">
        <v>11250.603683650001</v>
      </c>
      <c r="DQ89" s="94">
        <v>216823.63326598</v>
      </c>
      <c r="DR89" s="94">
        <v>207522.03446600001</v>
      </c>
      <c r="DS89" s="93">
        <v>0</v>
      </c>
      <c r="DT89" s="94">
        <v>0</v>
      </c>
      <c r="DU89" s="2" t="s">
        <v>52</v>
      </c>
      <c r="DV89" s="136">
        <f>(DQ89-DE89)/DE89</f>
        <v>0.15181945453759077</v>
      </c>
      <c r="DW89" s="137" t="e">
        <f>(DS89-DG89)/DG89</f>
        <v>#DIV/0!</v>
      </c>
      <c r="DX89" s="2" t="s">
        <v>52</v>
      </c>
      <c r="DY89" s="136">
        <f t="shared" ref="DY89" si="613">(DN89-DB89)/DB89</f>
        <v>0.546114238299379</v>
      </c>
      <c r="DZ89" s="137">
        <f t="shared" ref="DZ89" si="614">(DP89-DD89)/DD89</f>
        <v>9.7591375990759496E-2</v>
      </c>
      <c r="EA89" s="138">
        <f t="shared" ref="EA89" si="615">(DR89-DF89)/DF89</f>
        <v>0.13288172924661606</v>
      </c>
    </row>
    <row r="90" spans="1:131" ht="18.5" thickBot="1" x14ac:dyDescent="0.55000000000000004">
      <c r="E90" s="49" t="s">
        <v>52</v>
      </c>
      <c r="H90" s="64"/>
      <c r="I90" s="64"/>
      <c r="O90" s="4" t="s">
        <v>70</v>
      </c>
      <c r="Q90" s="49" t="s">
        <v>52</v>
      </c>
      <c r="AA90" s="4" t="s">
        <v>69</v>
      </c>
      <c r="AC90" s="49" t="s">
        <v>52</v>
      </c>
      <c r="AF90" s="65"/>
      <c r="AG90" s="65"/>
      <c r="AH90" s="66"/>
      <c r="AI90" s="66"/>
      <c r="AJ90" s="66"/>
      <c r="AK90" s="66"/>
      <c r="AL90" s="66"/>
      <c r="AM90" s="4" t="s">
        <v>68</v>
      </c>
      <c r="AN90" s="66"/>
      <c r="AO90" s="49" t="s">
        <v>52</v>
      </c>
      <c r="AR90" s="65"/>
      <c r="AS90" s="65"/>
      <c r="AT90" s="66"/>
      <c r="AU90" s="66"/>
      <c r="AV90" s="66"/>
      <c r="AW90" s="66"/>
      <c r="AX90" s="66"/>
      <c r="AY90" s="3" t="s">
        <v>67</v>
      </c>
      <c r="AZ90" s="66"/>
      <c r="BA90" s="49" t="s">
        <v>52</v>
      </c>
      <c r="BD90" s="65"/>
      <c r="BE90" s="65"/>
      <c r="BF90" s="66"/>
      <c r="BG90" s="66"/>
      <c r="BH90" s="66"/>
      <c r="BI90" s="66"/>
      <c r="BJ90" s="66"/>
      <c r="BK90" s="230" t="s">
        <v>66</v>
      </c>
      <c r="BL90" s="230"/>
      <c r="BM90" s="49" t="s">
        <v>52</v>
      </c>
      <c r="BN90" s="67"/>
      <c r="BP90" s="68"/>
      <c r="BQ90" s="68"/>
      <c r="BR90" s="69"/>
      <c r="BS90" s="69"/>
      <c r="BT90" s="69"/>
      <c r="BU90" s="69"/>
      <c r="BV90" s="69"/>
      <c r="BW90" s="68"/>
      <c r="BX90" s="70"/>
      <c r="BY90" s="49" t="s">
        <v>52</v>
      </c>
      <c r="BZ90" s="67"/>
      <c r="CB90" s="68"/>
      <c r="CC90" s="68"/>
      <c r="CD90" s="69"/>
      <c r="CE90" s="69"/>
      <c r="CF90" s="69"/>
      <c r="CG90" s="69"/>
      <c r="CH90" s="69"/>
      <c r="CI90" s="68"/>
      <c r="CJ90" s="70"/>
      <c r="CK90" s="49" t="s">
        <v>52</v>
      </c>
      <c r="CL90" s="71"/>
      <c r="CN90" s="68"/>
      <c r="CO90" s="68"/>
      <c r="CP90" s="69"/>
      <c r="CQ90" s="69"/>
      <c r="CR90" s="69"/>
      <c r="CS90" s="69"/>
      <c r="CT90" s="69"/>
      <c r="CU90" s="68"/>
      <c r="CV90" s="72"/>
      <c r="CW90" s="49" t="s">
        <v>52</v>
      </c>
      <c r="CX90" s="52"/>
      <c r="CY90" s="52"/>
      <c r="CZ90" s="55"/>
      <c r="DA90" s="55"/>
      <c r="DB90" s="56"/>
      <c r="DC90" s="56"/>
      <c r="DD90" s="56"/>
      <c r="DE90" s="56"/>
      <c r="DF90" s="56"/>
      <c r="DG90" s="55"/>
      <c r="DH90" s="56"/>
      <c r="DI90" s="2" t="s">
        <v>52</v>
      </c>
      <c r="DJ90" s="95"/>
      <c r="DK90" s="95"/>
      <c r="DL90" s="95"/>
      <c r="DM90" s="95"/>
      <c r="DN90" s="95"/>
      <c r="DO90" s="95"/>
      <c r="DP90" s="95"/>
      <c r="DQ90" s="95"/>
      <c r="DR90" s="95"/>
      <c r="DS90" s="95"/>
      <c r="DT90" s="95"/>
      <c r="DU90" s="2" t="s">
        <v>52</v>
      </c>
      <c r="DX90" s="2" t="s">
        <v>52</v>
      </c>
      <c r="DY90" s="106"/>
      <c r="EA90" s="106"/>
    </row>
    <row r="91" spans="1:131" ht="12" customHeight="1" x14ac:dyDescent="0.5">
      <c r="B91" s="218" t="s">
        <v>65</v>
      </c>
      <c r="C91" s="218"/>
      <c r="D91" s="218"/>
      <c r="E91" s="49" t="s">
        <v>52</v>
      </c>
      <c r="F91" s="231" t="s">
        <v>65</v>
      </c>
      <c r="G91" s="231"/>
      <c r="H91" s="231"/>
      <c r="I91" s="231"/>
      <c r="J91" s="231"/>
      <c r="K91" s="231"/>
      <c r="L91" s="231"/>
      <c r="M91" s="231"/>
      <c r="N91" s="231"/>
      <c r="O91" s="231"/>
      <c r="P91" s="231"/>
      <c r="Q91" s="49" t="s">
        <v>52</v>
      </c>
      <c r="S91" s="218" t="s">
        <v>65</v>
      </c>
      <c r="T91" s="218"/>
      <c r="U91" s="218"/>
      <c r="V91" s="218"/>
      <c r="W91" s="218"/>
      <c r="X91" s="218"/>
      <c r="Y91" s="218"/>
      <c r="Z91" s="218"/>
      <c r="AA91" s="218"/>
      <c r="AB91" s="218"/>
      <c r="AC91" s="49" t="s">
        <v>52</v>
      </c>
      <c r="AE91" s="218" t="s">
        <v>65</v>
      </c>
      <c r="AF91" s="218"/>
      <c r="AG91" s="218"/>
      <c r="AH91" s="218"/>
      <c r="AI91" s="218"/>
      <c r="AJ91" s="218"/>
      <c r="AK91" s="218"/>
      <c r="AL91" s="218"/>
      <c r="AM91" s="218"/>
      <c r="AN91" s="218"/>
      <c r="AO91" s="49" t="s">
        <v>52</v>
      </c>
      <c r="AQ91" s="218" t="s">
        <v>65</v>
      </c>
      <c r="AR91" s="218"/>
      <c r="AS91" s="218"/>
      <c r="AT91" s="218"/>
      <c r="AU91" s="218"/>
      <c r="AV91" s="218"/>
      <c r="AW91" s="218"/>
      <c r="AX91" s="218"/>
      <c r="AY91" s="218"/>
      <c r="AZ91" s="218"/>
      <c r="BA91" s="49" t="s">
        <v>52</v>
      </c>
      <c r="BC91" s="218" t="s">
        <v>65</v>
      </c>
      <c r="BD91" s="218"/>
      <c r="BE91" s="218"/>
      <c r="BF91" s="218"/>
      <c r="BG91" s="218"/>
      <c r="BH91" s="218"/>
      <c r="BI91" s="218"/>
      <c r="BJ91" s="218"/>
      <c r="BK91" s="218"/>
      <c r="BL91" s="218"/>
      <c r="BM91" s="49" t="s">
        <v>52</v>
      </c>
      <c r="BN91" s="73"/>
      <c r="BO91" s="226" t="s">
        <v>65</v>
      </c>
      <c r="BP91" s="226"/>
      <c r="BQ91" s="226"/>
      <c r="BR91" s="226"/>
      <c r="BS91" s="226"/>
      <c r="BT91" s="226"/>
      <c r="BU91" s="226"/>
      <c r="BV91" s="69"/>
      <c r="BW91" s="68"/>
      <c r="BX91" s="70"/>
      <c r="BY91" s="49" t="s">
        <v>52</v>
      </c>
      <c r="BZ91" s="73"/>
      <c r="CA91" s="212" t="s">
        <v>65</v>
      </c>
      <c r="CB91" s="213"/>
      <c r="CC91" s="213"/>
      <c r="CD91" s="213"/>
      <c r="CE91" s="213"/>
      <c r="CF91" s="213"/>
      <c r="CG91" s="214"/>
      <c r="CH91" s="69"/>
      <c r="CI91" s="68"/>
      <c r="CJ91" s="70"/>
      <c r="CK91" s="49" t="s">
        <v>52</v>
      </c>
      <c r="CL91" s="215" t="s">
        <v>65</v>
      </c>
      <c r="CM91" s="216"/>
      <c r="CN91" s="216"/>
      <c r="CO91" s="216"/>
      <c r="CP91" s="216"/>
      <c r="CQ91" s="216"/>
      <c r="CR91" s="216"/>
      <c r="CS91" s="216"/>
      <c r="CT91" s="216"/>
      <c r="CU91" s="216"/>
      <c r="CV91" s="217"/>
      <c r="CW91" s="49" t="s">
        <v>52</v>
      </c>
      <c r="CX91" s="208" t="s">
        <v>65</v>
      </c>
      <c r="CY91" s="208"/>
      <c r="CZ91" s="208"/>
      <c r="DA91" s="208"/>
      <c r="DB91" s="208"/>
      <c r="DC91" s="208"/>
      <c r="DD91" s="208"/>
      <c r="DE91" s="208"/>
      <c r="DF91" s="208"/>
      <c r="DG91" s="208"/>
      <c r="DH91" s="208"/>
      <c r="DI91" s="2" t="s">
        <v>52</v>
      </c>
      <c r="DJ91" s="208" t="s">
        <v>65</v>
      </c>
      <c r="DK91" s="208"/>
      <c r="DL91" s="208"/>
      <c r="DM91" s="208"/>
      <c r="DN91" s="208"/>
      <c r="DO91" s="208"/>
      <c r="DP91" s="208"/>
      <c r="DQ91" s="208"/>
      <c r="DR91" s="208"/>
      <c r="DS91" s="208"/>
      <c r="DT91" s="208"/>
      <c r="DU91" s="2" t="s">
        <v>52</v>
      </c>
      <c r="DX91" s="2" t="s">
        <v>52</v>
      </c>
      <c r="DY91" s="106"/>
      <c r="EA91" s="106"/>
    </row>
    <row r="92" spans="1:131" ht="12" customHeight="1" thickBot="1" x14ac:dyDescent="0.55000000000000004">
      <c r="B92" s="218" t="s">
        <v>64</v>
      </c>
      <c r="C92" s="218"/>
      <c r="D92" s="218"/>
      <c r="E92" s="49" t="s">
        <v>52</v>
      </c>
      <c r="F92" s="231" t="s">
        <v>63</v>
      </c>
      <c r="G92" s="231"/>
      <c r="H92" s="231"/>
      <c r="I92" s="231"/>
      <c r="J92" s="231"/>
      <c r="K92" s="231"/>
      <c r="L92" s="231"/>
      <c r="M92" s="231"/>
      <c r="N92" s="231"/>
      <c r="O92" s="231"/>
      <c r="P92" s="231"/>
      <c r="Q92" s="49" t="s">
        <v>52</v>
      </c>
      <c r="S92" s="218" t="s">
        <v>62</v>
      </c>
      <c r="T92" s="218"/>
      <c r="U92" s="218"/>
      <c r="V92" s="218"/>
      <c r="W92" s="218"/>
      <c r="X92" s="218"/>
      <c r="Y92" s="218"/>
      <c r="Z92" s="218"/>
      <c r="AA92" s="218"/>
      <c r="AB92" s="218"/>
      <c r="AC92" s="49" t="s">
        <v>52</v>
      </c>
      <c r="AE92" s="218" t="s">
        <v>61</v>
      </c>
      <c r="AF92" s="218"/>
      <c r="AG92" s="218"/>
      <c r="AH92" s="218"/>
      <c r="AI92" s="218"/>
      <c r="AJ92" s="218"/>
      <c r="AK92" s="218"/>
      <c r="AL92" s="218"/>
      <c r="AM92" s="218"/>
      <c r="AN92" s="218"/>
      <c r="AO92" s="49" t="s">
        <v>52</v>
      </c>
      <c r="AQ92" s="232" t="s">
        <v>60</v>
      </c>
      <c r="AR92" s="232"/>
      <c r="AS92" s="232"/>
      <c r="AT92" s="232"/>
      <c r="AU92" s="232"/>
      <c r="AV92" s="232"/>
      <c r="AW92" s="232"/>
      <c r="AX92" s="232"/>
      <c r="AY92" s="232"/>
      <c r="AZ92" s="232"/>
      <c r="BA92" s="49" t="s">
        <v>52</v>
      </c>
      <c r="BC92" s="218" t="s">
        <v>59</v>
      </c>
      <c r="BD92" s="218"/>
      <c r="BE92" s="218"/>
      <c r="BF92" s="218"/>
      <c r="BG92" s="218"/>
      <c r="BH92" s="218"/>
      <c r="BI92" s="218"/>
      <c r="BJ92" s="218"/>
      <c r="BK92" s="218"/>
      <c r="BL92" s="218"/>
      <c r="BM92" s="49" t="s">
        <v>52</v>
      </c>
      <c r="BN92" s="74"/>
      <c r="BO92" s="219" t="s">
        <v>58</v>
      </c>
      <c r="BP92" s="219"/>
      <c r="BQ92" s="219"/>
      <c r="BR92" s="219"/>
      <c r="BS92" s="219"/>
      <c r="BT92" s="219"/>
      <c r="BU92" s="219"/>
      <c r="BV92" s="75"/>
      <c r="BW92" s="76"/>
      <c r="BX92" s="77"/>
      <c r="BY92" s="49" t="s">
        <v>52</v>
      </c>
      <c r="BZ92" s="74"/>
      <c r="CA92" s="220" t="s">
        <v>57</v>
      </c>
      <c r="CB92" s="221"/>
      <c r="CC92" s="221"/>
      <c r="CD92" s="221"/>
      <c r="CE92" s="221"/>
      <c r="CF92" s="221"/>
      <c r="CG92" s="222"/>
      <c r="CH92" s="75"/>
      <c r="CI92" s="76"/>
      <c r="CJ92" s="77"/>
      <c r="CK92" s="49" t="s">
        <v>52</v>
      </c>
      <c r="CL92" s="223" t="s">
        <v>56</v>
      </c>
      <c r="CM92" s="224"/>
      <c r="CN92" s="224"/>
      <c r="CO92" s="224"/>
      <c r="CP92" s="224"/>
      <c r="CQ92" s="224"/>
      <c r="CR92" s="224"/>
      <c r="CS92" s="224"/>
      <c r="CT92" s="224"/>
      <c r="CU92" s="224"/>
      <c r="CV92" s="225"/>
      <c r="CW92" s="49" t="s">
        <v>52</v>
      </c>
      <c r="CX92" s="209" t="s">
        <v>55</v>
      </c>
      <c r="CY92" s="209"/>
      <c r="CZ92" s="209"/>
      <c r="DA92" s="209"/>
      <c r="DB92" s="209"/>
      <c r="DC92" s="209"/>
      <c r="DD92" s="209"/>
      <c r="DE92" s="209"/>
      <c r="DF92" s="209"/>
      <c r="DG92" s="209"/>
      <c r="DH92" s="209"/>
      <c r="DI92" s="2" t="s">
        <v>52</v>
      </c>
      <c r="DJ92" s="209" t="s">
        <v>276</v>
      </c>
      <c r="DK92" s="209"/>
      <c r="DL92" s="209"/>
      <c r="DM92" s="209"/>
      <c r="DN92" s="209"/>
      <c r="DO92" s="209"/>
      <c r="DP92" s="209"/>
      <c r="DQ92" s="209"/>
      <c r="DR92" s="209"/>
      <c r="DS92" s="209"/>
      <c r="DT92" s="209"/>
      <c r="DU92" s="2" t="s">
        <v>52</v>
      </c>
      <c r="DX92" s="2" t="s">
        <v>52</v>
      </c>
      <c r="DY92" s="106"/>
      <c r="EA92" s="106"/>
    </row>
    <row r="93" spans="1:131" x14ac:dyDescent="0.5">
      <c r="AF93" s="65"/>
      <c r="AG93" s="65"/>
      <c r="AH93" s="66"/>
      <c r="AI93" s="66"/>
      <c r="AJ93" s="66"/>
      <c r="AK93" s="66"/>
      <c r="AL93" s="66"/>
      <c r="AM93" s="65"/>
      <c r="AN93" s="66"/>
      <c r="AR93" s="65"/>
      <c r="AS93" s="65"/>
      <c r="AT93" s="66"/>
      <c r="AU93" s="66"/>
      <c r="AV93" s="66"/>
      <c r="AW93" s="66"/>
      <c r="AX93" s="66"/>
      <c r="AY93" s="65"/>
      <c r="AZ93" s="66"/>
      <c r="BD93" s="65"/>
      <c r="BE93" s="65"/>
      <c r="BF93" s="66"/>
      <c r="BG93" s="66"/>
      <c r="BH93" s="66"/>
      <c r="BI93" s="66"/>
      <c r="BJ93" s="66"/>
      <c r="BK93" s="65"/>
      <c r="BL93" s="66"/>
      <c r="BP93" s="68"/>
      <c r="BQ93" s="68"/>
      <c r="BR93" s="69"/>
      <c r="BS93" s="69"/>
      <c r="BT93" s="69"/>
      <c r="BU93" s="69"/>
      <c r="BV93" s="69"/>
      <c r="BW93" s="68"/>
      <c r="BX93" s="69"/>
      <c r="CB93" s="68"/>
      <c r="CC93" s="68"/>
      <c r="CD93" s="69"/>
      <c r="CE93" s="69"/>
      <c r="CF93" s="69"/>
      <c r="CG93" s="69"/>
      <c r="CH93" s="69"/>
      <c r="CI93" s="68"/>
      <c r="CJ93" s="69"/>
      <c r="CN93" s="68"/>
      <c r="CO93" s="68"/>
      <c r="CP93" s="69"/>
      <c r="CQ93" s="69"/>
      <c r="CR93" s="69"/>
      <c r="CS93" s="69"/>
      <c r="CT93" s="69"/>
      <c r="CU93" s="68"/>
      <c r="CV93" s="69"/>
      <c r="CY93" s="106" t="s">
        <v>52</v>
      </c>
      <c r="CZ93" s="106" t="s">
        <v>52</v>
      </c>
      <c r="DA93" s="106" t="s">
        <v>52</v>
      </c>
      <c r="DB93" s="106" t="s">
        <v>52</v>
      </c>
      <c r="DC93" s="106" t="s">
        <v>52</v>
      </c>
      <c r="DD93" s="106" t="s">
        <v>52</v>
      </c>
      <c r="DE93" s="106" t="s">
        <v>52</v>
      </c>
      <c r="DF93" s="106" t="s">
        <v>52</v>
      </c>
      <c r="DG93" s="68"/>
      <c r="DH93" s="69"/>
      <c r="DK93" s="106" t="s">
        <v>52</v>
      </c>
      <c r="DL93" s="106" t="s">
        <v>52</v>
      </c>
      <c r="DM93" s="106" t="s">
        <v>52</v>
      </c>
      <c r="DN93" s="106" t="s">
        <v>52</v>
      </c>
      <c r="DO93" s="106" t="s">
        <v>52</v>
      </c>
      <c r="DP93" s="106" t="s">
        <v>52</v>
      </c>
      <c r="DQ93" s="106" t="s">
        <v>52</v>
      </c>
      <c r="DR93" s="106" t="s">
        <v>52</v>
      </c>
    </row>
    <row r="94" spans="1:131" ht="39" x14ac:dyDescent="0.5">
      <c r="A94" s="81" t="s">
        <v>52</v>
      </c>
      <c r="B94" s="81" t="s">
        <v>52</v>
      </c>
      <c r="AF94" s="65"/>
      <c r="AG94" s="65"/>
      <c r="AH94" s="66"/>
      <c r="AI94" s="66"/>
      <c r="AJ94" s="66"/>
      <c r="AK94" s="66"/>
      <c r="AL94" s="66"/>
      <c r="AM94" s="65"/>
      <c r="AN94" s="66"/>
      <c r="AR94" s="65"/>
      <c r="AS94" s="65"/>
      <c r="AT94" s="66"/>
      <c r="AU94" s="66"/>
      <c r="AV94" s="66"/>
      <c r="AW94" s="66"/>
      <c r="AX94" s="66"/>
      <c r="AY94" s="65"/>
      <c r="AZ94" s="66"/>
      <c r="BD94" s="65"/>
      <c r="BE94" s="65"/>
      <c r="BF94" s="66"/>
      <c r="BG94" s="66"/>
      <c r="BH94" s="66"/>
      <c r="BI94" s="66"/>
      <c r="BJ94" s="66"/>
      <c r="BK94" s="65"/>
      <c r="BL94" s="66"/>
      <c r="BP94" s="68"/>
      <c r="BQ94" s="68"/>
      <c r="BR94" s="69"/>
      <c r="BS94" s="69"/>
      <c r="BT94" s="69"/>
      <c r="BU94" s="69"/>
      <c r="BV94" s="69"/>
      <c r="BW94" s="68"/>
      <c r="BX94" s="69"/>
      <c r="CB94" s="68"/>
      <c r="CC94" s="68"/>
      <c r="CD94" s="69"/>
      <c r="CE94" s="69"/>
      <c r="CF94" s="69"/>
      <c r="CG94" s="69"/>
      <c r="CH94" s="69"/>
      <c r="CI94" s="68"/>
      <c r="CJ94" s="69"/>
      <c r="CM94" s="81" t="s">
        <v>52</v>
      </c>
      <c r="CN94" s="81" t="s">
        <v>282</v>
      </c>
      <c r="CO94" s="81" t="s">
        <v>283</v>
      </c>
      <c r="CP94" s="80" t="s">
        <v>284</v>
      </c>
      <c r="CQ94" s="80" t="s">
        <v>285</v>
      </c>
      <c r="CR94" s="80" t="s">
        <v>286</v>
      </c>
      <c r="CS94" s="80" t="s">
        <v>51</v>
      </c>
      <c r="CT94" s="80" t="s">
        <v>287</v>
      </c>
      <c r="CU94" s="68"/>
      <c r="CV94" s="69"/>
      <c r="CY94" s="81" t="s">
        <v>52</v>
      </c>
      <c r="CZ94" s="81" t="s">
        <v>282</v>
      </c>
      <c r="DA94" s="81" t="s">
        <v>283</v>
      </c>
      <c r="DB94" s="80" t="s">
        <v>284</v>
      </c>
      <c r="DC94" s="80" t="s">
        <v>285</v>
      </c>
      <c r="DD94" s="80" t="s">
        <v>286</v>
      </c>
      <c r="DE94" s="80" t="s">
        <v>51</v>
      </c>
      <c r="DF94" s="80" t="s">
        <v>287</v>
      </c>
      <c r="DG94" s="68"/>
      <c r="DH94" s="69"/>
      <c r="DK94" s="81" t="s">
        <v>52</v>
      </c>
      <c r="DL94" s="81" t="s">
        <v>282</v>
      </c>
      <c r="DM94" s="81" t="s">
        <v>283</v>
      </c>
      <c r="DN94" s="80" t="s">
        <v>284</v>
      </c>
      <c r="DO94" s="80" t="s">
        <v>285</v>
      </c>
      <c r="DP94" s="80" t="s">
        <v>286</v>
      </c>
      <c r="DQ94" s="80" t="s">
        <v>51</v>
      </c>
      <c r="DR94" s="80" t="s">
        <v>287</v>
      </c>
    </row>
    <row r="95" spans="1:131" x14ac:dyDescent="0.5">
      <c r="A95" s="81" t="s">
        <v>52</v>
      </c>
      <c r="B95" s="81" t="s">
        <v>52</v>
      </c>
      <c r="AF95" s="65"/>
      <c r="AG95" s="65"/>
      <c r="AH95" s="66"/>
      <c r="AI95" s="66"/>
      <c r="AJ95" s="66"/>
      <c r="AK95" s="66"/>
      <c r="AL95" s="66"/>
      <c r="AM95" s="65"/>
      <c r="AN95" s="66"/>
      <c r="AR95" s="65"/>
      <c r="AS95" s="65"/>
      <c r="AT95" s="66"/>
      <c r="AU95" s="66"/>
      <c r="AV95" s="66"/>
      <c r="AW95" s="66"/>
      <c r="AX95" s="66"/>
      <c r="AY95" s="65"/>
      <c r="AZ95" s="66"/>
      <c r="BD95" s="65"/>
      <c r="BE95" s="65"/>
      <c r="BF95" s="66"/>
      <c r="BG95" s="66"/>
      <c r="BH95" s="66"/>
      <c r="BI95" s="66"/>
      <c r="BJ95" s="66"/>
      <c r="BK95" s="65"/>
      <c r="BL95" s="66"/>
      <c r="BP95" s="68"/>
      <c r="BQ95" s="68"/>
      <c r="BR95" s="69"/>
      <c r="BS95" s="69"/>
      <c r="BT95" s="69"/>
      <c r="BU95" s="69"/>
      <c r="BV95" s="69"/>
      <c r="BW95" s="68"/>
      <c r="BX95" s="69"/>
      <c r="CB95" s="68"/>
      <c r="CC95" s="68"/>
      <c r="CD95" s="69"/>
      <c r="CE95" s="69"/>
      <c r="CF95" s="69"/>
      <c r="CG95" s="69"/>
      <c r="CH95" s="69"/>
      <c r="CI95" s="68"/>
      <c r="CJ95" s="69"/>
      <c r="CM95" s="98" t="s">
        <v>278</v>
      </c>
      <c r="CN95" s="100">
        <f>CN87</f>
        <v>1886</v>
      </c>
      <c r="CO95" s="100">
        <f t="shared" ref="CO95:CT95" si="616">CO87</f>
        <v>258614320</v>
      </c>
      <c r="CP95" s="100">
        <f t="shared" si="616"/>
        <v>1060406.3421410897</v>
      </c>
      <c r="CQ95" s="100">
        <f t="shared" si="616"/>
        <v>1027650.9863932499</v>
      </c>
      <c r="CR95" s="100">
        <f t="shared" si="616"/>
        <v>32755.355747839854</v>
      </c>
      <c r="CS95" s="100">
        <f t="shared" si="616"/>
        <v>8080369.5215099789</v>
      </c>
      <c r="CT95" s="100">
        <f t="shared" si="616"/>
        <v>8131763.6712122709</v>
      </c>
      <c r="CU95" s="68"/>
      <c r="CV95" s="69"/>
      <c r="CY95" s="98" t="s">
        <v>278</v>
      </c>
      <c r="CZ95" s="100">
        <f>CZ87</f>
        <v>1908</v>
      </c>
      <c r="DA95" s="100">
        <f t="shared" ref="DA95:DF95" si="617">DA87</f>
        <v>261253836</v>
      </c>
      <c r="DB95" s="100">
        <f t="shared" si="617"/>
        <v>1466374.9882513599</v>
      </c>
      <c r="DC95" s="100">
        <f t="shared" si="617"/>
        <v>1532965.68800828</v>
      </c>
      <c r="DD95" s="100">
        <f t="shared" si="617"/>
        <v>-66590.699756920105</v>
      </c>
      <c r="DE95" s="100">
        <f t="shared" si="617"/>
        <v>8023378.9941127012</v>
      </c>
      <c r="DF95" s="100">
        <f t="shared" si="617"/>
        <v>8199191.2128050895</v>
      </c>
      <c r="DG95" s="68"/>
      <c r="DH95" s="69"/>
      <c r="DK95" s="98" t="s">
        <v>279</v>
      </c>
      <c r="DL95" s="100">
        <f>DL87</f>
        <v>1919</v>
      </c>
      <c r="DM95" s="100">
        <f t="shared" ref="DM95:DR95" si="618">DM87</f>
        <v>266313561</v>
      </c>
      <c r="DN95" s="100">
        <f t="shared" si="618"/>
        <v>1384940.6775328303</v>
      </c>
      <c r="DO95" s="100">
        <f t="shared" si="618"/>
        <v>1228482.0454760396</v>
      </c>
      <c r="DP95" s="100">
        <f t="shared" si="618"/>
        <v>156458.63205679</v>
      </c>
      <c r="DQ95" s="100">
        <f t="shared" si="618"/>
        <v>8101305.5775707792</v>
      </c>
      <c r="DR95" s="100">
        <f t="shared" si="618"/>
        <v>8201174.6177598918</v>
      </c>
    </row>
    <row r="96" spans="1:131" x14ac:dyDescent="0.5">
      <c r="A96" s="81" t="s">
        <v>52</v>
      </c>
      <c r="B96" s="81" t="s">
        <v>52</v>
      </c>
      <c r="AF96" s="65"/>
      <c r="AG96" s="65"/>
      <c r="AH96" s="66"/>
      <c r="AI96" s="66"/>
      <c r="AJ96" s="66"/>
      <c r="AK96" s="66"/>
      <c r="AL96" s="66"/>
      <c r="AM96" s="65"/>
      <c r="AN96" s="66"/>
      <c r="AR96" s="65"/>
      <c r="AS96" s="65"/>
      <c r="AT96" s="66"/>
      <c r="AU96" s="66"/>
      <c r="AV96" s="66"/>
      <c r="AW96" s="66"/>
      <c r="AX96" s="66"/>
      <c r="AY96" s="65"/>
      <c r="AZ96" s="66"/>
      <c r="BD96" s="65"/>
      <c r="BE96" s="65"/>
      <c r="BF96" s="66"/>
      <c r="BG96" s="66"/>
      <c r="BH96" s="66"/>
      <c r="BI96" s="66"/>
      <c r="BJ96" s="66"/>
      <c r="BK96" s="65"/>
      <c r="BL96" s="66"/>
      <c r="BP96" s="68"/>
      <c r="BQ96" s="68"/>
      <c r="BR96" s="69"/>
      <c r="BS96" s="69"/>
      <c r="BT96" s="69"/>
      <c r="BU96" s="69"/>
      <c r="BV96" s="69"/>
      <c r="BW96" s="68"/>
      <c r="BX96" s="69"/>
      <c r="CB96" s="68"/>
      <c r="CC96" s="68"/>
      <c r="CD96" s="69"/>
      <c r="CE96" s="69"/>
      <c r="CF96" s="69"/>
      <c r="CG96" s="69"/>
      <c r="CH96" s="69"/>
      <c r="CI96" s="68"/>
      <c r="CJ96" s="69"/>
      <c r="CN96" s="68"/>
      <c r="CO96" s="68"/>
      <c r="CP96" s="69"/>
      <c r="CQ96" s="69"/>
      <c r="CR96" s="69"/>
      <c r="CS96" s="69"/>
      <c r="CT96" s="69"/>
      <c r="CU96" s="68"/>
      <c r="CV96" s="69"/>
      <c r="CY96" s="98" t="s">
        <v>281</v>
      </c>
      <c r="CZ96" s="101">
        <f t="shared" ref="CZ96:DF96" si="619">(CZ87-CN87)/CN87</f>
        <v>1.166489925768823E-2</v>
      </c>
      <c r="DA96" s="101">
        <f t="shared" si="619"/>
        <v>1.0206379909666255E-2</v>
      </c>
      <c r="DB96" s="101">
        <f t="shared" si="619"/>
        <v>0.38284252929925899</v>
      </c>
      <c r="DC96" s="101">
        <f t="shared" si="619"/>
        <v>0.49171820813264117</v>
      </c>
      <c r="DD96" s="101">
        <f t="shared" si="619"/>
        <v>-3.0329713488552668</v>
      </c>
      <c r="DE96" s="101">
        <f t="shared" si="619"/>
        <v>-7.0529605416644291E-3</v>
      </c>
      <c r="DF96" s="101">
        <f t="shared" si="619"/>
        <v>8.2918717659642323E-3</v>
      </c>
      <c r="DG96" s="68"/>
      <c r="DH96" s="69"/>
      <c r="DK96" s="96" t="s">
        <v>280</v>
      </c>
      <c r="DL96" s="97">
        <f>(DL95-CZ95)/CZ95</f>
        <v>5.7651991614255764E-3</v>
      </c>
      <c r="DM96" s="97">
        <f t="shared" ref="DM96:DR96" si="620">(DM95-DA95)/DA95</f>
        <v>1.9367084049246266E-2</v>
      </c>
      <c r="DN96" s="97">
        <f t="shared" si="620"/>
        <v>-5.5534437896843404E-2</v>
      </c>
      <c r="DO96" s="97">
        <f t="shared" si="620"/>
        <v>-0.19862391240331256</v>
      </c>
      <c r="DP96" s="97">
        <v>3.3496000000000001</v>
      </c>
      <c r="DQ96" s="97">
        <f t="shared" si="620"/>
        <v>9.7124395488806057E-3</v>
      </c>
      <c r="DR96" s="97">
        <f t="shared" si="620"/>
        <v>2.4190251249472773E-4</v>
      </c>
    </row>
    <row r="97" spans="1:122" x14ac:dyDescent="0.5">
      <c r="A97" s="81" t="s">
        <v>52</v>
      </c>
      <c r="B97" s="81" t="s">
        <v>52</v>
      </c>
      <c r="AF97" s="65"/>
      <c r="AG97" s="65"/>
      <c r="AH97" s="66"/>
      <c r="AI97" s="66"/>
      <c r="AJ97" s="66"/>
      <c r="AK97" s="66"/>
      <c r="AL97" s="66"/>
      <c r="AM97" s="65"/>
      <c r="AN97" s="66"/>
      <c r="AR97" s="65"/>
      <c r="AS97" s="65"/>
      <c r="AT97" s="66"/>
      <c r="AU97" s="66"/>
      <c r="AV97" s="66"/>
      <c r="AW97" s="66"/>
      <c r="AX97" s="66"/>
      <c r="AY97" s="65"/>
      <c r="AZ97" s="66"/>
      <c r="BD97" s="65"/>
      <c r="BE97" s="65"/>
      <c r="BF97" s="66"/>
      <c r="BG97" s="66"/>
      <c r="BH97" s="66"/>
      <c r="BI97" s="66"/>
      <c r="BJ97" s="66"/>
      <c r="BK97" s="65"/>
      <c r="BL97" s="66"/>
      <c r="BP97" s="68"/>
      <c r="BQ97" s="68"/>
      <c r="BR97" s="69"/>
      <c r="BS97" s="69"/>
      <c r="BT97" s="69"/>
      <c r="BU97" s="69"/>
      <c r="BV97" s="69"/>
      <c r="BW97" s="68"/>
      <c r="BX97" s="69"/>
      <c r="CB97" s="68"/>
      <c r="CC97" s="68"/>
      <c r="CD97" s="69"/>
      <c r="CE97" s="69"/>
      <c r="CF97" s="69"/>
      <c r="CG97" s="69"/>
      <c r="CH97" s="69"/>
      <c r="CI97" s="68"/>
      <c r="CJ97" s="69"/>
      <c r="CM97" s="81" t="s">
        <v>52</v>
      </c>
      <c r="CN97" s="81" t="s">
        <v>52</v>
      </c>
      <c r="CO97" s="81" t="s">
        <v>52</v>
      </c>
      <c r="CP97" s="81" t="s">
        <v>52</v>
      </c>
      <c r="CQ97" s="81" t="s">
        <v>52</v>
      </c>
      <c r="CR97" s="81" t="s">
        <v>52</v>
      </c>
      <c r="CS97" s="81" t="s">
        <v>52</v>
      </c>
      <c r="CT97" s="81" t="s">
        <v>52</v>
      </c>
      <c r="CU97" s="68"/>
      <c r="CV97" s="69"/>
      <c r="CY97" s="81" t="s">
        <v>52</v>
      </c>
      <c r="CZ97" s="81" t="s">
        <v>52</v>
      </c>
      <c r="DA97" s="81" t="s">
        <v>52</v>
      </c>
      <c r="DB97" s="81" t="s">
        <v>52</v>
      </c>
      <c r="DC97" s="81" t="s">
        <v>52</v>
      </c>
      <c r="DD97" s="81" t="s">
        <v>52</v>
      </c>
      <c r="DE97" s="81" t="s">
        <v>52</v>
      </c>
      <c r="DF97" s="81" t="s">
        <v>52</v>
      </c>
      <c r="DG97" s="68"/>
      <c r="DH97" s="69"/>
      <c r="DK97" s="81" t="s">
        <v>52</v>
      </c>
      <c r="DL97" s="81" t="s">
        <v>52</v>
      </c>
      <c r="DM97" s="81" t="s">
        <v>52</v>
      </c>
      <c r="DN97" s="81" t="s">
        <v>52</v>
      </c>
      <c r="DO97" s="81" t="s">
        <v>52</v>
      </c>
      <c r="DP97" s="81" t="s">
        <v>52</v>
      </c>
      <c r="DQ97" s="81" t="s">
        <v>52</v>
      </c>
      <c r="DR97" s="81" t="s">
        <v>52</v>
      </c>
    </row>
    <row r="98" spans="1:122" x14ac:dyDescent="0.5">
      <c r="A98" s="81" t="s">
        <v>52</v>
      </c>
      <c r="B98" s="81" t="s">
        <v>52</v>
      </c>
      <c r="AF98" s="65"/>
      <c r="AG98" s="65"/>
      <c r="AH98" s="66"/>
      <c r="AI98" s="66"/>
      <c r="AJ98" s="66"/>
      <c r="AK98" s="66"/>
      <c r="AL98" s="66"/>
      <c r="AM98" s="65"/>
      <c r="AN98" s="66"/>
      <c r="AR98" s="65"/>
      <c r="AS98" s="65"/>
      <c r="AT98" s="66"/>
      <c r="AU98" s="66"/>
      <c r="AV98" s="66"/>
      <c r="AW98" s="66"/>
      <c r="AX98" s="66"/>
      <c r="AY98" s="65"/>
      <c r="AZ98" s="66"/>
      <c r="BD98" s="65"/>
      <c r="BE98" s="65"/>
      <c r="BF98" s="66"/>
      <c r="BG98" s="66"/>
      <c r="BH98" s="66"/>
      <c r="BI98" s="66"/>
      <c r="BJ98" s="66"/>
      <c r="BK98" s="65"/>
      <c r="BL98" s="66"/>
      <c r="BP98" s="68"/>
      <c r="BQ98" s="68"/>
      <c r="BR98" s="69"/>
      <c r="BS98" s="69"/>
      <c r="BT98" s="69"/>
      <c r="BU98" s="69"/>
      <c r="BV98" s="69"/>
      <c r="BW98" s="68"/>
      <c r="BX98" s="69"/>
      <c r="CB98" s="68"/>
      <c r="CC98" s="68"/>
      <c r="CD98" s="69"/>
      <c r="CE98" s="69"/>
      <c r="CF98" s="69"/>
      <c r="CG98" s="69"/>
      <c r="CH98" s="69"/>
      <c r="CI98" s="68"/>
      <c r="CJ98" s="69"/>
      <c r="CM98" s="99" t="s">
        <v>277</v>
      </c>
      <c r="CN98" s="100">
        <f>CN36+CN40+CN41+CN42+CN50+CN72</f>
        <v>698</v>
      </c>
      <c r="CO98" s="100">
        <f t="shared" ref="CO98:CT98" si="621">CO36+CO40+CO41+CO42+CO50+CO72</f>
        <v>199770532</v>
      </c>
      <c r="CP98" s="100">
        <f t="shared" si="621"/>
        <v>79719.270147260017</v>
      </c>
      <c r="CQ98" s="100">
        <f t="shared" si="621"/>
        <v>41395.428471269995</v>
      </c>
      <c r="CR98" s="100">
        <f t="shared" si="621"/>
        <v>38323.841675989999</v>
      </c>
      <c r="CS98" s="100">
        <f t="shared" si="621"/>
        <v>4361297.7694618488</v>
      </c>
      <c r="CT98" s="100">
        <f t="shared" si="621"/>
        <v>4339028.1622739695</v>
      </c>
      <c r="CU98" s="68"/>
      <c r="CV98" s="69"/>
      <c r="CY98" s="99" t="s">
        <v>277</v>
      </c>
      <c r="CZ98" s="100">
        <f>CZ36+CZ40+CZ41+CZ42+CZ50+CZ72</f>
        <v>704</v>
      </c>
      <c r="DA98" s="100">
        <f t="shared" ref="DA98:DF98" si="622">DA36+DA40+DA41+DA42+DA50+DA72</f>
        <v>200942607</v>
      </c>
      <c r="DB98" s="100">
        <f t="shared" si="622"/>
        <v>86998.085708110011</v>
      </c>
      <c r="DC98" s="100">
        <f t="shared" si="622"/>
        <v>48580.920210379998</v>
      </c>
      <c r="DD98" s="100">
        <f t="shared" si="622"/>
        <v>38417.165497730035</v>
      </c>
      <c r="DE98" s="100">
        <f t="shared" si="622"/>
        <v>4376630.4635635596</v>
      </c>
      <c r="DF98" s="100">
        <f t="shared" si="622"/>
        <v>4363630.4344383497</v>
      </c>
      <c r="DG98" s="68"/>
      <c r="DH98" s="69"/>
      <c r="DK98" s="99" t="s">
        <v>277</v>
      </c>
      <c r="DL98" s="100">
        <f>DL36+DL40+DL41+DL42+DL50+DL72</f>
        <v>707</v>
      </c>
      <c r="DM98" s="100">
        <f t="shared" ref="DM98:DR98" si="623">DM36+DM40+DM41+DM42+DM50+DM72</f>
        <v>202442797</v>
      </c>
      <c r="DN98" s="100">
        <f t="shared" si="623"/>
        <v>87647.989952090022</v>
      </c>
      <c r="DO98" s="100">
        <f t="shared" si="623"/>
        <v>49290.116519210002</v>
      </c>
      <c r="DP98" s="100">
        <f t="shared" si="623"/>
        <v>38357.873432879998</v>
      </c>
      <c r="DQ98" s="100">
        <f t="shared" si="623"/>
        <v>4291993.0031737201</v>
      </c>
      <c r="DR98" s="100">
        <f t="shared" si="623"/>
        <v>4343061.7987973206</v>
      </c>
    </row>
    <row r="99" spans="1:122" x14ac:dyDescent="0.5">
      <c r="A99" s="81" t="s">
        <v>52</v>
      </c>
      <c r="B99" s="81" t="s">
        <v>52</v>
      </c>
      <c r="AF99" s="65"/>
      <c r="AG99" s="65"/>
      <c r="AH99" s="66"/>
      <c r="AI99" s="66"/>
      <c r="AJ99" s="66"/>
      <c r="AK99" s="66"/>
      <c r="AL99" s="66"/>
      <c r="AM99" s="65"/>
      <c r="AN99" s="66"/>
      <c r="AR99" s="65"/>
      <c r="AS99" s="65"/>
      <c r="AT99" s="66"/>
      <c r="AU99" s="66"/>
      <c r="AV99" s="66"/>
      <c r="AW99" s="66"/>
      <c r="AX99" s="66"/>
      <c r="AY99" s="65"/>
      <c r="AZ99" s="66"/>
      <c r="BD99" s="65"/>
      <c r="BE99" s="65"/>
      <c r="BF99" s="66"/>
      <c r="BG99" s="66"/>
      <c r="BH99" s="66"/>
      <c r="BI99" s="66"/>
      <c r="BJ99" s="66"/>
      <c r="BK99" s="65"/>
      <c r="BL99" s="66"/>
      <c r="BP99" s="68"/>
      <c r="BQ99" s="68"/>
      <c r="BR99" s="69"/>
      <c r="BS99" s="69"/>
      <c r="BT99" s="69"/>
      <c r="BU99" s="69"/>
      <c r="BV99" s="69"/>
      <c r="BW99" s="68"/>
      <c r="BX99" s="69"/>
      <c r="CB99" s="68"/>
      <c r="CC99" s="68"/>
      <c r="CD99" s="69"/>
      <c r="CE99" s="69"/>
      <c r="CF99" s="69"/>
      <c r="CG99" s="69"/>
      <c r="CH99" s="69"/>
      <c r="CI99" s="68"/>
      <c r="CJ99" s="69"/>
      <c r="CN99" s="68"/>
      <c r="CO99" s="68"/>
      <c r="CP99" s="69"/>
      <c r="CQ99" s="69"/>
      <c r="CR99" s="69"/>
      <c r="CS99" s="69"/>
      <c r="CT99" s="69"/>
      <c r="CU99" s="68"/>
      <c r="CV99" s="69"/>
      <c r="CY99" s="98" t="s">
        <v>281</v>
      </c>
      <c r="CZ99" s="97">
        <f>(CZ98-CN98)/CN98</f>
        <v>8.5959885386819486E-3</v>
      </c>
      <c r="DA99" s="97">
        <f t="shared" ref="DA99" si="624">(DA98-CO98)/CO98</f>
        <v>5.8671065660474888E-3</v>
      </c>
      <c r="DB99" s="97">
        <f t="shared" ref="DB99" si="625">(DB98-CP98)/CP98</f>
        <v>9.1305597095963503E-2</v>
      </c>
      <c r="DC99" s="97">
        <f t="shared" ref="DC99" si="626">(DC98-CQ98)/CQ98</f>
        <v>0.17358176988304416</v>
      </c>
      <c r="DD99" s="97">
        <f t="shared" ref="DD99" si="627">(DD98-CR98)/CR98</f>
        <v>2.4351374407880263E-3</v>
      </c>
      <c r="DE99" s="97">
        <f t="shared" ref="DE99" si="628">(DE98-CS98)/CS98</f>
        <v>3.5156265204067325E-3</v>
      </c>
      <c r="DF99" s="97">
        <f t="shared" ref="DF99" si="629">(DF98-CT98)/CT98</f>
        <v>5.6699959632174361E-3</v>
      </c>
      <c r="DG99" s="68"/>
      <c r="DH99" s="69"/>
      <c r="DK99" s="96" t="s">
        <v>280</v>
      </c>
      <c r="DL99" s="97">
        <f>(DL98-CZ98)/CZ98</f>
        <v>4.261363636363636E-3</v>
      </c>
      <c r="DM99" s="97">
        <f t="shared" ref="DM99" si="630">(DM98-DA98)/DA98</f>
        <v>7.4657635948756256E-3</v>
      </c>
      <c r="DN99" s="97">
        <f t="shared" ref="DN99" si="631">(DN98-DB98)/DB98</f>
        <v>7.4703280961896622E-3</v>
      </c>
      <c r="DO99" s="97">
        <f t="shared" ref="DO99:DP99" si="632">(DO98-DC98)/DC98</f>
        <v>1.4598247743328538E-2</v>
      </c>
      <c r="DP99" s="97">
        <f t="shared" si="632"/>
        <v>-1.543374272460057E-3</v>
      </c>
      <c r="DQ99" s="97">
        <f t="shared" ref="DQ99" si="633">(DQ98-DE98)/DE98</f>
        <v>-1.9338498211001712E-2</v>
      </c>
      <c r="DR99" s="97">
        <f t="shared" ref="DR99" si="634">(DR98-DF98)/DF98</f>
        <v>-4.7136520725262858E-3</v>
      </c>
    </row>
    <row r="100" spans="1:122" x14ac:dyDescent="0.5">
      <c r="AF100" s="65"/>
      <c r="AG100" s="65"/>
      <c r="AH100" s="66"/>
      <c r="AI100" s="66"/>
      <c r="AJ100" s="66"/>
      <c r="AK100" s="66"/>
      <c r="AL100" s="66"/>
      <c r="AM100" s="65"/>
      <c r="AN100" s="66"/>
      <c r="AR100" s="65"/>
      <c r="AS100" s="65"/>
      <c r="AT100" s="66"/>
      <c r="AU100" s="66"/>
      <c r="AV100" s="66"/>
      <c r="AW100" s="66"/>
      <c r="AX100" s="66"/>
      <c r="AY100" s="65"/>
      <c r="AZ100" s="66"/>
      <c r="BD100" s="65"/>
      <c r="BE100" s="65"/>
      <c r="BF100" s="66"/>
      <c r="BG100" s="66"/>
      <c r="BH100" s="66"/>
      <c r="BI100" s="66"/>
      <c r="BJ100" s="66"/>
      <c r="BK100" s="65"/>
      <c r="BL100" s="66"/>
      <c r="BP100" s="68"/>
      <c r="BQ100" s="68"/>
      <c r="BR100" s="69"/>
      <c r="BS100" s="69"/>
      <c r="BT100" s="69"/>
      <c r="BU100" s="69"/>
      <c r="BV100" s="69"/>
      <c r="BW100" s="68"/>
      <c r="BX100" s="69"/>
      <c r="CB100" s="68"/>
      <c r="CC100" s="68"/>
      <c r="CD100" s="69"/>
      <c r="CE100" s="69"/>
      <c r="CF100" s="69"/>
      <c r="CG100" s="69"/>
      <c r="CH100" s="69"/>
      <c r="CI100" s="68"/>
      <c r="CJ100" s="69"/>
      <c r="CN100" s="68"/>
      <c r="CO100" s="68"/>
      <c r="CP100" s="69"/>
      <c r="CQ100" s="69"/>
      <c r="CR100" s="69"/>
      <c r="CS100" s="69"/>
      <c r="CT100" s="69"/>
      <c r="CU100" s="68"/>
      <c r="CV100" s="69"/>
      <c r="CZ100" s="68"/>
      <c r="DA100" s="68"/>
      <c r="DB100" s="69"/>
      <c r="DC100" s="69"/>
      <c r="DD100" s="69"/>
      <c r="DE100" s="69"/>
      <c r="DF100" s="69"/>
      <c r="DG100" s="68"/>
      <c r="DH100" s="69"/>
    </row>
    <row r="101" spans="1:122" x14ac:dyDescent="0.5">
      <c r="AF101" s="65"/>
      <c r="AG101" s="65"/>
      <c r="AH101" s="66"/>
      <c r="AI101" s="66"/>
      <c r="AJ101" s="66"/>
      <c r="AK101" s="66"/>
      <c r="AL101" s="66"/>
      <c r="AM101" s="65"/>
      <c r="AN101" s="66"/>
      <c r="AR101" s="65"/>
      <c r="AS101" s="65"/>
      <c r="AT101" s="66"/>
      <c r="AU101" s="66"/>
      <c r="AV101" s="66"/>
      <c r="AW101" s="66"/>
      <c r="AX101" s="66"/>
      <c r="AY101" s="65"/>
      <c r="AZ101" s="66"/>
      <c r="BD101" s="65"/>
      <c r="BE101" s="65"/>
      <c r="BF101" s="66"/>
      <c r="BG101" s="66"/>
      <c r="BH101" s="66"/>
      <c r="BI101" s="66"/>
      <c r="BJ101" s="66"/>
      <c r="BK101" s="65"/>
      <c r="BL101" s="66"/>
      <c r="BP101" s="68"/>
      <c r="BQ101" s="68"/>
      <c r="BR101" s="69"/>
      <c r="BS101" s="69"/>
      <c r="BT101" s="69"/>
      <c r="BU101" s="69"/>
      <c r="BV101" s="69"/>
      <c r="BW101" s="68"/>
      <c r="BX101" s="69"/>
      <c r="CB101" s="68"/>
      <c r="CC101" s="68"/>
      <c r="CD101" s="69"/>
      <c r="CE101" s="69"/>
      <c r="CF101" s="69"/>
      <c r="CG101" s="69"/>
      <c r="CH101" s="69"/>
      <c r="CI101" s="68"/>
      <c r="CJ101" s="69"/>
      <c r="CN101" s="68"/>
      <c r="CO101" s="68"/>
      <c r="CP101" s="69"/>
      <c r="CQ101" s="69"/>
      <c r="CR101" s="69"/>
      <c r="CS101" s="69"/>
      <c r="CT101" s="69"/>
      <c r="CU101" s="68"/>
      <c r="CV101" s="69"/>
      <c r="CZ101" s="68"/>
      <c r="DA101" s="68"/>
      <c r="DB101" s="69"/>
      <c r="DC101" s="69"/>
      <c r="DD101" s="69"/>
      <c r="DE101" s="69"/>
      <c r="DF101" s="69"/>
      <c r="DG101" s="68"/>
      <c r="DH101" s="69"/>
      <c r="DK101" s="116" t="s">
        <v>291</v>
      </c>
      <c r="DL101" s="117" t="s">
        <v>286</v>
      </c>
    </row>
    <row r="102" spans="1:122" x14ac:dyDescent="0.5">
      <c r="AF102" s="65"/>
      <c r="AG102" s="65"/>
      <c r="AH102" s="66"/>
      <c r="AI102" s="66"/>
      <c r="AJ102" s="66"/>
      <c r="AK102" s="66"/>
      <c r="AL102" s="66"/>
      <c r="AM102" s="65"/>
      <c r="AN102" s="66"/>
      <c r="AR102" s="65"/>
      <c r="AS102" s="65"/>
      <c r="AT102" s="66"/>
      <c r="AU102" s="66"/>
      <c r="AV102" s="66"/>
      <c r="AW102" s="66"/>
      <c r="AX102" s="66"/>
      <c r="AY102" s="65"/>
      <c r="AZ102" s="66"/>
      <c r="BD102" s="65"/>
      <c r="BE102" s="65"/>
      <c r="BF102" s="66"/>
      <c r="BG102" s="66"/>
      <c r="BH102" s="66"/>
      <c r="BI102" s="66"/>
      <c r="BJ102" s="66"/>
      <c r="BK102" s="65"/>
      <c r="BL102" s="66"/>
      <c r="BP102" s="68"/>
      <c r="BQ102" s="68"/>
      <c r="BR102" s="69"/>
      <c r="BS102" s="69"/>
      <c r="BT102" s="69"/>
      <c r="BU102" s="69"/>
      <c r="BV102" s="69"/>
      <c r="BW102" s="68"/>
      <c r="BX102" s="69"/>
      <c r="CB102" s="68"/>
      <c r="CC102" s="68"/>
      <c r="CD102" s="69"/>
      <c r="CE102" s="69"/>
      <c r="CF102" s="69"/>
      <c r="CG102" s="69"/>
      <c r="CH102" s="69"/>
      <c r="CI102" s="68"/>
      <c r="CJ102" s="69"/>
      <c r="CN102" s="68"/>
      <c r="CO102" s="68"/>
      <c r="CP102" s="69"/>
      <c r="CQ102" s="69"/>
      <c r="CR102" s="69"/>
      <c r="CS102" s="69"/>
      <c r="CT102" s="69"/>
      <c r="CU102" s="68"/>
      <c r="CV102" s="69"/>
      <c r="CZ102" s="68"/>
      <c r="DA102" s="68"/>
      <c r="DB102" s="69"/>
      <c r="DC102" s="69"/>
      <c r="DD102" s="69"/>
      <c r="DE102" s="69"/>
      <c r="DF102" s="69"/>
      <c r="DG102" s="68"/>
      <c r="DH102" s="69"/>
      <c r="DK102" s="96" t="s">
        <v>280</v>
      </c>
      <c r="DL102" s="96" t="s">
        <v>52</v>
      </c>
    </row>
    <row r="103" spans="1:122" x14ac:dyDescent="0.5">
      <c r="AF103" s="65"/>
      <c r="AG103" s="65"/>
      <c r="AH103" s="66"/>
      <c r="AI103" s="66"/>
      <c r="AJ103" s="66"/>
      <c r="AK103" s="66"/>
      <c r="AL103" s="66"/>
      <c r="AM103" s="65"/>
      <c r="AN103" s="66"/>
      <c r="AR103" s="65"/>
      <c r="AS103" s="65"/>
      <c r="AT103" s="66"/>
      <c r="AU103" s="66"/>
      <c r="AV103" s="66"/>
      <c r="AW103" s="66"/>
      <c r="AX103" s="66"/>
      <c r="AY103" s="65"/>
      <c r="AZ103" s="66"/>
      <c r="BD103" s="65"/>
      <c r="BE103" s="65"/>
      <c r="BF103" s="66"/>
      <c r="BG103" s="66"/>
      <c r="BH103" s="66"/>
      <c r="BI103" s="66"/>
      <c r="BJ103" s="66"/>
      <c r="BK103" s="65"/>
      <c r="BL103" s="66"/>
      <c r="BP103" s="69"/>
      <c r="BQ103" s="69"/>
      <c r="BR103" s="69"/>
      <c r="BS103" s="69"/>
      <c r="BT103" s="69"/>
      <c r="BU103" s="69"/>
      <c r="BV103" s="69"/>
      <c r="BW103" s="69"/>
      <c r="BX103" s="69"/>
      <c r="CB103" s="69"/>
      <c r="CC103" s="69"/>
      <c r="CD103" s="69"/>
      <c r="CE103" s="69"/>
      <c r="CF103" s="69"/>
      <c r="CG103" s="69"/>
      <c r="CH103" s="69"/>
      <c r="CI103" s="69"/>
      <c r="CJ103" s="69"/>
      <c r="CN103" s="69"/>
      <c r="CO103" s="69"/>
      <c r="CP103" s="69"/>
      <c r="CQ103" s="69"/>
      <c r="CR103" s="69"/>
      <c r="CS103" s="69"/>
      <c r="CT103" s="69"/>
      <c r="CU103" s="69"/>
      <c r="CV103" s="69"/>
      <c r="CZ103" s="69"/>
      <c r="DA103" s="69"/>
      <c r="DB103" s="69"/>
      <c r="DC103" s="69"/>
      <c r="DD103" s="69"/>
      <c r="DE103" s="69"/>
      <c r="DF103" s="69"/>
      <c r="DG103" s="69"/>
      <c r="DH103" s="69"/>
      <c r="DK103" s="118" t="s">
        <v>24</v>
      </c>
      <c r="DL103" s="118" t="s">
        <v>292</v>
      </c>
    </row>
    <row r="104" spans="1:122" x14ac:dyDescent="0.5">
      <c r="AF104" s="65"/>
      <c r="AG104" s="65"/>
      <c r="AH104" s="66"/>
      <c r="AI104" s="66"/>
      <c r="AJ104" s="66"/>
      <c r="AK104" s="66"/>
      <c r="AL104" s="66"/>
      <c r="AM104" s="65"/>
      <c r="AN104" s="66"/>
      <c r="AR104" s="65"/>
      <c r="AS104" s="65"/>
      <c r="AT104" s="66"/>
      <c r="AU104" s="66"/>
      <c r="AV104" s="66"/>
      <c r="AW104" s="66"/>
      <c r="AX104" s="66"/>
      <c r="AY104" s="65"/>
      <c r="AZ104" s="66"/>
      <c r="BD104" s="65"/>
      <c r="BE104" s="65"/>
      <c r="BF104" s="66"/>
      <c r="BG104" s="66"/>
      <c r="BH104" s="66"/>
      <c r="BI104" s="66"/>
      <c r="BJ104" s="66"/>
      <c r="BK104" s="65"/>
      <c r="BL104" s="66"/>
      <c r="DK104" s="60" t="s">
        <v>37</v>
      </c>
      <c r="DL104" s="108">
        <v>181.02567227167972</v>
      </c>
    </row>
    <row r="105" spans="1:122" x14ac:dyDescent="0.5">
      <c r="AF105" s="65"/>
      <c r="AG105" s="65"/>
      <c r="AH105" s="66"/>
      <c r="AI105" s="66"/>
      <c r="AJ105" s="66"/>
      <c r="AK105" s="66"/>
      <c r="AL105" s="66"/>
      <c r="AM105" s="65"/>
      <c r="AN105" s="66"/>
      <c r="AR105" s="65"/>
      <c r="AS105" s="65"/>
      <c r="AT105" s="66"/>
      <c r="AU105" s="66"/>
      <c r="AV105" s="66"/>
      <c r="AW105" s="66"/>
      <c r="AX105" s="66"/>
      <c r="AY105" s="65"/>
      <c r="AZ105" s="66"/>
      <c r="BD105" s="65"/>
      <c r="BE105" s="65"/>
      <c r="BF105" s="66"/>
      <c r="BG105" s="66"/>
      <c r="BH105" s="66"/>
      <c r="BI105" s="66"/>
      <c r="BJ105" s="66"/>
      <c r="BK105" s="65"/>
      <c r="BL105" s="66"/>
      <c r="DK105" s="60" t="s">
        <v>28</v>
      </c>
      <c r="DL105" s="108">
        <v>1.65</v>
      </c>
    </row>
    <row r="106" spans="1:122" x14ac:dyDescent="0.5">
      <c r="AF106" s="65"/>
      <c r="AG106" s="65"/>
      <c r="AH106" s="66"/>
      <c r="AI106" s="66"/>
      <c r="AJ106" s="66"/>
      <c r="AK106" s="66"/>
      <c r="AL106" s="66"/>
      <c r="AM106" s="65"/>
      <c r="AN106" s="66"/>
      <c r="AR106" s="65"/>
      <c r="AS106" s="65"/>
      <c r="AT106" s="66"/>
      <c r="AU106" s="66"/>
      <c r="AV106" s="66"/>
      <c r="AW106" s="66"/>
      <c r="AX106" s="66"/>
      <c r="AY106" s="65"/>
      <c r="AZ106" s="66"/>
      <c r="BD106" s="65"/>
      <c r="BE106" s="65"/>
      <c r="BF106" s="66"/>
      <c r="BG106" s="66"/>
      <c r="BH106" s="66"/>
      <c r="BI106" s="66"/>
      <c r="BJ106" s="66"/>
      <c r="BK106" s="65"/>
      <c r="BL106" s="66"/>
      <c r="DK106" s="60" t="s">
        <v>42</v>
      </c>
      <c r="DL106" s="108">
        <v>1.01</v>
      </c>
    </row>
    <row r="107" spans="1:122" x14ac:dyDescent="0.5">
      <c r="AF107" s="65"/>
      <c r="AG107" s="65"/>
      <c r="AH107" s="66"/>
      <c r="AI107" s="66"/>
      <c r="AJ107" s="66"/>
      <c r="AK107" s="66"/>
      <c r="AL107" s="66"/>
      <c r="AM107" s="65"/>
      <c r="AN107" s="66"/>
      <c r="AR107" s="65"/>
      <c r="AS107" s="65"/>
      <c r="AT107" s="66"/>
      <c r="AU107" s="66"/>
      <c r="AV107" s="66"/>
      <c r="AW107" s="66"/>
      <c r="AX107" s="66"/>
      <c r="AY107" s="65"/>
      <c r="AZ107" s="66"/>
      <c r="BD107" s="65"/>
      <c r="BE107" s="65"/>
      <c r="BF107" s="66"/>
      <c r="BG107" s="66"/>
      <c r="BH107" s="66"/>
      <c r="BI107" s="66"/>
      <c r="BJ107" s="66"/>
      <c r="BK107" s="65"/>
      <c r="BL107" s="66"/>
      <c r="DK107" s="60" t="s">
        <v>31</v>
      </c>
      <c r="DL107" s="108">
        <v>1.47</v>
      </c>
    </row>
    <row r="108" spans="1:122" x14ac:dyDescent="0.5">
      <c r="AF108" s="66"/>
      <c r="AG108" s="66"/>
      <c r="AH108" s="66"/>
      <c r="AI108" s="66"/>
      <c r="AJ108" s="66"/>
      <c r="AK108" s="66"/>
      <c r="AL108" s="66"/>
      <c r="AM108" s="66"/>
      <c r="AN108" s="66"/>
      <c r="AR108" s="66"/>
      <c r="AS108" s="66"/>
      <c r="AT108" s="66"/>
      <c r="AU108" s="66"/>
      <c r="AV108" s="66"/>
      <c r="AW108" s="66"/>
      <c r="AX108" s="66"/>
      <c r="AY108" s="66"/>
      <c r="AZ108" s="66"/>
      <c r="BD108" s="66"/>
      <c r="BE108" s="66"/>
      <c r="BF108" s="66"/>
      <c r="BG108" s="66"/>
      <c r="BH108" s="66"/>
      <c r="BI108" s="66"/>
      <c r="BJ108" s="66"/>
      <c r="BK108" s="66"/>
      <c r="BL108" s="66"/>
      <c r="DK108" s="119" t="s">
        <v>35</v>
      </c>
      <c r="DL108" s="108">
        <v>1.32</v>
      </c>
    </row>
    <row r="109" spans="1:122" x14ac:dyDescent="0.5">
      <c r="DK109" s="120" t="s">
        <v>293</v>
      </c>
      <c r="DL109" s="121">
        <v>1.57</v>
      </c>
    </row>
    <row r="111" spans="1:122" x14ac:dyDescent="0.5">
      <c r="DK111" s="118" t="s">
        <v>87</v>
      </c>
      <c r="DL111" s="118" t="s">
        <v>292</v>
      </c>
    </row>
    <row r="112" spans="1:122" x14ac:dyDescent="0.5">
      <c r="DK112" s="86" t="s">
        <v>13</v>
      </c>
      <c r="DL112" s="108">
        <v>1.19</v>
      </c>
    </row>
    <row r="113" spans="115:116" x14ac:dyDescent="0.5">
      <c r="DK113" s="120" t="s">
        <v>294</v>
      </c>
      <c r="DL113" s="121">
        <v>-0.143489674457668</v>
      </c>
    </row>
    <row r="115" spans="115:116" x14ac:dyDescent="0.5">
      <c r="DK115" s="118" t="s">
        <v>118</v>
      </c>
      <c r="DL115" s="118" t="s">
        <v>292</v>
      </c>
    </row>
    <row r="116" spans="115:116" x14ac:dyDescent="0.5">
      <c r="DK116" s="86" t="s">
        <v>10</v>
      </c>
      <c r="DL116" s="122">
        <v>-0.34782845044951594</v>
      </c>
    </row>
    <row r="117" spans="115:116" x14ac:dyDescent="0.5">
      <c r="DK117" s="115" t="s">
        <v>1</v>
      </c>
      <c r="DL117" s="122">
        <v>25.07248760809485</v>
      </c>
    </row>
    <row r="118" spans="115:116" x14ac:dyDescent="0.5">
      <c r="DK118" s="115" t="s">
        <v>16</v>
      </c>
      <c r="DL118" s="122">
        <v>-0.80725122829893914</v>
      </c>
    </row>
    <row r="119" spans="115:116" x14ac:dyDescent="0.5">
      <c r="DK119" s="120" t="s">
        <v>118</v>
      </c>
      <c r="DL119" s="121">
        <v>0.61367695282555323</v>
      </c>
    </row>
    <row r="121" spans="115:116" x14ac:dyDescent="0.5">
      <c r="DK121" s="120" t="s">
        <v>295</v>
      </c>
      <c r="DL121" s="121">
        <v>3.35</v>
      </c>
    </row>
  </sheetData>
  <autoFilter ref="A3:EA3" xr:uid="{29A3F699-310B-4DBF-B7F5-931D9DE46347}"/>
  <mergeCells count="45">
    <mergeCell ref="BZ1:CJ1"/>
    <mergeCell ref="CL1:CV1"/>
    <mergeCell ref="CX1:DH1"/>
    <mergeCell ref="BB2:BL2"/>
    <mergeCell ref="F2:P2"/>
    <mergeCell ref="R2:AB2"/>
    <mergeCell ref="AD2:AN2"/>
    <mergeCell ref="AP2:AZ2"/>
    <mergeCell ref="BN2:BX2"/>
    <mergeCell ref="BB1:BL1"/>
    <mergeCell ref="BN1:BX1"/>
    <mergeCell ref="CX2:DH2"/>
    <mergeCell ref="A1:D1"/>
    <mergeCell ref="F1:P1"/>
    <mergeCell ref="R1:AB1"/>
    <mergeCell ref="AD1:AN1"/>
    <mergeCell ref="AP1:AZ1"/>
    <mergeCell ref="BK90:BL90"/>
    <mergeCell ref="B92:D92"/>
    <mergeCell ref="F92:P92"/>
    <mergeCell ref="S92:AB92"/>
    <mergeCell ref="AE92:AN92"/>
    <mergeCell ref="AQ92:AZ92"/>
    <mergeCell ref="BC91:BL91"/>
    <mergeCell ref="B91:D91"/>
    <mergeCell ref="F91:P91"/>
    <mergeCell ref="S91:AB91"/>
    <mergeCell ref="AE91:AN91"/>
    <mergeCell ref="AQ91:AZ91"/>
    <mergeCell ref="DV2:DW2"/>
    <mergeCell ref="DJ91:DT91"/>
    <mergeCell ref="DJ92:DT92"/>
    <mergeCell ref="C2:D2"/>
    <mergeCell ref="DJ2:DT2"/>
    <mergeCell ref="CA91:CG91"/>
    <mergeCell ref="CL91:CV91"/>
    <mergeCell ref="CX91:DH91"/>
    <mergeCell ref="BC92:BL92"/>
    <mergeCell ref="BO92:BU92"/>
    <mergeCell ref="CA92:CG92"/>
    <mergeCell ref="CL92:CV92"/>
    <mergeCell ref="CX92:DH92"/>
    <mergeCell ref="BO91:BU91"/>
    <mergeCell ref="BZ2:CJ2"/>
    <mergeCell ref="CL2:CV2"/>
  </mergeCells>
  <printOptions horizontalCentered="1"/>
  <pageMargins left="0.74803149606299213" right="0.74803149606299213" top="0.98425196850393704" bottom="0.98425196850393704" header="0.51181102362204722" footer="0.51181102362204722"/>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AMFI-SIP</vt:lpstr>
      <vt:lpstr>AMFI-Mar'25 to Mar'26</vt:lpstr>
      <vt:lpstr>AMFI-Mar'25 to Jan'26-AMFI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Brijlal Yadav (Sales,KMAMC)</dc:creator>
  <cp:lastModifiedBy>Brijlal Yadav (Sales,KMAMC)</cp:lastModifiedBy>
  <dcterms:created xsi:type="dcterms:W3CDTF">2025-12-11T06:59:02Z</dcterms:created>
  <dcterms:modified xsi:type="dcterms:W3CDTF">2026-05-27T10:11:04Z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e9dd6c-139c-4279-81ff-f5bef92f011d_Enabled">
    <vt:lpwstr>true</vt:lpwstr>
  </property>
  <property fmtid="{D5CDD505-2E9C-101B-9397-08002B2CF9AE}" pid="3" name="MSIP_Label_eae9dd6c-139c-4279-81ff-f5bef92f011d_SetDate">
    <vt:lpwstr>2025-12-11T07:12:33Z</vt:lpwstr>
  </property>
  <property fmtid="{D5CDD505-2E9C-101B-9397-08002B2CF9AE}" pid="4" name="MSIP_Label_eae9dd6c-139c-4279-81ff-f5bef92f011d_Method">
    <vt:lpwstr>Standard</vt:lpwstr>
  </property>
  <property fmtid="{D5CDD505-2E9C-101B-9397-08002B2CF9AE}" pid="5" name="MSIP_Label_eae9dd6c-139c-4279-81ff-f5bef92f011d_Name">
    <vt:lpwstr>General</vt:lpwstr>
  </property>
  <property fmtid="{D5CDD505-2E9C-101B-9397-08002B2CF9AE}" pid="6" name="MSIP_Label_eae9dd6c-139c-4279-81ff-f5bef92f011d_SiteId">
    <vt:lpwstr>73a4c997-ac5a-4bcd-81f3-fd25589a48b7</vt:lpwstr>
  </property>
  <property fmtid="{D5CDD505-2E9C-101B-9397-08002B2CF9AE}" pid="7" name="MSIP_Label_eae9dd6c-139c-4279-81ff-f5bef92f011d_ActionId">
    <vt:lpwstr>21bed94d-47af-4f1f-a3af-42019e50e863</vt:lpwstr>
  </property>
  <property fmtid="{D5CDD505-2E9C-101B-9397-08002B2CF9AE}" pid="8" name="MSIP_Label_eae9dd6c-139c-4279-81ff-f5bef92f011d_ContentBits">
    <vt:lpwstr>0</vt:lpwstr>
  </property>
  <property fmtid="{D5CDD505-2E9C-101B-9397-08002B2CF9AE}" pid="9" name="MSIP_Label_eae9dd6c-139c-4279-81ff-f5bef92f011d_Tag">
    <vt:lpwstr>10, 3, 0, 1</vt:lpwstr>
  </property>
</Properties>
</file>