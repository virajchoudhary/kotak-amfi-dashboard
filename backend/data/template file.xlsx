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AMFI-SIP" sheetId="1" state="visible" r:id="rId1"/>
    <sheet xmlns:r="http://schemas.openxmlformats.org/officeDocument/2006/relationships" name="AMFI-Mar'25 to Mar'26" sheetId="2" state="visible" r:id="rId2"/>
    <sheet xmlns:r="http://schemas.openxmlformats.org/officeDocument/2006/relationships" name="Analytics" sheetId="3" state="visible" r:id="rId3"/>
    <sheet xmlns:r="http://schemas.openxmlformats.org/officeDocument/2006/relationships" name="NS-Analysis" sheetId="4" state="visible" r:id="rId4"/>
    <sheet xmlns:r="http://schemas.openxmlformats.org/officeDocument/2006/relationships" name="AMFI-Mar'25 to Jan'26-AMFI form" sheetId="5" state="hidden" r:id="rId5"/>
  </sheets>
  <definedNames>
    <definedName name="MF_LatestAUMCol">MATCH("Net Assets Under Management as on March 31, 2026 (INR in crore)",'AMFI-Mar''25 to Mar''26'!$3:$3,0)</definedName>
    <definedName name="MF_NetFlowCol">MATCH("Net Inflow (+ve)/Outflow (-ve) for the month of March 2026 (INR in crore)",'AMFI-Mar''25 to Mar''26'!$3:$3,0)</definedName>
    <definedName name="MF_RedemptionCol">MATCH("Repurchase/Redemption for the month of March 2026 (INR in crore)",'AMFI-Mar''25 to Mar''26'!$3:$3,0)</definedName>
    <definedName name="MF_SalesCol">MATCH("Funds Mobilized for the month of March 2026 (INR in crore)",'AMFI-Mar''25 to Mar''26'!$3:$3,0)</definedName>
    <definedName name="_xlnm._FilterDatabase" localSheetId="1" hidden="1">'AMFI-Mar''25 to Mar''26'!$A$3:$EY$52</definedName>
    <definedName name="_xlnm._FilterDatabase" localSheetId="4" hidden="1">'AMFI-Mar''25 to Jan''26-AMFI form'!$A$3:$EA$3</definedName>
  </definedNames>
  <calcPr calcId="191029" fullCalcOnLoad="1" forceFullCalc="1"/>
</workbook>
</file>

<file path=xl/styles.xml><?xml version="1.0" encoding="utf-8"?>
<styleSheet xmlns="http://schemas.openxmlformats.org/spreadsheetml/2006/main">
  <numFmts count="3">
    <numFmt numFmtId="164" formatCode="_ * #,##0_ ;_ * \-#,##0_ ;_ * &quot;-&quot;??_ ;_ @_ "/>
    <numFmt numFmtId="165" formatCode="_ * #,##0.00_ ;_ * \-#,##0.00_ ;_ * &quot;-&quot;??_ ;_ @_ "/>
    <numFmt numFmtId="166" formatCode="0.0%"/>
  </numFmts>
  <fonts count="52">
    <font>
      <name val="Source Sans 3"/>
      <family val="2"/>
      <color theme="1"/>
      <sz val="12"/>
    </font>
    <font>
      <name val="Roboto"/>
      <family val="2"/>
      <color theme="1"/>
      <sz val="10"/>
    </font>
    <font>
      <name val="Calibri"/>
      <family val="2"/>
      <b val="1"/>
      <color theme="1"/>
      <sz val="9.5"/>
    </font>
    <font>
      <name val="Calibri"/>
      <family val="2"/>
      <color theme="1"/>
      <sz val="11"/>
    </font>
    <font>
      <name val="Calibri"/>
      <family val="2"/>
      <sz val="9"/>
    </font>
    <font>
      <name val="Calibri"/>
      <family val="2"/>
      <color theme="1"/>
      <sz val="9"/>
    </font>
    <font>
      <name val="Calibri"/>
      <family val="2"/>
      <i val="1"/>
      <color theme="1"/>
      <sz val="9"/>
    </font>
    <font>
      <name val="Calibri"/>
      <family val="2"/>
      <b val="1"/>
      <sz val="9"/>
    </font>
    <font>
      <name val="Calibri"/>
      <family val="2"/>
      <sz val="7"/>
    </font>
    <font>
      <name val="Calibri"/>
      <family val="2"/>
      <color theme="1"/>
      <sz val="7"/>
    </font>
    <font>
      <name val="Calibri"/>
      <family val="2"/>
      <b val="1"/>
      <sz val="7"/>
    </font>
    <font>
      <name val="Calibri"/>
      <family val="2"/>
      <color theme="1"/>
      <sz val="10"/>
    </font>
    <font>
      <name val="Calibri"/>
      <family val="2"/>
      <b val="1"/>
      <color theme="1"/>
      <sz val="10"/>
    </font>
    <font>
      <name val="Source Sans 3"/>
      <family val="2"/>
      <color theme="1"/>
      <sz val="12"/>
    </font>
    <font>
      <name val="Calibri"/>
      <family val="2"/>
      <b val="1"/>
      <sz val="10"/>
    </font>
    <font>
      <name val="Calibri"/>
      <family val="2"/>
      <sz val="10"/>
    </font>
    <font>
      <name val="Calibri"/>
      <family val="2"/>
      <b val="1"/>
      <sz val="9.5"/>
    </font>
    <font>
      <name val="Arial"/>
      <family val="2"/>
      <color rgb="FF000000"/>
      <sz val="10"/>
    </font>
    <font>
      <name val="Aptos Narrow"/>
      <family val="2"/>
      <color theme="1"/>
      <sz val="11"/>
      <scheme val="minor"/>
    </font>
    <font>
      <name val="Montserrat"/>
      <color theme="1"/>
      <sz val="7"/>
    </font>
    <font>
      <name val="Calibri"/>
      <family val="2"/>
      <b val="1"/>
      <color rgb="FF000000"/>
      <sz val="9"/>
    </font>
    <font>
      <name val="Calibri"/>
      <family val="2"/>
      <b val="1"/>
      <color rgb="FF000000"/>
      <sz val="10"/>
    </font>
    <font>
      <name val="Calibri"/>
      <family val="2"/>
      <color rgb="FF000000"/>
      <sz val="9"/>
    </font>
    <font>
      <name val="Calibri"/>
      <family val="2"/>
      <i val="1"/>
      <color rgb="FF000000"/>
      <sz val="9"/>
    </font>
    <font>
      <name val="Source Sans 3"/>
      <family val="2"/>
      <b val="1"/>
      <color rgb="FFFFFFFF"/>
      <sz val="12"/>
    </font>
    <font>
      <name val="Source Sans 3"/>
      <family val="2"/>
      <color rgb="FF000000"/>
      <sz val="12"/>
    </font>
    <font>
      <name val="Calibri"/>
      <family val="2"/>
      <b val="1"/>
      <color rgb="FFFFFFFF"/>
      <sz val="9.5"/>
    </font>
    <font>
      <name val="Calibri"/>
      <family val="2"/>
      <color rgb="FF000000"/>
      <sz val="10"/>
    </font>
    <font>
      <name val="Source Sans 3"/>
      <b val="1"/>
      <color theme="1"/>
      <sz val="12"/>
    </font>
    <font>
      <name val="Source Sans 3"/>
      <color theme="1"/>
      <sz val="12"/>
    </font>
    <font>
      <name val="Source Sans 3"/>
      <b val="1"/>
      <color rgb="FFFFFFFF"/>
      <sz val="12"/>
    </font>
    <font>
      <name val="Source Sans 3"/>
      <b val="1"/>
      <color rgb="FF000000"/>
      <sz val="12"/>
    </font>
    <font>
      <name val="Source Sans 3"/>
      <family val="2"/>
      <b val="1"/>
      <color rgb="FFFFFFFF"/>
      <sz val="9"/>
    </font>
    <font>
      <name val="Source Sans 3"/>
      <family val="2"/>
      <b val="1"/>
      <color rgb="FF1A1A1A"/>
      <sz val="9"/>
    </font>
    <font>
      <name val="Source Sans 3"/>
      <family val="2"/>
      <color rgb="FF1A1A1A"/>
      <sz val="9"/>
    </font>
    <font>
      <name val="Calibri"/>
      <family val="2"/>
      <b val="1"/>
      <color rgb="FF1A1A1A"/>
      <sz val="9"/>
    </font>
    <font>
      <name val="Source Sans 3"/>
      <family val="2"/>
      <b val="1"/>
      <color rgb="FF000000"/>
      <sz val="12"/>
    </font>
    <font>
      <name val="Source Sans 3"/>
      <b val="1"/>
      <color rgb="FFFFFFFF"/>
      <sz val="9.5"/>
    </font>
    <font>
      <name val="Source Sans 3"/>
      <color rgb="FF000000"/>
      <sz val="9.5"/>
    </font>
    <font>
      <name val="Source Sans 3"/>
      <color theme="1"/>
      <sz val="9.5"/>
    </font>
    <font>
      <name val="Source Sans 3"/>
      <charset val="1"/>
      <color indexed="8"/>
      <sz val="12"/>
    </font>
    <font>
      <name val="Source Sans 3"/>
      <family val="2"/>
      <color theme="1"/>
      <sz val="10"/>
    </font>
    <font>
      <name val="Calibri"/>
      <family val="2"/>
      <color rgb="FF1A1A1A"/>
      <sz val="9"/>
    </font>
    <font>
      <name val="Calibri"/>
      <color rgb="FF000000"/>
      <sz val="9.5"/>
    </font>
    <font>
      <name val="Calibri"/>
      <color theme="1"/>
      <sz val="9.5"/>
    </font>
    <font>
      <name val="Calibri"/>
      <family val="2"/>
      <b val="1"/>
      <color rgb="FF000000"/>
      <sz val="12"/>
    </font>
    <font>
      <name val="Calibri"/>
      <family val="2"/>
      <b val="1"/>
      <color rgb="FFFFFFFF"/>
      <sz val="12"/>
    </font>
    <font>
      <name val="Calibri"/>
      <family val="2"/>
      <color rgb="FF000000"/>
      <sz val="12"/>
    </font>
    <font>
      <name val="Calibri"/>
      <b val="1"/>
      <color rgb="FF000000"/>
      <sz val="12"/>
    </font>
    <font>
      <name val="Calibri"/>
      <b val="1"/>
      <color theme="1"/>
      <sz val="12"/>
    </font>
    <font>
      <name val="Calibri"/>
      <color theme="1"/>
      <sz val="12"/>
    </font>
    <font>
      <name val="Calibri"/>
      <family val="2"/>
      <color theme="1"/>
      <sz val="12"/>
    </font>
  </fonts>
  <fills count="35">
    <fill>
      <patternFill/>
    </fill>
    <fill>
      <patternFill patternType="gray125"/>
    </fill>
    <fill>
      <patternFill patternType="solid">
        <fgColor theme="4" tint="0.7999816888943144"/>
        <bgColor theme="4" tint="0.7999816888943144"/>
      </patternFill>
    </fill>
    <fill>
      <patternFill patternType="solid">
        <fgColor rgb="FFFFFF00"/>
        <bgColor indexed="64"/>
      </patternFill>
    </fill>
    <fill>
      <patternFill patternType="solid">
        <fgColor theme="5" tint="0.7999816888943144"/>
        <bgColor indexed="64"/>
      </patternFill>
    </fill>
    <fill>
      <patternFill patternType="solid">
        <fgColor theme="1" tint="0.499984740745262"/>
        <bgColor indexed="64"/>
      </patternFill>
    </fill>
    <fill>
      <patternFill patternType="solid">
        <fgColor rgb="FFFFE699"/>
        <bgColor indexed="64"/>
      </patternFill>
    </fill>
    <fill>
      <patternFill patternType="solid">
        <fgColor rgb="FFCCCCFF"/>
        <bgColor indexed="64"/>
      </patternFill>
    </fill>
    <fill>
      <patternFill patternType="solid">
        <fgColor rgb="FFF8CBAD"/>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6" tint="0.7999816888943144"/>
        <bgColor indexed="64"/>
      </patternFill>
    </fill>
    <fill>
      <patternFill patternType="solid">
        <fgColor theme="9"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theme="9" tint="0.5999938962981048"/>
        <bgColor indexed="64"/>
      </patternFill>
    </fill>
    <fill>
      <patternFill patternType="solid">
        <fgColor theme="4" tint="0.5999938962981048"/>
        <bgColor indexed="64"/>
      </patternFill>
    </fill>
    <fill>
      <patternFill patternType="solid">
        <fgColor rgb="FFD9E8EC"/>
        <bgColor indexed="64"/>
      </patternFill>
    </fill>
    <fill>
      <patternFill patternType="solid">
        <fgColor rgb="FFFFF2CC"/>
        <bgColor indexed="64"/>
      </patternFill>
    </fill>
    <fill>
      <patternFill patternType="solid">
        <fgColor rgb="FF808080"/>
        <bgColor indexed="64"/>
      </patternFill>
    </fill>
    <fill>
      <patternFill patternType="solid">
        <fgColor rgb="FFFFFFFF"/>
        <bgColor indexed="64"/>
      </patternFill>
    </fill>
    <fill>
      <patternFill patternType="solid">
        <fgColor rgb="FFFBE2D5"/>
        <bgColor indexed="64"/>
      </patternFill>
    </fill>
    <fill>
      <patternFill patternType="solid">
        <fgColor rgb="FF94DCF8"/>
        <bgColor indexed="64"/>
      </patternFill>
    </fill>
    <fill>
      <patternFill patternType="solid">
        <fgColor rgb="FFB5E6A2"/>
        <bgColor indexed="64"/>
      </patternFill>
    </fill>
    <fill>
      <patternFill patternType="solid">
        <fgColor rgb="FF1F4E5F"/>
        <bgColor indexed="64"/>
      </patternFill>
    </fill>
    <fill>
      <patternFill patternType="solid">
        <fgColor theme="4" tint="-0.249977111117893"/>
        <bgColor indexed="64"/>
      </patternFill>
    </fill>
    <fill>
      <patternFill patternType="solid">
        <fgColor rgb="FF83CCEB"/>
        <bgColor indexed="64"/>
      </patternFill>
    </fill>
    <fill>
      <patternFill patternType="solid">
        <fgColor rgb="FF1F4E78"/>
        <bgColor indexed="64"/>
      </patternFill>
    </fill>
    <fill>
      <patternFill patternType="solid">
        <fgColor rgb="FFD9EAF7"/>
        <bgColor indexed="64"/>
      </patternFill>
    </fill>
    <fill>
      <patternFill patternType="solid">
        <fgColor rgb="FFE2E3E5"/>
        <bgColor indexed="64"/>
      </patternFill>
    </fill>
    <fill>
      <patternFill patternType="solid">
        <fgColor rgb="FFF2F2F2"/>
        <bgColor indexed="64"/>
      </patternFill>
    </fill>
    <fill>
      <patternFill patternType="solid">
        <fgColor rgb="FF104861"/>
        <bgColor indexed="64"/>
      </patternFill>
    </fill>
    <fill>
      <patternFill patternType="solid">
        <fgColor rgb="FFEEF3F8"/>
        <bgColor indexed="64"/>
      </patternFill>
    </fill>
    <fill>
      <patternFill patternType="solid">
        <fgColor rgb="FFC0E6F5"/>
        <bgColor indexed="64"/>
      </patternFill>
    </fill>
    <fill>
      <patternFill patternType="solid">
        <fgColor rgb="FFB7DEE8"/>
        <bgColor indexed="64"/>
      </patternFill>
    </fill>
  </fills>
  <borders count="1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style="medium">
        <color indexed="64"/>
      </right>
      <top/>
      <bottom style="medium">
        <color indexed="64"/>
      </bottom>
      <diagonal/>
    </border>
    <border>
      <left/>
      <right/>
      <top/>
      <bottom style="medium">
        <color indexed="64"/>
      </bottom>
      <diagonal/>
    </border>
    <border>
      <left/>
      <right/>
      <top style="thin">
        <color indexed="64"/>
      </top>
      <bottom style="medium">
        <color indexed="64"/>
      </bottom>
      <diagonal/>
    </border>
    <border>
      <left style="medium">
        <color indexed="64"/>
      </left>
      <right/>
      <top/>
      <bottom style="medium">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medium">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style="thin">
        <color indexed="64"/>
      </left>
      <right style="thin">
        <color rgb="FFD9EAF2"/>
      </right>
      <top style="thin">
        <color indexed="64"/>
      </top>
      <bottom style="thin">
        <color rgb="FFD9EAF2"/>
      </bottom>
      <diagonal/>
    </border>
    <border>
      <left style="thin">
        <color rgb="FFD9EAF2"/>
      </left>
      <right style="thin">
        <color rgb="FFD9EAF2"/>
      </right>
      <top style="thin">
        <color indexed="64"/>
      </top>
      <bottom style="thin">
        <color rgb="FFD9EAF2"/>
      </bottom>
      <diagonal/>
    </border>
    <border>
      <left style="thin">
        <color rgb="FFD9EAF2"/>
      </left>
      <right style="thin">
        <color indexed="64"/>
      </right>
      <top style="thin">
        <color indexed="64"/>
      </top>
      <bottom style="thin">
        <color rgb="FFD9EAF2"/>
      </bottom>
      <diagonal/>
    </border>
    <border>
      <left style="thin">
        <color indexed="64"/>
      </left>
      <right style="thin">
        <color rgb="FFD9EAF2"/>
      </right>
      <top style="thin">
        <color rgb="FFD9EAF2"/>
      </top>
      <bottom style="thin">
        <color rgb="FFD9EAF2"/>
      </bottom>
      <diagonal/>
    </border>
    <border>
      <left style="thin">
        <color rgb="FFD9EAF2"/>
      </left>
      <right style="thin">
        <color rgb="FFD9EAF2"/>
      </right>
      <top style="thin">
        <color rgb="FFD9EAF2"/>
      </top>
      <bottom style="thin">
        <color rgb="FFD9EAF2"/>
      </bottom>
      <diagonal/>
    </border>
    <border>
      <left style="thin">
        <color indexed="64"/>
      </left>
      <right style="thin">
        <color rgb="FFD9EAF2"/>
      </right>
      <top style="thin">
        <color rgb="FFD9EAF2"/>
      </top>
      <bottom style="thin">
        <color rgb="FFA6A6A6"/>
      </bottom>
      <diagonal/>
    </border>
    <border>
      <left style="thin">
        <color rgb="FFD9EAF2"/>
      </left>
      <right style="thin">
        <color rgb="FFD9EAF2"/>
      </right>
      <top style="thin">
        <color rgb="FFD9EAF2"/>
      </top>
      <bottom style="thin">
        <color rgb="FFA6A6A6"/>
      </bottom>
      <diagonal/>
    </border>
    <border>
      <left style="thin">
        <color rgb="FFD9EAF2"/>
      </left>
      <right style="thin">
        <color indexed="64"/>
      </right>
      <top style="thin">
        <color rgb="FFD9EAF2"/>
      </top>
      <bottom style="thin">
        <color rgb="FFA6A6A6"/>
      </bottom>
      <diagonal/>
    </border>
    <border>
      <left style="thin">
        <color rgb="FFD9EAF2"/>
      </left>
      <right style="thin">
        <color rgb="FFD9EAF2"/>
      </right>
      <top/>
      <bottom style="thin">
        <color rgb="FFD9EAF2"/>
      </bottom>
      <diagonal/>
    </border>
    <border>
      <left/>
      <right/>
      <top/>
      <bottom style="thin">
        <color rgb="FFD9E1F2"/>
      </bottom>
      <diagonal/>
    </border>
    <border>
      <left/>
      <right/>
      <top style="thin">
        <color rgb="FFD9E1F2"/>
      </top>
      <bottom style="thin">
        <color rgb="FFD9E1F2"/>
      </bottom>
      <diagonal/>
    </border>
    <border>
      <left/>
      <right/>
      <top style="thin">
        <color rgb="FF000000"/>
      </top>
      <bottom style="thin">
        <color rgb="FF000000"/>
      </bottom>
      <diagonal/>
    </border>
    <border>
      <left style="thin">
        <color rgb="FFB7B7B7"/>
      </left>
      <right style="thin">
        <color rgb="FFB7B7B7"/>
      </right>
      <top style="thin">
        <color rgb="FFB7B7B7"/>
      </top>
      <bottom style="thick">
        <color rgb="FF7F7F7F"/>
      </bottom>
      <diagonal/>
    </border>
    <border>
      <left style="thin">
        <color rgb="FFB7B7B7"/>
      </left>
      <right/>
      <top style="thin">
        <color rgb="FFB7B7B7"/>
      </top>
      <bottom style="thick">
        <color rgb="FF7F7F7F"/>
      </bottom>
      <diagonal/>
    </border>
    <border>
      <left style="medium">
        <color rgb="FF7F7F7F"/>
      </left>
      <right style="thin">
        <color rgb="FFB7B7B7"/>
      </right>
      <top style="thin">
        <color rgb="FFB7B7B7"/>
      </top>
      <bottom style="thick">
        <color rgb="FF7F7F7F"/>
      </bottom>
      <diagonal/>
    </border>
    <border>
      <left/>
      <right style="thin">
        <color rgb="FFB7B7B7"/>
      </right>
      <top style="thin">
        <color rgb="FFB7B7B7"/>
      </top>
      <bottom style="thick">
        <color rgb="FF7F7F7F"/>
      </bottom>
      <diagonal/>
    </border>
    <border>
      <left style="thin">
        <color rgb="FFB7B7B7"/>
      </left>
      <right style="thin">
        <color rgb="FFB7B7B7"/>
      </right>
      <top/>
      <bottom/>
      <diagonal/>
    </border>
    <border>
      <left style="thin">
        <color rgb="FFB7B7B7"/>
      </left>
      <right/>
      <top/>
      <bottom/>
      <diagonal/>
    </border>
    <border>
      <left style="medium">
        <color rgb="FF7F7F7F"/>
      </left>
      <right style="thin">
        <color rgb="FFB7B7B7"/>
      </right>
      <top/>
      <bottom/>
      <diagonal/>
    </border>
    <border>
      <left/>
      <right style="thin">
        <color rgb="FFB7B7B7"/>
      </right>
      <top/>
      <bottom/>
      <diagonal/>
    </border>
    <border>
      <left style="thin">
        <color rgb="FFB7B7B7"/>
      </left>
      <right style="thin">
        <color rgb="FFB7B7B7"/>
      </right>
      <top/>
      <bottom style="thin">
        <color rgb="FFB7B7B7"/>
      </bottom>
      <diagonal/>
    </border>
    <border>
      <left style="thin">
        <color rgb="FFB7B7B7"/>
      </left>
      <right/>
      <top/>
      <bottom style="thin">
        <color rgb="FFB7B7B7"/>
      </bottom>
      <diagonal/>
    </border>
    <border>
      <left style="medium">
        <color rgb="FF7F7F7F"/>
      </left>
      <right style="thin">
        <color rgb="FFB7B7B7"/>
      </right>
      <top/>
      <bottom style="thin">
        <color rgb="FFB7B7B7"/>
      </bottom>
      <diagonal/>
    </border>
    <border>
      <left/>
      <right style="thin">
        <color rgb="FFB7B7B7"/>
      </right>
      <top/>
      <bottom style="thin">
        <color rgb="FFB7B7B7"/>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style="medium">
        <color rgb="FF7F7F7F"/>
      </left>
      <right style="thin">
        <color rgb="FFB7B7B7"/>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style="thin">
        <color rgb="FFB7B7B7"/>
      </left>
      <right/>
      <top style="thin">
        <color rgb="FFB7B7B7"/>
      </top>
      <bottom/>
      <diagonal/>
    </border>
    <border>
      <left style="medium">
        <color rgb="FF7F7F7F"/>
      </left>
      <right style="thin">
        <color rgb="FFB7B7B7"/>
      </right>
      <top style="thin">
        <color rgb="FFB7B7B7"/>
      </top>
      <bottom/>
      <diagonal/>
    </border>
    <border>
      <left/>
      <right style="thin">
        <color rgb="FFB7B7B7"/>
      </right>
      <top style="thin">
        <color rgb="FFB7B7B7"/>
      </top>
      <bottom/>
      <diagonal/>
    </border>
    <border>
      <left/>
      <right/>
      <top style="medium">
        <color indexed="64"/>
      </top>
      <bottom/>
      <diagonal/>
    </border>
    <border>
      <left/>
      <right/>
      <top style="medium">
        <color rgb="FF104861"/>
      </top>
      <bottom/>
      <diagonal/>
    </border>
    <border>
      <left/>
      <right style="medium">
        <color rgb="FF104861"/>
      </right>
      <top style="medium">
        <color rgb="FF104861"/>
      </top>
      <bottom/>
      <diagonal/>
    </border>
    <border>
      <left/>
      <right style="medium">
        <color rgb="FF104861"/>
      </right>
      <top/>
      <bottom style="thin">
        <color rgb="FFD9E1F2"/>
      </bottom>
      <diagonal/>
    </border>
    <border>
      <left/>
      <right style="medium">
        <color rgb="FF104861"/>
      </right>
      <top style="thin">
        <color rgb="FFD9E1F2"/>
      </top>
      <bottom style="thin">
        <color rgb="FFD9E1F2"/>
      </bottom>
      <diagonal/>
    </border>
    <border>
      <left/>
      <right/>
      <top style="thin">
        <color rgb="FFD9E1F2"/>
      </top>
      <bottom style="medium">
        <color rgb="FF104861"/>
      </bottom>
      <diagonal/>
    </border>
    <border>
      <left/>
      <right style="medium">
        <color rgb="FF104861"/>
      </right>
      <top style="thin">
        <color rgb="FFD9E1F2"/>
      </top>
      <bottom style="medium">
        <color rgb="FF104861"/>
      </bottom>
      <diagonal/>
    </border>
    <border>
      <left/>
      <right/>
      <top style="medium">
        <color rgb="FF104861"/>
      </top>
      <bottom style="medium">
        <color indexed="64"/>
      </bottom>
      <diagonal/>
    </border>
    <border>
      <left style="medium">
        <color indexed="64"/>
      </left>
      <right style="thin">
        <color rgb="FFD9EAF2"/>
      </right>
      <top/>
      <bottom style="thin">
        <color rgb="FFD9EAF2"/>
      </bottom>
      <diagonal/>
    </border>
    <border>
      <left style="medium">
        <color indexed="64"/>
      </left>
      <right style="thin">
        <color rgb="FFD9EAF2"/>
      </right>
      <top style="thin">
        <color rgb="FFD9EAF2"/>
      </top>
      <bottom style="thin">
        <color rgb="FFD9EAF2"/>
      </bottom>
      <diagonal/>
    </border>
    <border>
      <left style="thin">
        <color rgb="FFD9E1F2"/>
      </left>
      <right style="thin">
        <color rgb="FFD9E1F2"/>
      </right>
      <top style="medium">
        <color rgb="FF104861"/>
      </top>
      <bottom style="thin">
        <color rgb="FFD9E1F2"/>
      </bottom>
      <diagonal/>
    </border>
    <border>
      <left style="thin">
        <color rgb="FFD9E1F2"/>
      </left>
      <right style="thin">
        <color rgb="FFD9E1F2"/>
      </right>
      <top style="thin">
        <color rgb="FFD9E1F2"/>
      </top>
      <bottom style="thin">
        <color rgb="FFD9E1F2"/>
      </bottom>
      <diagonal/>
    </border>
    <border>
      <left style="thin">
        <color rgb="FF104861"/>
      </left>
      <right/>
      <top/>
      <bottom/>
      <diagonal/>
    </border>
    <border>
      <left style="thin">
        <color rgb="FF104861"/>
      </left>
      <right/>
      <top/>
      <bottom style="thin">
        <color rgb="FF104861"/>
      </bottom>
      <diagonal/>
    </border>
    <border>
      <left/>
      <right style="thin">
        <color rgb="FF104861"/>
      </right>
      <top style="thin">
        <color rgb="FF104861"/>
      </top>
      <bottom/>
      <diagonal/>
    </border>
    <border>
      <left/>
      <right style="thin">
        <color rgb="FF104861"/>
      </right>
      <top/>
      <bottom/>
      <diagonal/>
    </border>
    <border>
      <left/>
      <right style="thin">
        <color rgb="FF104861"/>
      </right>
      <top/>
      <bottom style="thin">
        <color rgb="FF104861"/>
      </bottom>
      <diagonal/>
    </border>
    <border>
      <left style="thin">
        <color rgb="FFD9E1F2"/>
      </left>
      <right style="thin">
        <color rgb="FFD9E1F2"/>
      </right>
      <top style="thin">
        <color rgb="FFD9E1F2"/>
      </top>
      <bottom/>
      <diagonal/>
    </border>
    <border>
      <left style="thin">
        <color rgb="FFD9E1F2"/>
      </left>
      <right style="thin">
        <color rgb="FFD9E1F2"/>
      </right>
      <top style="medium">
        <color rgb="FF104861"/>
      </top>
      <bottom style="medium">
        <color auto="1"/>
      </bottom>
      <diagonal/>
    </border>
    <border>
      <left style="thin">
        <color rgb="FFD9E1F2"/>
      </left>
      <right style="medium">
        <color rgb="FF104861"/>
      </right>
      <top style="medium">
        <color rgb="FF104861"/>
      </top>
      <bottom style="medium">
        <color auto="1"/>
      </bottom>
      <diagonal/>
    </border>
    <border>
      <left/>
      <right style="thin">
        <color rgb="FFD9E1F2"/>
      </right>
      <top style="medium">
        <color rgb="FF104861"/>
      </top>
      <bottom style="thin">
        <color rgb="FFD9E1F2"/>
      </bottom>
      <diagonal/>
    </border>
    <border>
      <left style="thin">
        <color rgb="FFD9E1F2"/>
      </left>
      <right style="thin">
        <color rgb="FFD9E1F2"/>
      </right>
      <top/>
      <bottom style="thin">
        <color rgb="FFD9E1F2"/>
      </bottom>
      <diagonal/>
    </border>
    <border>
      <left/>
      <right/>
      <top/>
      <bottom style="thin">
        <color rgb="FFD9EAF2"/>
      </bottom>
      <diagonal/>
    </border>
    <border>
      <left/>
      <right/>
      <top style="thin">
        <color rgb="FFD9EAF2"/>
      </top>
      <bottom style="thin">
        <color rgb="FFD9EAF2"/>
      </bottom>
      <diagonal/>
    </border>
    <border>
      <left/>
      <right/>
      <top style="thin">
        <color rgb="FFD9EAF2"/>
      </top>
      <bottom/>
      <diagonal/>
    </border>
    <border>
      <left/>
      <right style="medium">
        <color indexed="64"/>
      </right>
      <top style="medium">
        <color indexed="64"/>
      </top>
      <bottom/>
      <diagonal/>
    </border>
    <border>
      <left style="thin">
        <color rgb="FFD9EAF2"/>
      </left>
      <right style="medium">
        <color indexed="64"/>
      </right>
      <top/>
      <bottom style="thin">
        <color rgb="FFD9EAF2"/>
      </bottom>
      <diagonal/>
    </border>
    <border>
      <left style="thin">
        <color rgb="FFD9EAF2"/>
      </left>
      <right style="medium">
        <color indexed="64"/>
      </right>
      <top style="thin">
        <color rgb="FFD9EAF2"/>
      </top>
      <bottom style="thin">
        <color rgb="FFD9EAF2"/>
      </bottom>
      <diagonal/>
    </border>
    <border>
      <left style="medium">
        <color indexed="64"/>
      </left>
      <right style="thin">
        <color rgb="FFD9EAF2"/>
      </right>
      <top style="thin">
        <color rgb="FFD9EAF2"/>
      </top>
      <bottom style="medium">
        <color indexed="64"/>
      </bottom>
      <diagonal/>
    </border>
    <border>
      <left style="thin">
        <color rgb="FFD9EAF2"/>
      </left>
      <right style="thin">
        <color rgb="FFD9EAF2"/>
      </right>
      <top style="thin">
        <color rgb="FFD9EAF2"/>
      </top>
      <bottom style="medium">
        <color indexed="64"/>
      </bottom>
      <diagonal/>
    </border>
    <border>
      <left style="thin">
        <color rgb="FFD9EAF2"/>
      </left>
      <right style="medium">
        <color indexed="64"/>
      </right>
      <top style="thin">
        <color rgb="FFD9EAF2"/>
      </top>
      <bottom style="medium">
        <color indexed="64"/>
      </bottom>
      <diagonal/>
    </border>
    <border>
      <left style="medium">
        <color indexed="64"/>
      </left>
      <right style="thin">
        <color rgb="FFD9E1F2"/>
      </right>
      <top style="medium">
        <color rgb="FF104861"/>
      </top>
      <bottom style="thin">
        <color rgb="FFD9E1F2"/>
      </bottom>
      <diagonal/>
    </border>
    <border>
      <left style="thin">
        <color rgb="FFD9E1F2"/>
      </left>
      <right style="medium">
        <color indexed="64"/>
      </right>
      <top style="medium">
        <color rgb="FF104861"/>
      </top>
      <bottom style="thin">
        <color rgb="FFD9E1F2"/>
      </bottom>
      <diagonal/>
    </border>
    <border>
      <left style="medium">
        <color indexed="64"/>
      </left>
      <right style="thin">
        <color rgb="FFD9E1F2"/>
      </right>
      <top style="thin">
        <color rgb="FFD9E1F2"/>
      </top>
      <bottom style="thin">
        <color rgb="FFD9E1F2"/>
      </bottom>
      <diagonal/>
    </border>
    <border>
      <left style="thin">
        <color rgb="FFD9E1F2"/>
      </left>
      <right style="medium">
        <color indexed="64"/>
      </right>
      <top style="thin">
        <color rgb="FFD9E1F2"/>
      </top>
      <bottom style="thin">
        <color rgb="FFD9E1F2"/>
      </bottom>
      <diagonal/>
    </border>
    <border>
      <left style="thin">
        <color rgb="FFD9E1F2"/>
      </left>
      <right style="medium">
        <color indexed="64"/>
      </right>
      <top style="thin">
        <color rgb="FFD9E1F2"/>
      </top>
      <bottom/>
      <diagonal/>
    </border>
    <border>
      <left style="medium">
        <color indexed="64"/>
      </left>
      <right style="thin">
        <color rgb="FFD9E1F2"/>
      </right>
      <top style="medium">
        <color rgb="FF104861"/>
      </top>
      <bottom style="medium">
        <color indexed="64"/>
      </bottom>
      <diagonal/>
    </border>
    <border>
      <left/>
      <right style="medium">
        <color indexed="64"/>
      </right>
      <top style="medium">
        <color rgb="FF104861"/>
      </top>
      <bottom style="medium">
        <color indexed="64"/>
      </bottom>
      <diagonal/>
    </border>
    <border>
      <left style="medium">
        <color indexed="64"/>
      </left>
      <right/>
      <top style="medium">
        <color rgb="FF104861"/>
      </top>
      <bottom style="medium">
        <color indexed="64"/>
      </bottom>
      <diagonal/>
    </border>
    <border>
      <left style="thin">
        <color rgb="FF000000"/>
      </left>
      <right style="thin">
        <color indexed="64"/>
      </right>
      <top/>
      <bottom style="thin">
        <color rgb="FF000000"/>
      </bottom>
      <diagonal/>
    </border>
    <border>
      <left style="thin">
        <color indexed="64"/>
      </left>
      <right/>
      <top/>
      <bottom style="thin">
        <color rgb="FF000000"/>
      </bottom>
      <diagonal/>
    </border>
    <border>
      <left style="thin">
        <color rgb="FF000000"/>
      </left>
      <right/>
      <top/>
      <bottom style="thin">
        <color rgb="FF000000"/>
      </bottom>
      <diagonal/>
    </border>
    <border>
      <left style="thin">
        <color indexed="64"/>
      </left>
      <right style="thin">
        <color indexed="64"/>
      </right>
      <top/>
      <bottom style="thin">
        <color rgb="FF000000"/>
      </bottom>
      <diagonal/>
    </border>
    <border>
      <left style="thin">
        <color indexed="64"/>
      </left>
      <right style="thin">
        <color rgb="FF000000"/>
      </right>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medium">
        <color indexed="64"/>
      </left>
      <right style="medium">
        <color indexed="64"/>
      </right>
      <top style="medium">
        <color indexed="64"/>
      </top>
      <bottom/>
      <diagonal/>
    </border>
    <border>
      <left style="thin">
        <color rgb="FF104861"/>
      </left>
      <right style="thin">
        <color rgb="FF104861"/>
      </right>
      <top style="thin">
        <color rgb="FF104861"/>
      </top>
      <bottom/>
      <diagonal/>
    </border>
    <border>
      <left style="medium">
        <color rgb="FF104861"/>
      </left>
      <right style="medium">
        <color rgb="FF104861"/>
      </right>
      <top style="medium">
        <color rgb="FF104861"/>
      </top>
      <bottom/>
      <diagonal/>
    </border>
    <border>
      <left style="medium">
        <color rgb="FF104861"/>
      </left>
      <right style="medium">
        <color rgb="FF104861"/>
      </right>
      <top/>
      <bottom style="thin">
        <color rgb="FFD9E1F2"/>
      </bottom>
      <diagonal/>
    </border>
    <border>
      <left style="medium">
        <color rgb="FF104861"/>
      </left>
      <right style="medium">
        <color rgb="FF104861"/>
      </right>
      <top style="thin">
        <color rgb="FFD9E1F2"/>
      </top>
      <bottom style="thin">
        <color rgb="FFD9E1F2"/>
      </bottom>
      <diagonal/>
    </border>
    <border>
      <left style="medium">
        <color rgb="FF104861"/>
      </left>
      <right style="medium">
        <color rgb="FF104861"/>
      </right>
      <top style="thin">
        <color rgb="FFD9E1F2"/>
      </top>
      <bottom style="medium">
        <color rgb="FF104861"/>
      </bottom>
      <diagonal/>
    </border>
    <border>
      <left/>
      <right/>
      <top style="thin">
        <color rgb="FFB7B7B7"/>
      </top>
      <bottom style="thick">
        <color rgb="FF7F7F7F"/>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rgb="FF000000"/>
      </right>
      <top style="thin">
        <color indexed="64"/>
      </top>
      <bottom/>
      <diagonal/>
    </border>
    <border>
      <left/>
      <right style="medium">
        <color rgb="FF104861"/>
      </right>
      <top/>
      <bottom/>
      <diagonal/>
    </border>
    <border>
      <left/>
      <right/>
      <top style="thin">
        <color rgb="FFD9E1F2"/>
      </top>
      <bottom/>
      <diagonal/>
    </border>
    <border>
      <left/>
      <right style="medium">
        <color rgb="FF104861"/>
      </right>
      <top style="thin">
        <color rgb="FFD9E1F2"/>
      </top>
      <bottom/>
      <diagonal/>
    </border>
    <border>
      <left/>
      <right/>
      <top style="thin">
        <color rgb="FF104861"/>
      </top>
      <bottom/>
      <diagonal/>
    </border>
    <border>
      <left/>
      <right/>
      <top style="thin">
        <color rgb="FFB7B7B7"/>
      </top>
      <bottom/>
      <diagonal/>
    </border>
  </borders>
  <cellStyleXfs count="12">
    <xf numFmtId="0" fontId="13" fillId="0" borderId="0"/>
    <xf numFmtId="0" fontId="1" fillId="0" borderId="0"/>
    <xf numFmtId="0" fontId="3" fillId="0" borderId="0"/>
    <xf numFmtId="43" fontId="3" fillId="0" borderId="0"/>
    <xf numFmtId="43" fontId="13" fillId="0" borderId="0"/>
    <xf numFmtId="9" fontId="13" fillId="0" borderId="0"/>
    <xf numFmtId="0" fontId="17" fillId="0" borderId="0"/>
    <xf numFmtId="43" fontId="17" fillId="0" borderId="0"/>
    <xf numFmtId="43" fontId="18" fillId="0" borderId="0"/>
    <xf numFmtId="0" fontId="18" fillId="0" borderId="0"/>
    <xf numFmtId="9" fontId="17" fillId="0" borderId="0"/>
    <xf numFmtId="0" fontId="40" fillId="0" borderId="0"/>
  </cellStyleXfs>
  <cellXfs count="645">
    <xf numFmtId="0" fontId="0" fillId="0" borderId="0" pivotButton="0" quotePrefix="0" xfId="0"/>
    <xf numFmtId="0" fontId="4" fillId="0" borderId="0" applyAlignment="1" pivotButton="0" quotePrefix="0" xfId="2">
      <alignment vertical="top" wrapText="1"/>
    </xf>
    <xf numFmtId="0" fontId="5" fillId="5" borderId="0" applyAlignment="1" pivotButton="0" quotePrefix="0" xfId="2">
      <alignment vertical="top" wrapText="1"/>
    </xf>
    <xf numFmtId="164" fontId="7" fillId="0" borderId="0" applyAlignment="1" pivotButton="0" quotePrefix="0" xfId="3">
      <alignment horizontal="left" vertical="top"/>
    </xf>
    <xf numFmtId="0" fontId="7" fillId="0" borderId="0" applyAlignment="1" pivotButton="0" quotePrefix="0" xfId="2">
      <alignment vertical="top"/>
    </xf>
    <xf numFmtId="165" fontId="7" fillId="0" borderId="1" applyAlignment="1" pivotButton="0" quotePrefix="0" xfId="3">
      <alignment horizontal="right" vertical="center"/>
    </xf>
    <xf numFmtId="164" fontId="7" fillId="0" borderId="1" applyAlignment="1" pivotButton="0" quotePrefix="0" xfId="3">
      <alignment horizontal="right" vertical="center"/>
    </xf>
    <xf numFmtId="0" fontId="7" fillId="0" borderId="1" applyAlignment="1" pivotButton="0" quotePrefix="0" xfId="2">
      <alignment horizontal="left" vertical="center"/>
    </xf>
    <xf numFmtId="165" fontId="7" fillId="0" borderId="3" applyAlignment="1" pivotButton="0" quotePrefix="0" xfId="3">
      <alignment horizontal="right" vertical="center"/>
    </xf>
    <xf numFmtId="0" fontId="7" fillId="0" borderId="1" applyAlignment="1" pivotButton="0" quotePrefix="0" xfId="2">
      <alignment horizontal="center" vertical="center"/>
    </xf>
    <xf numFmtId="165" fontId="7" fillId="6" borderId="1" applyAlignment="1" pivotButton="0" quotePrefix="0" xfId="3">
      <alignment horizontal="right" vertical="center"/>
    </xf>
    <xf numFmtId="164" fontId="7" fillId="6" borderId="1" applyAlignment="1" pivotButton="0" quotePrefix="0" xfId="3">
      <alignment horizontal="right" vertical="center"/>
    </xf>
    <xf numFmtId="0" fontId="7" fillId="6" borderId="1" applyAlignment="1" pivotButton="0" quotePrefix="0" xfId="2">
      <alignment horizontal="left" vertical="center"/>
    </xf>
    <xf numFmtId="165" fontId="4" fillId="0" borderId="1" applyAlignment="1" pivotButton="0" quotePrefix="0" xfId="3">
      <alignment horizontal="right" vertical="center"/>
    </xf>
    <xf numFmtId="164" fontId="4" fillId="0" borderId="1" applyAlignment="1" pivotButton="0" quotePrefix="0" xfId="3">
      <alignment horizontal="right" vertical="center"/>
    </xf>
    <xf numFmtId="0" fontId="4" fillId="0" borderId="1" applyAlignment="1" pivotButton="0" quotePrefix="0" xfId="2">
      <alignment horizontal="left" vertical="center"/>
    </xf>
    <xf numFmtId="0" fontId="4" fillId="0" borderId="1" applyAlignment="1" pivotButton="0" quotePrefix="0" xfId="2">
      <alignment horizontal="center" vertical="center"/>
    </xf>
    <xf numFmtId="164" fontId="4" fillId="0" borderId="5" applyAlignment="1" pivotButton="0" quotePrefix="0" xfId="3">
      <alignment horizontal="right" vertical="center"/>
    </xf>
    <xf numFmtId="165" fontId="4" fillId="0" borderId="3" applyAlignment="1" pivotButton="0" quotePrefix="0" xfId="3">
      <alignment horizontal="right" vertical="center"/>
    </xf>
    <xf numFmtId="0" fontId="4" fillId="0" borderId="2" applyAlignment="1" pivotButton="0" quotePrefix="0" xfId="2">
      <alignment horizontal="center" vertical="center"/>
    </xf>
    <xf numFmtId="0" fontId="7" fillId="7" borderId="1" applyAlignment="1" pivotButton="0" quotePrefix="0" xfId="2">
      <alignment horizontal="left" vertical="center"/>
    </xf>
    <xf numFmtId="0" fontId="7" fillId="7" borderId="1" applyAlignment="1" pivotButton="0" quotePrefix="0" xfId="2">
      <alignment horizontal="center" vertical="center" wrapText="1"/>
    </xf>
    <xf numFmtId="0" fontId="7" fillId="7" borderId="2" applyAlignment="1" pivotButton="0" quotePrefix="0" xfId="2">
      <alignment horizontal="center" vertical="center" wrapText="1"/>
    </xf>
    <xf numFmtId="165" fontId="7" fillId="8" borderId="1" applyAlignment="1" pivotButton="0" quotePrefix="0" xfId="3">
      <alignment horizontal="right" vertical="center"/>
    </xf>
    <xf numFmtId="164" fontId="7" fillId="8" borderId="1" applyAlignment="1" pivotButton="0" quotePrefix="0" xfId="3">
      <alignment horizontal="right" vertical="center"/>
    </xf>
    <xf numFmtId="0" fontId="7" fillId="8" borderId="1" applyAlignment="1" pivotButton="0" quotePrefix="0" xfId="2">
      <alignment horizontal="left" vertical="center"/>
    </xf>
    <xf numFmtId="0" fontId="8" fillId="0" borderId="0" applyAlignment="1" pivotButton="0" quotePrefix="0" xfId="2">
      <alignment vertical="top" wrapText="1"/>
    </xf>
    <xf numFmtId="0" fontId="9" fillId="5" borderId="0" applyAlignment="1" pivotButton="0" quotePrefix="0" xfId="2">
      <alignment vertical="top" wrapText="1"/>
    </xf>
    <xf numFmtId="0" fontId="11" fillId="0" borderId="0" pivotButton="0" quotePrefix="0" xfId="0"/>
    <xf numFmtId="0" fontId="12" fillId="0" borderId="0" pivotButton="0" quotePrefix="0" xfId="0"/>
    <xf numFmtId="0" fontId="11" fillId="0" borderId="0" applyAlignment="1" pivotButton="0" quotePrefix="0" xfId="0">
      <alignment vertical="center"/>
    </xf>
    <xf numFmtId="3" fontId="12" fillId="0" borderId="1" applyAlignment="1" pivotButton="0" quotePrefix="0" xfId="0">
      <alignment horizontal="center"/>
    </xf>
    <xf numFmtId="4" fontId="12" fillId="0" borderId="1" applyAlignment="1" pivotButton="0" quotePrefix="0" xfId="0">
      <alignment horizontal="center"/>
    </xf>
    <xf numFmtId="0" fontId="12" fillId="0" borderId="1" applyAlignment="1" pivotButton="0" quotePrefix="0" xfId="0">
      <alignment horizontal="left"/>
    </xf>
    <xf numFmtId="3" fontId="11" fillId="0" borderId="1" applyAlignment="1" pivotButton="0" quotePrefix="0" xfId="0">
      <alignment horizontal="center"/>
    </xf>
    <xf numFmtId="4" fontId="11" fillId="0" borderId="1" applyAlignment="1" pivotButton="0" quotePrefix="0" xfId="0">
      <alignment horizontal="center"/>
    </xf>
    <xf numFmtId="17" fontId="11" fillId="0" borderId="1" applyAlignment="1" pivotButton="0" quotePrefix="0" xfId="0">
      <alignment horizontal="left"/>
    </xf>
    <xf numFmtId="3" fontId="12" fillId="4" borderId="1" applyAlignment="1" pivotButton="0" quotePrefix="0" xfId="0">
      <alignment horizontal="center"/>
    </xf>
    <xf numFmtId="0" fontId="11" fillId="0" borderId="0" applyAlignment="1" pivotButton="0" quotePrefix="0" xfId="0">
      <alignment wrapText="1"/>
    </xf>
    <xf numFmtId="0" fontId="12" fillId="3" borderId="1" applyAlignment="1" pivotButton="0" quotePrefix="0" xfId="0">
      <alignment horizontal="center" vertical="center" wrapText="1"/>
    </xf>
    <xf numFmtId="0" fontId="12" fillId="10" borderId="0" pivotButton="0" quotePrefix="0" xfId="0"/>
    <xf numFmtId="3" fontId="11" fillId="4" borderId="1" applyAlignment="1" pivotButton="0" quotePrefix="0" xfId="0">
      <alignment horizontal="center"/>
    </xf>
    <xf numFmtId="0" fontId="11" fillId="0" borderId="1" pivotButton="0" quotePrefix="0" xfId="0"/>
    <xf numFmtId="3" fontId="12" fillId="3" borderId="1" applyAlignment="1" pivotButton="0" quotePrefix="0" xfId="0">
      <alignment horizontal="center"/>
    </xf>
    <xf numFmtId="0" fontId="12" fillId="3" borderId="1" applyAlignment="1" pivotButton="0" quotePrefix="0" xfId="0">
      <alignment horizontal="center"/>
    </xf>
    <xf numFmtId="0" fontId="12" fillId="4" borderId="1" applyAlignment="1" pivotButton="0" quotePrefix="0" xfId="0">
      <alignment horizontal="center"/>
    </xf>
    <xf numFmtId="0" fontId="9" fillId="5" borderId="0" applyAlignment="1" pivotButton="0" quotePrefix="0" xfId="2">
      <alignment vertical="top"/>
    </xf>
    <xf numFmtId="0" fontId="5" fillId="5" borderId="0" applyAlignment="1" pivotButton="0" quotePrefix="0" xfId="2">
      <alignment vertical="top"/>
    </xf>
    <xf numFmtId="0" fontId="7" fillId="7" borderId="1" applyAlignment="1" pivotButton="0" quotePrefix="0" xfId="2">
      <alignment horizontal="center" vertical="center"/>
    </xf>
    <xf numFmtId="0" fontId="7" fillId="7" borderId="2" applyAlignment="1" pivotButton="0" quotePrefix="0" xfId="2">
      <alignment horizontal="center" vertical="center"/>
    </xf>
    <xf numFmtId="0" fontId="4" fillId="0" borderId="1" applyAlignment="1" pivotButton="0" quotePrefix="0" xfId="2">
      <alignment vertical="top"/>
    </xf>
    <xf numFmtId="0" fontId="4" fillId="0" borderId="5" applyAlignment="1" pivotButton="0" quotePrefix="0" xfId="2">
      <alignment vertical="top"/>
    </xf>
    <xf numFmtId="0" fontId="4" fillId="0" borderId="3" applyAlignment="1" pivotButton="0" quotePrefix="0" xfId="2">
      <alignment vertical="top"/>
    </xf>
    <xf numFmtId="164" fontId="4" fillId="0" borderId="1" applyAlignment="1" pivotButton="0" quotePrefix="0" xfId="3">
      <alignment vertical="top"/>
    </xf>
    <xf numFmtId="165" fontId="4" fillId="0" borderId="1" applyAlignment="1" pivotButton="0" quotePrefix="0" xfId="3">
      <alignment vertical="top"/>
    </xf>
    <xf numFmtId="0" fontId="4" fillId="0" borderId="2" applyAlignment="1" pivotButton="0" quotePrefix="0" xfId="2">
      <alignment vertical="top"/>
    </xf>
    <xf numFmtId="164" fontId="4" fillId="0" borderId="5" applyAlignment="1" pivotButton="0" quotePrefix="0" xfId="3">
      <alignment vertical="top"/>
    </xf>
    <xf numFmtId="165" fontId="4" fillId="0" borderId="3" applyAlignment="1" pivotButton="0" quotePrefix="0" xfId="3">
      <alignment vertical="top"/>
    </xf>
    <xf numFmtId="0" fontId="4" fillId="0" borderId="1" applyAlignment="1" pivotButton="0" quotePrefix="0" xfId="2">
      <alignment vertical="center"/>
    </xf>
    <xf numFmtId="164" fontId="4" fillId="0" borderId="1" applyAlignment="1" pivotButton="0" quotePrefix="0" xfId="3">
      <alignment vertical="center"/>
    </xf>
    <xf numFmtId="165" fontId="4" fillId="0" borderId="1" applyAlignment="1" pivotButton="0" quotePrefix="0" xfId="3">
      <alignment vertical="center"/>
    </xf>
    <xf numFmtId="0" fontId="4" fillId="0" borderId="0" applyAlignment="1" pivotButton="0" quotePrefix="0" xfId="2">
      <alignment vertical="top"/>
    </xf>
    <xf numFmtId="164" fontId="4" fillId="0" borderId="0" applyAlignment="1" pivotButton="0" quotePrefix="0" xfId="2">
      <alignment vertical="top"/>
    </xf>
    <xf numFmtId="164" fontId="4" fillId="0" borderId="0" applyAlignment="1" pivotButton="0" quotePrefix="0" xfId="3">
      <alignment vertical="top"/>
    </xf>
    <xf numFmtId="165" fontId="4" fillId="0" borderId="0" applyAlignment="1" pivotButton="0" quotePrefix="0" xfId="3">
      <alignment vertical="top"/>
    </xf>
    <xf numFmtId="0" fontId="4" fillId="0" borderId="21" applyAlignment="1" pivotButton="0" quotePrefix="0" xfId="2">
      <alignment vertical="top"/>
    </xf>
    <xf numFmtId="165" fontId="4" fillId="0" borderId="18" applyAlignment="1" pivotButton="0" quotePrefix="0" xfId="3">
      <alignment vertical="top"/>
    </xf>
    <xf numFmtId="0" fontId="4" fillId="0" borderId="8" applyAlignment="1" pivotButton="0" quotePrefix="0" xfId="2">
      <alignment vertical="top"/>
    </xf>
    <xf numFmtId="165" fontId="4" fillId="0" borderId="9" applyAlignment="1" pivotButton="0" quotePrefix="0" xfId="3">
      <alignment vertical="top"/>
    </xf>
    <xf numFmtId="0" fontId="4" fillId="0" borderId="20" applyAlignment="1" pivotButton="0" quotePrefix="0" xfId="2">
      <alignment vertical="top"/>
    </xf>
    <xf numFmtId="0" fontId="4" fillId="0" borderId="14" applyAlignment="1" pivotButton="0" quotePrefix="0" xfId="2">
      <alignment vertical="top"/>
    </xf>
    <xf numFmtId="165" fontId="4" fillId="0" borderId="12" applyAlignment="1" pivotButton="0" quotePrefix="0" xfId="3">
      <alignment vertical="top"/>
    </xf>
    <xf numFmtId="164" fontId="4" fillId="0" borderId="12" applyAlignment="1" pivotButton="0" quotePrefix="0" xfId="3">
      <alignment vertical="top"/>
    </xf>
    <xf numFmtId="165" fontId="4" fillId="0" borderId="11" applyAlignment="1" pivotButton="0" quotePrefix="0" xfId="3">
      <alignment vertical="top"/>
    </xf>
    <xf numFmtId="164" fontId="7" fillId="3" borderId="1" applyAlignment="1" pivotButton="0" quotePrefix="0" xfId="3">
      <alignment horizontal="right" vertical="center"/>
    </xf>
    <xf numFmtId="165" fontId="7" fillId="3" borderId="1" applyAlignment="1" pivotButton="0" quotePrefix="0" xfId="3">
      <alignment horizontal="right" vertical="center"/>
    </xf>
    <xf numFmtId="165" fontId="14" fillId="7" borderId="1" applyAlignment="1" pivotButton="0" quotePrefix="0" xfId="4">
      <alignment horizontal="center" vertical="center" wrapText="1"/>
    </xf>
    <xf numFmtId="164" fontId="14" fillId="7" borderId="1" applyAlignment="1" pivotButton="0" quotePrefix="0" xfId="4">
      <alignment horizontal="center" vertical="center" wrapText="1"/>
    </xf>
    <xf numFmtId="165" fontId="14" fillId="7" borderId="1" applyAlignment="1" pivotButton="0" quotePrefix="0" xfId="4">
      <alignment horizontal="left" vertical="center"/>
    </xf>
    <xf numFmtId="164" fontId="15" fillId="0" borderId="1" applyAlignment="1" pivotButton="0" quotePrefix="0" xfId="4">
      <alignment vertical="top" wrapText="1"/>
    </xf>
    <xf numFmtId="165" fontId="15" fillId="0" borderId="1" applyAlignment="1" pivotButton="0" quotePrefix="0" xfId="4">
      <alignment vertical="top" wrapText="1"/>
    </xf>
    <xf numFmtId="165" fontId="15" fillId="0" borderId="1" applyAlignment="1" pivotButton="0" quotePrefix="0" xfId="4">
      <alignment horizontal="center" vertical="center"/>
    </xf>
    <xf numFmtId="165" fontId="15" fillId="0" borderId="1" applyAlignment="1" pivotButton="0" quotePrefix="0" xfId="4">
      <alignment horizontal="left" vertical="center"/>
    </xf>
    <xf numFmtId="164" fontId="15" fillId="0" borderId="1" applyAlignment="1" pivotButton="0" quotePrefix="0" xfId="4">
      <alignment horizontal="right" vertical="center"/>
    </xf>
    <xf numFmtId="165" fontId="15" fillId="0" borderId="1" applyAlignment="1" pivotButton="0" quotePrefix="0" xfId="4">
      <alignment horizontal="right" vertical="center"/>
    </xf>
    <xf numFmtId="165" fontId="14" fillId="8" borderId="1" applyAlignment="1" pivotButton="0" quotePrefix="0" xfId="4">
      <alignment horizontal="left" vertical="center"/>
    </xf>
    <xf numFmtId="165" fontId="14" fillId="0" borderId="1" applyAlignment="1" pivotButton="0" quotePrefix="0" xfId="4">
      <alignment horizontal="left" vertical="center"/>
    </xf>
    <xf numFmtId="165" fontId="14" fillId="6" borderId="1" applyAlignment="1" pivotButton="0" quotePrefix="0" xfId="4">
      <alignment horizontal="left" vertical="center"/>
    </xf>
    <xf numFmtId="165" fontId="14" fillId="0" borderId="1" applyAlignment="1" pivotButton="0" quotePrefix="0" xfId="4">
      <alignment horizontal="center" vertical="center"/>
    </xf>
    <xf numFmtId="164" fontId="14" fillId="0" borderId="1" applyAlignment="1" pivotButton="0" quotePrefix="0" xfId="4">
      <alignment horizontal="right" vertical="center"/>
    </xf>
    <xf numFmtId="165" fontId="14" fillId="0" borderId="1" applyAlignment="1" pivotButton="0" quotePrefix="0" xfId="4">
      <alignment horizontal="right" vertical="center"/>
    </xf>
    <xf numFmtId="0" fontId="0" fillId="0" borderId="1" pivotButton="0" quotePrefix="0" xfId="0"/>
    <xf numFmtId="0" fontId="14" fillId="3" borderId="1" applyAlignment="1" pivotButton="0" quotePrefix="0" xfId="2">
      <alignment vertical="top" wrapText="1"/>
    </xf>
    <xf numFmtId="10" fontId="14" fillId="3" borderId="1" applyAlignment="1" pivotButton="0" quotePrefix="0" xfId="5">
      <alignment horizontal="center" vertical="top" wrapText="1"/>
    </xf>
    <xf numFmtId="0" fontId="14" fillId="3" borderId="1" applyAlignment="1" pivotButton="0" quotePrefix="0" xfId="2">
      <alignment vertical="top"/>
    </xf>
    <xf numFmtId="0" fontId="14" fillId="3" borderId="1" applyAlignment="1" pivotButton="0" quotePrefix="0" xfId="2">
      <alignment horizontal="left" vertical="top"/>
    </xf>
    <xf numFmtId="164" fontId="14" fillId="3" borderId="1" applyAlignment="1" pivotButton="0" quotePrefix="0" xfId="5">
      <alignment horizontal="center" vertical="top" wrapText="1"/>
    </xf>
    <xf numFmtId="10" fontId="14" fillId="3" borderId="1" applyAlignment="1" pivotButton="0" quotePrefix="0" xfId="5">
      <alignment horizontal="center" vertical="top"/>
    </xf>
    <xf numFmtId="0" fontId="7" fillId="7" borderId="1" applyAlignment="1" pivotButton="0" quotePrefix="0" xfId="2">
      <alignment vertical="center"/>
    </xf>
    <xf numFmtId="165" fontId="4" fillId="3" borderId="1" applyAlignment="1" pivotButton="0" quotePrefix="0" xfId="3">
      <alignment horizontal="right" vertical="center"/>
    </xf>
    <xf numFmtId="165" fontId="15" fillId="3" borderId="1" applyAlignment="1" pivotButton="0" quotePrefix="0" xfId="4">
      <alignment horizontal="right" vertical="center"/>
    </xf>
    <xf numFmtId="0" fontId="8" fillId="0" borderId="0" applyAlignment="1" pivotButton="0" quotePrefix="0" xfId="2">
      <alignment horizontal="center" vertical="top" wrapText="1"/>
    </xf>
    <xf numFmtId="0" fontId="4" fillId="0" borderId="0" applyAlignment="1" pivotButton="0" quotePrefix="0" xfId="2">
      <alignment horizontal="center" vertical="top" wrapText="1"/>
    </xf>
    <xf numFmtId="9" fontId="4" fillId="0" borderId="0" applyAlignment="1" pivotButton="0" quotePrefix="0" xfId="5">
      <alignment horizontal="center" vertical="top" wrapText="1"/>
    </xf>
    <xf numFmtId="9" fontId="4" fillId="3" borderId="0" applyAlignment="1" pivotButton="0" quotePrefix="0" xfId="5">
      <alignment horizontal="center" vertical="top" wrapText="1"/>
    </xf>
    <xf numFmtId="0" fontId="7" fillId="3" borderId="1" applyAlignment="1" pivotButton="0" quotePrefix="0" xfId="2">
      <alignment horizontal="center" vertical="center" wrapText="1"/>
    </xf>
    <xf numFmtId="165" fontId="15" fillId="11" borderId="1" applyAlignment="1" pivotButton="0" quotePrefix="0" xfId="4">
      <alignment horizontal="right" vertical="center"/>
    </xf>
    <xf numFmtId="165" fontId="4" fillId="11" borderId="1" applyAlignment="1" pivotButton="0" quotePrefix="0" xfId="3">
      <alignment horizontal="right" vertical="center"/>
    </xf>
    <xf numFmtId="164" fontId="7" fillId="11" borderId="1" applyAlignment="1" pivotButton="0" quotePrefix="0" xfId="3">
      <alignment horizontal="right" vertical="center"/>
    </xf>
    <xf numFmtId="0" fontId="4" fillId="0" borderId="1" applyAlignment="1" pivotButton="0" quotePrefix="0" xfId="2">
      <alignment vertical="top" wrapText="1"/>
    </xf>
    <xf numFmtId="0" fontId="7" fillId="3" borderId="1" applyAlignment="1" pivotButton="0" quotePrefix="0" xfId="2">
      <alignment horizontal="left" vertical="top" wrapText="1"/>
    </xf>
    <xf numFmtId="0" fontId="7" fillId="3" borderId="1" applyAlignment="1" pivotButton="0" quotePrefix="0" xfId="2">
      <alignment horizontal="center" vertical="top" wrapText="1"/>
    </xf>
    <xf numFmtId="165" fontId="16" fillId="7" borderId="1" applyAlignment="1" pivotButton="0" quotePrefix="0" xfId="4">
      <alignment horizontal="left" vertical="center"/>
    </xf>
    <xf numFmtId="0" fontId="4" fillId="0" borderId="25" applyAlignment="1" pivotButton="0" quotePrefix="0" xfId="2">
      <alignment vertical="center"/>
    </xf>
    <xf numFmtId="0" fontId="7" fillId="12" borderId="1" applyAlignment="1" pivotButton="0" quotePrefix="0" xfId="2">
      <alignment vertical="center"/>
    </xf>
    <xf numFmtId="9" fontId="7" fillId="12" borderId="1" applyAlignment="1" pivotButton="0" quotePrefix="0" xfId="5">
      <alignment horizontal="center" vertical="top" wrapText="1"/>
    </xf>
    <xf numFmtId="9" fontId="4" fillId="3" borderId="1" applyAlignment="1" pivotButton="0" quotePrefix="0" xfId="5">
      <alignment horizontal="center" vertical="top" wrapText="1"/>
    </xf>
    <xf numFmtId="0" fontId="12" fillId="9" borderId="1" applyAlignment="1" pivotButton="0" quotePrefix="0" xfId="0">
      <alignment horizontal="left"/>
    </xf>
    <xf numFmtId="4" fontId="12" fillId="9" borderId="1" applyAlignment="1" pivotButton="0" quotePrefix="0" xfId="0">
      <alignment horizontal="center"/>
    </xf>
    <xf numFmtId="3" fontId="12" fillId="9" borderId="1" applyAlignment="1" pivotButton="0" quotePrefix="0" xfId="0">
      <alignment horizontal="center"/>
    </xf>
    <xf numFmtId="4" fontId="11" fillId="13" borderId="1" applyAlignment="1" pivotButton="0" quotePrefix="0" xfId="0">
      <alignment horizontal="center"/>
    </xf>
    <xf numFmtId="0" fontId="11" fillId="13" borderId="0" applyAlignment="1" pivotButton="0" quotePrefix="0" xfId="0">
      <alignment vertical="center"/>
    </xf>
    <xf numFmtId="0" fontId="7" fillId="13" borderId="1" applyAlignment="1" pivotButton="0" quotePrefix="0" xfId="2">
      <alignment horizontal="center" vertical="center" wrapText="1"/>
    </xf>
    <xf numFmtId="165" fontId="14" fillId="13" borderId="1" applyAlignment="1" pivotButton="0" quotePrefix="0" xfId="4">
      <alignment horizontal="center" vertical="center" wrapText="1"/>
    </xf>
    <xf numFmtId="0" fontId="7" fillId="14" borderId="1" applyAlignment="1" pivotButton="0" quotePrefix="0" xfId="2">
      <alignment horizontal="center" vertical="center" wrapText="1"/>
    </xf>
    <xf numFmtId="165" fontId="14" fillId="14" borderId="1" applyAlignment="1" pivotButton="0" quotePrefix="0" xfId="4">
      <alignment horizontal="center" vertical="center" wrapText="1"/>
    </xf>
    <xf numFmtId="165" fontId="14" fillId="3" borderId="1" applyAlignment="1" pivotButton="0" quotePrefix="0" xfId="4">
      <alignment horizontal="center" vertical="center" wrapText="1"/>
    </xf>
    <xf numFmtId="9" fontId="7" fillId="13" borderId="1" applyAlignment="1" pivotButton="0" quotePrefix="0" xfId="5">
      <alignment horizontal="center" vertical="center" wrapText="1"/>
    </xf>
    <xf numFmtId="9" fontId="7" fillId="14" borderId="1" applyAlignment="1" pivotButton="0" quotePrefix="0" xfId="5">
      <alignment horizontal="center" vertical="center" wrapText="1"/>
    </xf>
    <xf numFmtId="9" fontId="7" fillId="3" borderId="1" applyAlignment="1" pivotButton="0" quotePrefix="0" xfId="5">
      <alignment horizontal="center" vertical="center" wrapText="1"/>
    </xf>
    <xf numFmtId="3" fontId="7" fillId="13" borderId="1" applyAlignment="1" pivotButton="0" quotePrefix="0" xfId="5">
      <alignment horizontal="center" vertical="center" wrapText="1"/>
    </xf>
    <xf numFmtId="3" fontId="7" fillId="14" borderId="1" applyAlignment="1" pivotButton="0" quotePrefix="0" xfId="5">
      <alignment horizontal="center" vertical="center" wrapText="1"/>
    </xf>
    <xf numFmtId="165" fontId="14" fillId="4" borderId="1" applyAlignment="1" pivotButton="0" quotePrefix="0" xfId="4">
      <alignment horizontal="center" vertical="center" wrapText="1"/>
    </xf>
    <xf numFmtId="0" fontId="2" fillId="2" borderId="1" applyAlignment="1" pivotButton="0" quotePrefix="0" xfId="0">
      <alignment horizontal="center" vertical="center" wrapText="1"/>
    </xf>
    <xf numFmtId="0" fontId="7" fillId="3" borderId="25" applyAlignment="1" pivotButton="0" quotePrefix="0" xfId="2">
      <alignment horizontal="center" vertical="center" wrapText="1"/>
    </xf>
    <xf numFmtId="0" fontId="7" fillId="15" borderId="25" applyAlignment="1" pivotButton="0" quotePrefix="0" xfId="2">
      <alignment horizontal="center" vertical="center" wrapText="1"/>
    </xf>
    <xf numFmtId="0" fontId="7" fillId="16" borderId="1" applyAlignment="1" pivotButton="0" quotePrefix="0" xfId="2">
      <alignment horizontal="center" vertical="center" wrapText="1"/>
    </xf>
    <xf numFmtId="0" fontId="19" fillId="0" borderId="0" pivotButton="0" quotePrefix="0" xfId="0"/>
    <xf numFmtId="0" fontId="12" fillId="10" borderId="0" applyAlignment="1" pivotButton="0" quotePrefix="0" xfId="0">
      <alignment horizontal="center"/>
    </xf>
    <xf numFmtId="0" fontId="12" fillId="14" borderId="0" applyAlignment="1" pivotButton="0" quotePrefix="0" xfId="0">
      <alignment horizontal="center"/>
    </xf>
    <xf numFmtId="0" fontId="2" fillId="2" borderId="16" applyAlignment="1" pivotButton="0" quotePrefix="0" xfId="0">
      <alignment horizontal="center" vertical="center" wrapText="1"/>
    </xf>
    <xf numFmtId="0" fontId="2" fillId="2" borderId="25" applyAlignment="1" pivotButton="0" quotePrefix="0" xfId="0">
      <alignment horizontal="center" vertical="center" wrapText="1"/>
    </xf>
    <xf numFmtId="0" fontId="5" fillId="5" borderId="25" applyAlignment="1" pivotButton="0" quotePrefix="0" xfId="2">
      <alignment vertical="top" wrapText="1"/>
    </xf>
    <xf numFmtId="164" fontId="14" fillId="7" borderId="25" applyAlignment="1" pivotButton="0" quotePrefix="0" xfId="4">
      <alignment horizontal="center" vertical="center" wrapText="1"/>
    </xf>
    <xf numFmtId="165" fontId="14" fillId="10" borderId="25" applyAlignment="1" pivotButton="0" quotePrefix="0" xfId="4">
      <alignment horizontal="center" vertical="center" wrapText="1"/>
    </xf>
    <xf numFmtId="165" fontId="14" fillId="7" borderId="25" applyAlignment="1" pivotButton="0" quotePrefix="0" xfId="4">
      <alignment horizontal="center" vertical="center" wrapText="1"/>
    </xf>
    <xf numFmtId="165" fontId="14" fillId="15" borderId="25" applyAlignment="1" pivotButton="0" quotePrefix="0" xfId="4">
      <alignment horizontal="center" vertical="center" wrapText="1"/>
    </xf>
    <xf numFmtId="165" fontId="14" fillId="3" borderId="25" applyAlignment="1" pivotButton="0" quotePrefix="0" xfId="4">
      <alignment horizontal="center" vertical="center" wrapText="1"/>
    </xf>
    <xf numFmtId="165" fontId="14" fillId="16" borderId="25" applyAlignment="1" pivotButton="0" quotePrefix="0" xfId="4">
      <alignment horizontal="center" vertical="center" wrapText="1"/>
    </xf>
    <xf numFmtId="0" fontId="7" fillId="16" borderId="25" applyAlignment="1" pivotButton="0" quotePrefix="0" xfId="2">
      <alignment horizontal="center" vertical="center" wrapText="1"/>
    </xf>
    <xf numFmtId="0" fontId="20" fillId="17" borderId="27" applyAlignment="1" pivotButton="0" quotePrefix="0" xfId="2">
      <alignment horizontal="left" vertical="center"/>
    </xf>
    <xf numFmtId="3" fontId="20" fillId="17" borderId="27" applyAlignment="1" pivotButton="0" quotePrefix="0" xfId="3">
      <alignment horizontal="left" vertical="center"/>
    </xf>
    <xf numFmtId="0" fontId="20" fillId="17" borderId="27" applyAlignment="1" pivotButton="0" quotePrefix="0" xfId="2">
      <alignment horizontal="left" vertical="top"/>
    </xf>
    <xf numFmtId="164" fontId="20" fillId="17" borderId="27" applyAlignment="1" pivotButton="0" quotePrefix="0" xfId="3">
      <alignment horizontal="left" vertical="center"/>
    </xf>
    <xf numFmtId="165" fontId="20" fillId="17" borderId="27" applyAlignment="1" pivotButton="0" quotePrefix="0" xfId="3">
      <alignment horizontal="left" vertical="center"/>
    </xf>
    <xf numFmtId="0" fontId="20" fillId="17" borderId="27" applyAlignment="1" pivotButton="0" quotePrefix="0" xfId="2">
      <alignment horizontal="left" vertical="top" wrapText="1"/>
    </xf>
    <xf numFmtId="164" fontId="20" fillId="17" borderId="27" applyAlignment="1" pivotButton="0" quotePrefix="0" xfId="4">
      <alignment horizontal="left" vertical="center"/>
    </xf>
    <xf numFmtId="165" fontId="20" fillId="17" borderId="27" applyAlignment="1" pivotButton="0" quotePrefix="0" xfId="4">
      <alignment horizontal="left" vertical="center"/>
    </xf>
    <xf numFmtId="9" fontId="20" fillId="17" borderId="27" applyAlignment="1" pivotButton="0" quotePrefix="0" xfId="5">
      <alignment horizontal="left" vertical="center" wrapText="1"/>
    </xf>
    <xf numFmtId="0" fontId="20" fillId="20" borderId="27" applyAlignment="1" pivotButton="0" quotePrefix="0" xfId="2">
      <alignment horizontal="left" vertical="center"/>
    </xf>
    <xf numFmtId="0" fontId="22" fillId="20" borderId="27" applyAlignment="1" pivotButton="0" quotePrefix="0" xfId="2">
      <alignment horizontal="left" vertical="center"/>
    </xf>
    <xf numFmtId="3" fontId="22" fillId="21" borderId="27" applyAlignment="1" pivotButton="0" quotePrefix="0" xfId="3">
      <alignment horizontal="center" vertical="center"/>
    </xf>
    <xf numFmtId="0" fontId="22" fillId="19" borderId="27" applyAlignment="1" pivotButton="0" quotePrefix="0" xfId="2">
      <alignment horizontal="center" vertical="top"/>
    </xf>
    <xf numFmtId="3" fontId="22" fillId="20" borderId="27" applyAlignment="1" pivotButton="0" quotePrefix="0" xfId="2">
      <alignment horizontal="left" vertical="center"/>
    </xf>
    <xf numFmtId="3" fontId="22" fillId="19" borderId="27" applyAlignment="1" pivotButton="0" quotePrefix="0" xfId="2">
      <alignment horizontal="center" vertical="top"/>
    </xf>
    <xf numFmtId="0" fontId="20" fillId="18" borderId="27" applyAlignment="1" pivotButton="0" quotePrefix="0" xfId="2">
      <alignment horizontal="left" vertical="center"/>
    </xf>
    <xf numFmtId="3" fontId="20" fillId="18" borderId="27" applyAlignment="1" pivotButton="0" quotePrefix="0" xfId="2">
      <alignment horizontal="center" vertical="center"/>
    </xf>
    <xf numFmtId="3" fontId="20" fillId="18" borderId="27" applyAlignment="1" pivotButton="0" quotePrefix="0" xfId="3">
      <alignment horizontal="center" vertical="center"/>
    </xf>
    <xf numFmtId="3" fontId="20" fillId="18" borderId="27" applyAlignment="1" pivotButton="0" quotePrefix="0" xfId="2">
      <alignment horizontal="center" vertical="top"/>
    </xf>
    <xf numFmtId="164" fontId="22" fillId="21" borderId="27" applyAlignment="1" pivotButton="0" quotePrefix="0" xfId="3">
      <alignment horizontal="center" vertical="center"/>
    </xf>
    <xf numFmtId="164" fontId="20" fillId="20" borderId="27" applyAlignment="1" pivotButton="0" quotePrefix="0" xfId="4">
      <alignment horizontal="left" vertical="center" wrapText="1"/>
    </xf>
    <xf numFmtId="165" fontId="22" fillId="21" borderId="27" applyAlignment="1" pivotButton="0" quotePrefix="0" xfId="4">
      <alignment horizontal="center" vertical="center" wrapText="1"/>
    </xf>
    <xf numFmtId="0" fontId="20" fillId="20" borderId="27" applyAlignment="1" pivotButton="0" quotePrefix="0" xfId="2">
      <alignment horizontal="left" vertical="top"/>
    </xf>
    <xf numFmtId="3" fontId="22" fillId="21" borderId="27" applyAlignment="1" pivotButton="0" quotePrefix="0" xfId="5">
      <alignment horizontal="center" vertical="center" wrapText="1"/>
    </xf>
    <xf numFmtId="0" fontId="20" fillId="18" borderId="27" applyAlignment="1" pivotButton="0" quotePrefix="0" xfId="2">
      <alignment horizontal="left" vertical="top"/>
    </xf>
    <xf numFmtId="0" fontId="20" fillId="6" borderId="27" applyAlignment="1" pivotButton="0" quotePrefix="0" xfId="2">
      <alignment horizontal="left" vertical="top"/>
    </xf>
    <xf numFmtId="164" fontId="20" fillId="6" borderId="27" applyAlignment="1" pivotButton="0" quotePrefix="0" xfId="2">
      <alignment horizontal="right" vertical="top"/>
    </xf>
    <xf numFmtId="164" fontId="20" fillId="19" borderId="27" applyAlignment="1" pivotButton="0" quotePrefix="0" xfId="2">
      <alignment horizontal="right" vertical="top"/>
    </xf>
    <xf numFmtId="164" fontId="20" fillId="19" borderId="27" applyAlignment="1" pivotButton="0" quotePrefix="0" xfId="2">
      <alignment horizontal="right" vertical="top" wrapText="1"/>
    </xf>
    <xf numFmtId="164" fontId="20" fillId="6" borderId="27" applyAlignment="1" pivotButton="0" quotePrefix="0" xfId="2">
      <alignment horizontal="right" vertical="top" wrapText="1"/>
    </xf>
    <xf numFmtId="166" fontId="20" fillId="6" borderId="27" applyAlignment="1" pivotButton="0" quotePrefix="0" xfId="2">
      <alignment horizontal="right" vertical="top" wrapText="1"/>
    </xf>
    <xf numFmtId="0" fontId="20" fillId="20" borderId="28" applyAlignment="1" pivotButton="0" quotePrefix="0" xfId="2">
      <alignment horizontal="left" vertical="center"/>
    </xf>
    <xf numFmtId="0" fontId="22" fillId="20" borderId="28" applyAlignment="1" pivotButton="0" quotePrefix="0" xfId="2">
      <alignment horizontal="left" vertical="center"/>
    </xf>
    <xf numFmtId="3" fontId="22" fillId="21" borderId="28" applyAlignment="1" pivotButton="0" quotePrefix="0" xfId="3">
      <alignment horizontal="center" vertical="center"/>
    </xf>
    <xf numFmtId="0" fontId="22" fillId="19" borderId="28" applyAlignment="1" pivotButton="0" quotePrefix="0" xfId="2">
      <alignment horizontal="center" vertical="top"/>
    </xf>
    <xf numFmtId="0" fontId="20" fillId="17" borderId="29" applyAlignment="1" pivotButton="0" quotePrefix="0" xfId="2">
      <alignment horizontal="left" vertical="center"/>
    </xf>
    <xf numFmtId="3" fontId="20" fillId="17" borderId="29" applyAlignment="1" pivotButton="0" quotePrefix="0" xfId="3">
      <alignment horizontal="left" vertical="center"/>
    </xf>
    <xf numFmtId="0" fontId="20" fillId="17" borderId="29" applyAlignment="1" pivotButton="0" quotePrefix="0" xfId="2">
      <alignment horizontal="left" vertical="top"/>
    </xf>
    <xf numFmtId="164" fontId="20" fillId="17" borderId="29" applyAlignment="1" pivotButton="0" quotePrefix="0" xfId="3">
      <alignment horizontal="left" vertical="center"/>
    </xf>
    <xf numFmtId="165" fontId="20" fillId="17" borderId="29" applyAlignment="1" pivotButton="0" quotePrefix="0" xfId="3">
      <alignment horizontal="left" vertical="center"/>
    </xf>
    <xf numFmtId="0" fontId="20" fillId="17" borderId="29" applyAlignment="1" pivotButton="0" quotePrefix="0" xfId="2">
      <alignment horizontal="left" vertical="top" wrapText="1"/>
    </xf>
    <xf numFmtId="164" fontId="20" fillId="17" borderId="29" applyAlignment="1" pivotButton="0" quotePrefix="0" xfId="4">
      <alignment horizontal="left" vertical="center"/>
    </xf>
    <xf numFmtId="165" fontId="20" fillId="17" borderId="29" applyAlignment="1" pivotButton="0" quotePrefix="0" xfId="4">
      <alignment horizontal="left" vertical="center"/>
    </xf>
    <xf numFmtId="9" fontId="20" fillId="17" borderId="29" applyAlignment="1" pivotButton="0" quotePrefix="0" xfId="5">
      <alignment horizontal="left" vertical="center" wrapText="1"/>
    </xf>
    <xf numFmtId="3" fontId="20" fillId="18" borderId="27" applyAlignment="1" pivotButton="0" quotePrefix="0" xfId="2">
      <alignment horizontal="left" vertical="center"/>
    </xf>
    <xf numFmtId="165" fontId="22" fillId="21" borderId="28" applyAlignment="1" pivotButton="0" quotePrefix="0" xfId="3">
      <alignment horizontal="center" vertical="center"/>
    </xf>
    <xf numFmtId="3" fontId="20" fillId="17" borderId="29" applyAlignment="1" pivotButton="0" quotePrefix="0" xfId="2">
      <alignment horizontal="left" vertical="center"/>
    </xf>
    <xf numFmtId="3" fontId="20" fillId="17" borderId="29" applyAlignment="1" pivotButton="0" quotePrefix="0" xfId="2">
      <alignment horizontal="left" vertical="top"/>
    </xf>
    <xf numFmtId="166" fontId="20" fillId="17" borderId="29" applyAlignment="1" pivotButton="0" quotePrefix="0" xfId="2">
      <alignment horizontal="left" vertical="top" wrapText="1"/>
    </xf>
    <xf numFmtId="0" fontId="20" fillId="20" borderId="28" applyAlignment="1" pivotButton="0" quotePrefix="0" xfId="2">
      <alignment horizontal="left" vertical="top"/>
    </xf>
    <xf numFmtId="165" fontId="22" fillId="21" borderId="28" applyAlignment="1" pivotButton="0" quotePrefix="0" xfId="4">
      <alignment horizontal="center" vertical="center" wrapText="1"/>
    </xf>
    <xf numFmtId="3" fontId="20" fillId="18" borderId="27" applyAlignment="1" pivotButton="0" quotePrefix="0" xfId="2">
      <alignment horizontal="left" vertical="top"/>
    </xf>
    <xf numFmtId="0" fontId="22" fillId="20" borderId="28" applyAlignment="1" pivotButton="0" quotePrefix="0" xfId="2">
      <alignment horizontal="left" vertical="top"/>
    </xf>
    <xf numFmtId="0" fontId="22" fillId="21" borderId="28" applyAlignment="1" pivotButton="0" quotePrefix="0" xfId="2">
      <alignment horizontal="center" vertical="top"/>
    </xf>
    <xf numFmtId="0" fontId="20" fillId="18" borderId="28" applyAlignment="1" pivotButton="0" quotePrefix="0" xfId="2">
      <alignment horizontal="left" vertical="top"/>
    </xf>
    <xf numFmtId="3" fontId="20" fillId="18" borderId="28" applyAlignment="1" pivotButton="0" quotePrefix="0" xfId="2">
      <alignment horizontal="center" vertical="top"/>
    </xf>
    <xf numFmtId="164" fontId="20" fillId="6" borderId="27" applyAlignment="1" pivotButton="0" quotePrefix="0" xfId="2">
      <alignment horizontal="left" vertical="top"/>
    </xf>
    <xf numFmtId="164" fontId="20" fillId="3" borderId="27" applyAlignment="1" pivotButton="0" quotePrefix="0" xfId="2">
      <alignment horizontal="right" vertical="top"/>
    </xf>
    <xf numFmtId="0" fontId="20" fillId="0" borderId="0" applyAlignment="1" pivotButton="0" quotePrefix="0" xfId="2">
      <alignment vertical="top"/>
    </xf>
    <xf numFmtId="0" fontId="20" fillId="0" borderId="0" applyAlignment="1" pivotButton="0" quotePrefix="0" xfId="2">
      <alignment vertical="top" wrapText="1"/>
    </xf>
    <xf numFmtId="0" fontId="23" fillId="0" borderId="16" applyAlignment="1" pivotButton="0" quotePrefix="0" xfId="2">
      <alignment vertical="top"/>
    </xf>
    <xf numFmtId="0" fontId="23" fillId="0" borderId="16" applyAlignment="1" pivotButton="0" quotePrefix="0" xfId="2">
      <alignment vertical="top" wrapText="1"/>
    </xf>
    <xf numFmtId="0" fontId="23" fillId="0" borderId="16" applyAlignment="1" pivotButton="0" quotePrefix="0" xfId="2">
      <alignment horizontal="center" vertical="top" wrapText="1"/>
    </xf>
    <xf numFmtId="0" fontId="23" fillId="0" borderId="0" applyAlignment="1" pivotButton="0" quotePrefix="0" xfId="2">
      <alignment vertical="top"/>
    </xf>
    <xf numFmtId="0" fontId="23" fillId="0" borderId="0" applyAlignment="1" pivotButton="0" quotePrefix="0" xfId="2">
      <alignment vertical="top" wrapText="1"/>
    </xf>
    <xf numFmtId="0" fontId="23" fillId="0" borderId="0" applyAlignment="1" pivotButton="0" quotePrefix="0" xfId="2">
      <alignment horizontal="center" vertical="top" wrapText="1"/>
    </xf>
    <xf numFmtId="3" fontId="20" fillId="18" borderId="28" applyAlignment="1" pivotButton="0" quotePrefix="0" xfId="2">
      <alignment horizontal="left" vertical="top"/>
    </xf>
    <xf numFmtId="164" fontId="20" fillId="3" borderId="27" applyAlignment="1" pivotButton="0" quotePrefix="0" xfId="2">
      <alignment horizontal="center" vertical="top"/>
    </xf>
    <xf numFmtId="164" fontId="20" fillId="6" borderId="27" applyAlignment="1" pivotButton="0" quotePrefix="0" xfId="2">
      <alignment horizontal="center" vertical="top"/>
    </xf>
    <xf numFmtId="164" fontId="22" fillId="20" borderId="27" applyAlignment="1" pivotButton="0" quotePrefix="0" xfId="3">
      <alignment horizontal="right" vertical="center"/>
    </xf>
    <xf numFmtId="165" fontId="22" fillId="20" borderId="27" applyAlignment="1" pivotButton="0" quotePrefix="0" xfId="3">
      <alignment horizontal="right" vertical="center"/>
    </xf>
    <xf numFmtId="0" fontId="22" fillId="19" borderId="27" applyAlignment="1" pivotButton="0" quotePrefix="0" xfId="2">
      <alignment horizontal="right" vertical="top"/>
    </xf>
    <xf numFmtId="0" fontId="22" fillId="19" borderId="27" applyAlignment="1" pivotButton="0" quotePrefix="0" xfId="2">
      <alignment horizontal="right" vertical="top" wrapText="1"/>
    </xf>
    <xf numFmtId="164" fontId="22" fillId="20" borderId="27" applyAlignment="1" pivotButton="0" quotePrefix="0" xfId="4">
      <alignment horizontal="right" vertical="center"/>
    </xf>
    <xf numFmtId="165" fontId="22" fillId="20" borderId="27" applyAlignment="1" pivotButton="0" quotePrefix="0" xfId="4">
      <alignment horizontal="right" vertical="center"/>
    </xf>
    <xf numFmtId="3" fontId="22" fillId="20" borderId="27" applyAlignment="1" pivotButton="0" quotePrefix="0" xfId="5">
      <alignment horizontal="right" vertical="center" wrapText="1"/>
    </xf>
    <xf numFmtId="9" fontId="22" fillId="20" borderId="27" applyAlignment="1" pivotButton="0" quotePrefix="0" xfId="5">
      <alignment horizontal="right" vertical="center" wrapText="1"/>
    </xf>
    <xf numFmtId="3" fontId="22" fillId="20" borderId="27" applyAlignment="1" pivotButton="0" quotePrefix="0" xfId="3">
      <alignment horizontal="right" vertical="center"/>
    </xf>
    <xf numFmtId="3" fontId="22" fillId="19" borderId="27" applyAlignment="1" pivotButton="0" quotePrefix="0" xfId="2">
      <alignment horizontal="right" vertical="top"/>
    </xf>
    <xf numFmtId="3" fontId="22" fillId="19" borderId="27" applyAlignment="1" pivotButton="0" quotePrefix="0" xfId="2">
      <alignment horizontal="right" vertical="top" wrapText="1"/>
    </xf>
    <xf numFmtId="3" fontId="22" fillId="20" borderId="27" applyAlignment="1" pivotButton="0" quotePrefix="0" xfId="4">
      <alignment horizontal="right" vertical="center"/>
    </xf>
    <xf numFmtId="166" fontId="22" fillId="20" borderId="27" applyAlignment="1" pivotButton="0" quotePrefix="0" xfId="5">
      <alignment horizontal="right" vertical="center" wrapText="1"/>
    </xf>
    <xf numFmtId="164" fontId="22" fillId="20" borderId="28" applyAlignment="1" pivotButton="0" quotePrefix="0" xfId="3">
      <alignment horizontal="right" vertical="center"/>
    </xf>
    <xf numFmtId="165" fontId="22" fillId="20" borderId="28" applyAlignment="1" pivotButton="0" quotePrefix="0" xfId="3">
      <alignment horizontal="right" vertical="center"/>
    </xf>
    <xf numFmtId="0" fontId="22" fillId="19" borderId="28" applyAlignment="1" pivotButton="0" quotePrefix="0" xfId="2">
      <alignment horizontal="right" vertical="top"/>
    </xf>
    <xf numFmtId="0" fontId="22" fillId="19" borderId="28" applyAlignment="1" pivotButton="0" quotePrefix="0" xfId="2">
      <alignment horizontal="right" vertical="top" wrapText="1"/>
    </xf>
    <xf numFmtId="164" fontId="22" fillId="20" borderId="28" applyAlignment="1" pivotButton="0" quotePrefix="0" xfId="4">
      <alignment horizontal="right" vertical="center"/>
    </xf>
    <xf numFmtId="165" fontId="22" fillId="20" borderId="28" applyAlignment="1" pivotButton="0" quotePrefix="0" xfId="4">
      <alignment horizontal="right" vertical="center"/>
    </xf>
    <xf numFmtId="9" fontId="22" fillId="20" borderId="28" applyAlignment="1" pivotButton="0" quotePrefix="0" xfId="5">
      <alignment horizontal="right" vertical="center" wrapText="1"/>
    </xf>
    <xf numFmtId="3" fontId="20" fillId="18" borderId="27" applyAlignment="1" pivotButton="0" quotePrefix="0" xfId="3">
      <alignment horizontal="right" vertical="center"/>
    </xf>
    <xf numFmtId="3" fontId="20" fillId="18" borderId="27" applyAlignment="1" pivotButton="0" quotePrefix="0" xfId="2">
      <alignment horizontal="right" vertical="top"/>
    </xf>
    <xf numFmtId="3" fontId="20" fillId="18" borderId="27" applyAlignment="1" pivotButton="0" quotePrefix="0" xfId="2">
      <alignment horizontal="right" vertical="top" wrapText="1"/>
    </xf>
    <xf numFmtId="3" fontId="20" fillId="18" borderId="27" applyAlignment="1" pivotButton="0" quotePrefix="0" xfId="4">
      <alignment horizontal="right" vertical="center"/>
    </xf>
    <xf numFmtId="166" fontId="20" fillId="18" borderId="27" applyAlignment="1" pivotButton="0" quotePrefix="0" xfId="5">
      <alignment horizontal="right" vertical="center" wrapText="1"/>
    </xf>
    <xf numFmtId="9" fontId="22" fillId="20" borderId="27" applyAlignment="1" pivotButton="0" quotePrefix="0" xfId="5">
      <alignment horizontal="right" vertical="top" wrapText="1"/>
    </xf>
    <xf numFmtId="3" fontId="20" fillId="18" borderId="27" applyAlignment="1" pivotButton="0" quotePrefix="0" xfId="2">
      <alignment horizontal="right" vertical="center"/>
    </xf>
    <xf numFmtId="166" fontId="20" fillId="18" borderId="27" applyAlignment="1" pivotButton="0" quotePrefix="0" xfId="2">
      <alignment horizontal="right" vertical="top" wrapText="1"/>
    </xf>
    <xf numFmtId="164" fontId="22" fillId="20" borderId="27" applyAlignment="1" pivotButton="0" quotePrefix="0" xfId="4">
      <alignment horizontal="right" vertical="center" wrapText="1"/>
    </xf>
    <xf numFmtId="165" fontId="22" fillId="20" borderId="27" applyAlignment="1" pivotButton="0" quotePrefix="0" xfId="4">
      <alignment horizontal="right" vertical="center" wrapText="1"/>
    </xf>
    <xf numFmtId="164" fontId="22" fillId="20" borderId="28" applyAlignment="1" pivotButton="0" quotePrefix="0" xfId="4">
      <alignment horizontal="right" vertical="center" wrapText="1"/>
    </xf>
    <xf numFmtId="165" fontId="22" fillId="20" borderId="28" applyAlignment="1" pivotButton="0" quotePrefix="0" xfId="4">
      <alignment horizontal="right" vertical="center" wrapText="1"/>
    </xf>
    <xf numFmtId="0" fontId="22" fillId="20" borderId="28" applyAlignment="1" pivotButton="0" quotePrefix="0" xfId="2">
      <alignment horizontal="right" vertical="top"/>
    </xf>
    <xf numFmtId="0" fontId="22" fillId="20" borderId="28" applyAlignment="1" pivotButton="0" quotePrefix="0" xfId="2">
      <alignment horizontal="right" vertical="top" wrapText="1"/>
    </xf>
    <xf numFmtId="3" fontId="20" fillId="18" borderId="28" applyAlignment="1" pivotButton="0" quotePrefix="0" xfId="2">
      <alignment horizontal="right" vertical="top"/>
    </xf>
    <xf numFmtId="3" fontId="20" fillId="18" borderId="28" applyAlignment="1" pivotButton="0" quotePrefix="0" xfId="2">
      <alignment horizontal="right" vertical="top" wrapText="1"/>
    </xf>
    <xf numFmtId="166" fontId="20" fillId="18" borderId="28" applyAlignment="1" pivotButton="0" quotePrefix="0" xfId="2">
      <alignment horizontal="right" vertical="top" wrapText="1"/>
    </xf>
    <xf numFmtId="164" fontId="20" fillId="3" borderId="27" applyAlignment="1" pivotButton="0" quotePrefix="0" xfId="2">
      <alignment horizontal="right" vertical="top" wrapText="1"/>
    </xf>
    <xf numFmtId="164" fontId="20" fillId="22" borderId="27" applyAlignment="1" pivotButton="0" quotePrefix="0" xfId="2">
      <alignment horizontal="right" vertical="top"/>
    </xf>
    <xf numFmtId="164" fontId="20" fillId="22" borderId="27" applyAlignment="1" pivotButton="0" quotePrefix="0" xfId="2">
      <alignment horizontal="right" vertical="top" wrapText="1"/>
    </xf>
    <xf numFmtId="164" fontId="20" fillId="23" borderId="27" applyAlignment="1" pivotButton="0" quotePrefix="0" xfId="2">
      <alignment horizontal="right" vertical="top"/>
    </xf>
    <xf numFmtId="164" fontId="20" fillId="23" borderId="27" applyAlignment="1" pivotButton="0" quotePrefix="0" xfId="2">
      <alignment horizontal="right" vertical="top" wrapText="1"/>
    </xf>
    <xf numFmtId="0" fontId="4" fillId="0" borderId="30" applyAlignment="1" pivotButton="0" quotePrefix="0" xfId="2">
      <alignment horizontal="left" vertical="center"/>
    </xf>
    <xf numFmtId="3" fontId="4" fillId="0" borderId="0" applyAlignment="1" pivotButton="0" quotePrefix="0" xfId="2">
      <alignment horizontal="left" vertical="center"/>
    </xf>
    <xf numFmtId="166" fontId="4" fillId="0" borderId="0" applyAlignment="1" pivotButton="0" quotePrefix="0" xfId="2">
      <alignment horizontal="left" vertical="center"/>
    </xf>
    <xf numFmtId="0" fontId="26" fillId="24" borderId="30" applyAlignment="1" pivotButton="0" quotePrefix="0" xfId="0">
      <alignment horizontal="center" vertical="center" wrapText="1"/>
    </xf>
    <xf numFmtId="3" fontId="22" fillId="20" borderId="32" applyAlignment="1" pivotButton="0" quotePrefix="0" xfId="2">
      <alignment horizontal="right" vertical="center"/>
    </xf>
    <xf numFmtId="166" fontId="22" fillId="20" borderId="32" applyAlignment="1" pivotButton="0" quotePrefix="0" xfId="2">
      <alignment horizontal="right" vertical="center"/>
    </xf>
    <xf numFmtId="3" fontId="22" fillId="20" borderId="33" applyAlignment="1" pivotButton="0" quotePrefix="0" xfId="2">
      <alignment horizontal="right" vertical="center"/>
    </xf>
    <xf numFmtId="3" fontId="22" fillId="20" borderId="37" applyAlignment="1" pivotButton="0" quotePrefix="0" xfId="2">
      <alignment horizontal="right" vertical="center"/>
    </xf>
    <xf numFmtId="166" fontId="22" fillId="20" borderId="37" applyAlignment="1" pivotButton="0" quotePrefix="0" xfId="2">
      <alignment horizontal="right" vertical="center"/>
    </xf>
    <xf numFmtId="3" fontId="22" fillId="20" borderId="38" applyAlignment="1" pivotButton="0" quotePrefix="0" xfId="2">
      <alignment horizontal="right" vertical="center"/>
    </xf>
    <xf numFmtId="0" fontId="22" fillId="20" borderId="31" applyAlignment="1" pivotButton="0" quotePrefix="0" xfId="2">
      <alignment horizontal="left" vertical="center"/>
    </xf>
    <xf numFmtId="0" fontId="22" fillId="20" borderId="34" applyAlignment="1" pivotButton="0" quotePrefix="0" xfId="2">
      <alignment horizontal="left" vertical="center"/>
    </xf>
    <xf numFmtId="0" fontId="22" fillId="20" borderId="36" applyAlignment="1" pivotButton="0" quotePrefix="0" xfId="2">
      <alignment horizontal="left" vertical="center"/>
    </xf>
    <xf numFmtId="164" fontId="22" fillId="23" borderId="27" applyAlignment="1" pivotButton="0" quotePrefix="0" xfId="3">
      <alignment horizontal="right" vertical="center"/>
    </xf>
    <xf numFmtId="3" fontId="22" fillId="23" borderId="27" applyAlignment="1" pivotButton="0" quotePrefix="0" xfId="5">
      <alignment horizontal="right" vertical="center" wrapText="1"/>
    </xf>
    <xf numFmtId="165" fontId="22" fillId="23" borderId="28" applyAlignment="1" pivotButton="0" quotePrefix="0" xfId="4">
      <alignment horizontal="right" vertical="center"/>
    </xf>
    <xf numFmtId="0" fontId="22" fillId="23" borderId="28" applyAlignment="1" pivotButton="0" quotePrefix="0" xfId="2">
      <alignment horizontal="right" vertical="top" wrapText="1"/>
    </xf>
    <xf numFmtId="164" fontId="22" fillId="3" borderId="27" applyAlignment="1" pivotButton="0" quotePrefix="0" xfId="3">
      <alignment horizontal="right" vertical="center"/>
    </xf>
    <xf numFmtId="0" fontId="22" fillId="3" borderId="28" applyAlignment="1" pivotButton="0" quotePrefix="0" xfId="2">
      <alignment horizontal="right" vertical="top" wrapText="1"/>
    </xf>
    <xf numFmtId="3" fontId="22" fillId="26" borderId="27" applyAlignment="1" pivotButton="0" quotePrefix="0" xfId="5">
      <alignment horizontal="right" vertical="center" wrapText="1"/>
    </xf>
    <xf numFmtId="3" fontId="22" fillId="26" borderId="28" applyAlignment="1" pivotButton="0" quotePrefix="0" xfId="5">
      <alignment horizontal="right" vertical="center" wrapText="1"/>
    </xf>
    <xf numFmtId="164" fontId="22" fillId="26" borderId="28" applyAlignment="1" pivotButton="0" quotePrefix="0" xfId="4">
      <alignment horizontal="right" vertical="center"/>
    </xf>
    <xf numFmtId="164" fontId="22" fillId="26" borderId="27" applyAlignment="1" pivotButton="0" quotePrefix="0" xfId="3">
      <alignment horizontal="right" vertical="center"/>
    </xf>
    <xf numFmtId="164" fontId="22" fillId="26" borderId="28" applyAlignment="1" pivotButton="0" quotePrefix="0" xfId="3">
      <alignment horizontal="right" vertical="center"/>
    </xf>
    <xf numFmtId="0" fontId="22" fillId="26" borderId="28" applyAlignment="1" pivotButton="0" quotePrefix="0" xfId="2">
      <alignment horizontal="right" vertical="top" wrapText="1"/>
    </xf>
    <xf numFmtId="3" fontId="22" fillId="23" borderId="28" applyAlignment="1" pivotButton="0" quotePrefix="0" xfId="5">
      <alignment horizontal="right" vertical="center" wrapText="1"/>
    </xf>
    <xf numFmtId="164" fontId="22" fillId="23" borderId="28" applyAlignment="1" pivotButton="0" quotePrefix="0" xfId="3">
      <alignment horizontal="right" vertical="center"/>
    </xf>
    <xf numFmtId="9" fontId="22" fillId="3" borderId="27" applyAlignment="1" pivotButton="0" quotePrefix="0" xfId="5">
      <alignment horizontal="right" vertical="center" wrapText="1"/>
    </xf>
    <xf numFmtId="166" fontId="22" fillId="3" borderId="27" applyAlignment="1" pivotButton="0" quotePrefix="0" xfId="5">
      <alignment horizontal="right" vertical="center" wrapText="1"/>
    </xf>
    <xf numFmtId="9" fontId="22" fillId="3" borderId="28" applyAlignment="1" pivotButton="0" quotePrefix="0" xfId="5">
      <alignment horizontal="right" vertical="center" wrapText="1"/>
    </xf>
    <xf numFmtId="10" fontId="22" fillId="3" borderId="27" applyAlignment="1" pivotButton="0" quotePrefix="0" xfId="5">
      <alignment horizontal="right" vertical="center" wrapText="1"/>
    </xf>
    <xf numFmtId="164" fontId="22" fillId="3" borderId="28" applyAlignment="1" pivotButton="0" quotePrefix="0" xfId="3">
      <alignment horizontal="right" vertical="center"/>
    </xf>
    <xf numFmtId="9" fontId="22" fillId="15" borderId="27" applyAlignment="1" pivotButton="0" quotePrefix="0" xfId="5">
      <alignment horizontal="right" vertical="center" wrapText="1"/>
    </xf>
    <xf numFmtId="166" fontId="22" fillId="15" borderId="27" applyAlignment="1" pivotButton="0" quotePrefix="0" xfId="5">
      <alignment horizontal="right" vertical="center" wrapText="1"/>
    </xf>
    <xf numFmtId="9" fontId="22" fillId="15" borderId="28" applyAlignment="1" pivotButton="0" quotePrefix="0" xfId="5">
      <alignment horizontal="right" vertical="center" wrapText="1"/>
    </xf>
    <xf numFmtId="164" fontId="22" fillId="15" borderId="27" applyAlignment="1" pivotButton="0" quotePrefix="0" xfId="3">
      <alignment horizontal="right" vertical="center"/>
    </xf>
    <xf numFmtId="164" fontId="22" fillId="15" borderId="28" applyAlignment="1" pivotButton="0" quotePrefix="0" xfId="3">
      <alignment horizontal="right" vertical="center"/>
    </xf>
    <xf numFmtId="0" fontId="22" fillId="15" borderId="28" applyAlignment="1" pivotButton="0" quotePrefix="0" xfId="2">
      <alignment horizontal="right" vertical="top" wrapText="1"/>
    </xf>
    <xf numFmtId="0" fontId="4" fillId="15" borderId="0" applyAlignment="1" pivotButton="0" quotePrefix="0" xfId="2">
      <alignment horizontal="center" vertical="top" wrapText="1"/>
    </xf>
    <xf numFmtId="9" fontId="22" fillId="16" borderId="27" applyAlignment="1" pivotButton="0" quotePrefix="0" xfId="5">
      <alignment horizontal="right" vertical="center" wrapText="1"/>
    </xf>
    <xf numFmtId="166" fontId="22" fillId="16" borderId="27" applyAlignment="1" pivotButton="0" quotePrefix="0" xfId="5">
      <alignment horizontal="right" vertical="center" wrapText="1"/>
    </xf>
    <xf numFmtId="9" fontId="22" fillId="16" borderId="28" applyAlignment="1" pivotButton="0" quotePrefix="0" xfId="5">
      <alignment horizontal="right" vertical="center" wrapText="1"/>
    </xf>
    <xf numFmtId="164" fontId="22" fillId="16" borderId="27" applyAlignment="1" pivotButton="0" quotePrefix="0" xfId="3">
      <alignment horizontal="right" vertical="center"/>
    </xf>
    <xf numFmtId="164" fontId="22" fillId="16" borderId="28" applyAlignment="1" pivotButton="0" quotePrefix="0" xfId="3">
      <alignment horizontal="right" vertical="center"/>
    </xf>
    <xf numFmtId="0" fontId="22" fillId="16" borderId="28" applyAlignment="1" pivotButton="0" quotePrefix="0" xfId="2">
      <alignment horizontal="right" vertical="top" wrapText="1"/>
    </xf>
    <xf numFmtId="0" fontId="4" fillId="16" borderId="0" applyAlignment="1" pivotButton="0" quotePrefix="0" xfId="2">
      <alignment vertical="top" wrapText="1"/>
    </xf>
    <xf numFmtId="3" fontId="20" fillId="18" borderId="27" applyAlignment="1" pivotButton="0" quotePrefix="0" xfId="5">
      <alignment horizontal="right" vertical="center" wrapText="1"/>
    </xf>
    <xf numFmtId="166" fontId="20" fillId="6" borderId="28" applyAlignment="1" pivotButton="0" quotePrefix="0" xfId="2">
      <alignment horizontal="right" vertical="top" wrapText="1"/>
    </xf>
    <xf numFmtId="3" fontId="30" fillId="27" borderId="43" applyAlignment="1" pivotButton="0" quotePrefix="0" xfId="0">
      <alignment horizontal="center"/>
    </xf>
    <xf numFmtId="0" fontId="28" fillId="20" borderId="44" applyAlignment="1" pivotButton="0" quotePrefix="0" xfId="0">
      <alignment horizontal="right"/>
    </xf>
    <xf numFmtId="0" fontId="31" fillId="28" borderId="47" applyAlignment="1" pivotButton="0" quotePrefix="0" xfId="0">
      <alignment horizontal="center"/>
    </xf>
    <xf numFmtId="3" fontId="31" fillId="28" borderId="47" applyAlignment="1" pivotButton="0" quotePrefix="0" xfId="0">
      <alignment horizontal="center"/>
    </xf>
    <xf numFmtId="166" fontId="31" fillId="28" borderId="47" applyAlignment="1" pivotButton="0" quotePrefix="0" xfId="5">
      <alignment horizontal="center"/>
    </xf>
    <xf numFmtId="0" fontId="28" fillId="20" borderId="48" applyAlignment="1" pivotButton="0" quotePrefix="0" xfId="0">
      <alignment horizontal="right"/>
    </xf>
    <xf numFmtId="3" fontId="31" fillId="28" borderId="49" applyAlignment="1" pivotButton="0" quotePrefix="0" xfId="0">
      <alignment horizontal="center"/>
    </xf>
    <xf numFmtId="3" fontId="31" fillId="28" borderId="50" applyAlignment="1" pivotButton="0" quotePrefix="0" xfId="0">
      <alignment horizontal="center"/>
    </xf>
    <xf numFmtId="0" fontId="28" fillId="29" borderId="43" applyAlignment="1" pivotButton="0" quotePrefix="0" xfId="0">
      <alignment horizontal="left"/>
    </xf>
    <xf numFmtId="3" fontId="28" fillId="29" borderId="43" applyAlignment="1" pivotButton="0" quotePrefix="0" xfId="0">
      <alignment horizontal="right"/>
    </xf>
    <xf numFmtId="166" fontId="28" fillId="29" borderId="43" applyAlignment="1" pivotButton="0" quotePrefix="0" xfId="5">
      <alignment horizontal="center"/>
    </xf>
    <xf numFmtId="3" fontId="28" fillId="29" borderId="45" applyAlignment="1" pivotButton="0" quotePrefix="0" xfId="0">
      <alignment horizontal="right"/>
    </xf>
    <xf numFmtId="3" fontId="28" fillId="29" borderId="46" applyAlignment="1" pivotButton="0" quotePrefix="0" xfId="0">
      <alignment horizontal="right"/>
    </xf>
    <xf numFmtId="0" fontId="29" fillId="0" borderId="51" applyAlignment="1" pivotButton="0" quotePrefix="0" xfId="0">
      <alignment horizontal="left"/>
    </xf>
    <xf numFmtId="3" fontId="29" fillId="0" borderId="51" applyAlignment="1" pivotButton="0" quotePrefix="0" xfId="0">
      <alignment horizontal="right"/>
    </xf>
    <xf numFmtId="166" fontId="29" fillId="0" borderId="51" applyAlignment="1" pivotButton="0" quotePrefix="0" xfId="5">
      <alignment horizontal="center"/>
    </xf>
    <xf numFmtId="0" fontId="29" fillId="20" borderId="52" applyAlignment="1" pivotButton="0" quotePrefix="0" xfId="0">
      <alignment horizontal="right"/>
    </xf>
    <xf numFmtId="3" fontId="29" fillId="0" borderId="53" applyAlignment="1" pivotButton="0" quotePrefix="0" xfId="0">
      <alignment horizontal="right"/>
    </xf>
    <xf numFmtId="3" fontId="29" fillId="0" borderId="54" applyAlignment="1" pivotButton="0" quotePrefix="0" xfId="0">
      <alignment horizontal="right"/>
    </xf>
    <xf numFmtId="0" fontId="28" fillId="29" borderId="55" applyAlignment="1" pivotButton="0" quotePrefix="0" xfId="0">
      <alignment horizontal="left"/>
    </xf>
    <xf numFmtId="3" fontId="28" fillId="29" borderId="55" applyAlignment="1" pivotButton="0" quotePrefix="0" xfId="0">
      <alignment horizontal="right"/>
    </xf>
    <xf numFmtId="166" fontId="28" fillId="29" borderId="55" applyAlignment="1" pivotButton="0" quotePrefix="0" xfId="5">
      <alignment horizontal="center"/>
    </xf>
    <xf numFmtId="0" fontId="28" fillId="20" borderId="56" applyAlignment="1" pivotButton="0" quotePrefix="0" xfId="0">
      <alignment horizontal="right"/>
    </xf>
    <xf numFmtId="3" fontId="28" fillId="29" borderId="57" applyAlignment="1" pivotButton="0" quotePrefix="0" xfId="0">
      <alignment horizontal="right"/>
    </xf>
    <xf numFmtId="3" fontId="28" fillId="29" borderId="58" applyAlignment="1" pivotButton="0" quotePrefix="0" xfId="0">
      <alignment horizontal="right"/>
    </xf>
    <xf numFmtId="0" fontId="28" fillId="29" borderId="59" applyAlignment="1" pivotButton="0" quotePrefix="0" xfId="0">
      <alignment horizontal="left"/>
    </xf>
    <xf numFmtId="3" fontId="28" fillId="29" borderId="59" applyAlignment="1" pivotButton="0" quotePrefix="0" xfId="0">
      <alignment horizontal="right"/>
    </xf>
    <xf numFmtId="166" fontId="28" fillId="29" borderId="59" applyAlignment="1" pivotButton="0" quotePrefix="0" xfId="5">
      <alignment horizontal="center"/>
    </xf>
    <xf numFmtId="0" fontId="28" fillId="20" borderId="60" applyAlignment="1" pivotButton="0" quotePrefix="0" xfId="0">
      <alignment horizontal="right"/>
    </xf>
    <xf numFmtId="3" fontId="28" fillId="29" borderId="61" applyAlignment="1" pivotButton="0" quotePrefix="0" xfId="0">
      <alignment horizontal="right"/>
    </xf>
    <xf numFmtId="3" fontId="28" fillId="29" borderId="62" applyAlignment="1" pivotButton="0" quotePrefix="0" xfId="0">
      <alignment horizontal="right"/>
    </xf>
    <xf numFmtId="0" fontId="28" fillId="30" borderId="55" applyAlignment="1" pivotButton="0" quotePrefix="0" xfId="0">
      <alignment horizontal="left"/>
    </xf>
    <xf numFmtId="3" fontId="28" fillId="30" borderId="55" applyAlignment="1" pivotButton="0" quotePrefix="0" xfId="0">
      <alignment horizontal="right"/>
    </xf>
    <xf numFmtId="166" fontId="28" fillId="30" borderId="55" applyAlignment="1" pivotButton="0" quotePrefix="0" xfId="5">
      <alignment horizontal="center"/>
    </xf>
    <xf numFmtId="3" fontId="28" fillId="30" borderId="57" applyAlignment="1" pivotButton="0" quotePrefix="0" xfId="0">
      <alignment horizontal="right"/>
    </xf>
    <xf numFmtId="3" fontId="28" fillId="30" borderId="58" applyAlignment="1" pivotButton="0" quotePrefix="0" xfId="0">
      <alignment horizontal="right"/>
    </xf>
    <xf numFmtId="0" fontId="29" fillId="0" borderId="55" applyAlignment="1" pivotButton="0" quotePrefix="0" xfId="0">
      <alignment horizontal="left"/>
    </xf>
    <xf numFmtId="3" fontId="29" fillId="0" borderId="55" applyAlignment="1" pivotButton="0" quotePrefix="0" xfId="0">
      <alignment horizontal="right"/>
    </xf>
    <xf numFmtId="166" fontId="29" fillId="0" borderId="55" applyAlignment="1" pivotButton="0" quotePrefix="0" xfId="5">
      <alignment horizontal="center"/>
    </xf>
    <xf numFmtId="0" fontId="29" fillId="20" borderId="56" applyAlignment="1" pivotButton="0" quotePrefix="0" xfId="0">
      <alignment horizontal="right"/>
    </xf>
    <xf numFmtId="3" fontId="29" fillId="0" borderId="57" applyAlignment="1" pivotButton="0" quotePrefix="0" xfId="0">
      <alignment horizontal="right"/>
    </xf>
    <xf numFmtId="3" fontId="29" fillId="0" borderId="58" applyAlignment="1" pivotButton="0" quotePrefix="0" xfId="0">
      <alignment horizontal="right"/>
    </xf>
    <xf numFmtId="0" fontId="29" fillId="0" borderId="59" applyAlignment="1" pivotButton="0" quotePrefix="0" xfId="0">
      <alignment horizontal="left"/>
    </xf>
    <xf numFmtId="3" fontId="29" fillId="0" borderId="59" applyAlignment="1" pivotButton="0" quotePrefix="0" xfId="0">
      <alignment horizontal="right"/>
    </xf>
    <xf numFmtId="166" fontId="29" fillId="0" borderId="59" applyAlignment="1" pivotButton="0" quotePrefix="0" xfId="5">
      <alignment horizontal="center"/>
    </xf>
    <xf numFmtId="0" fontId="29" fillId="20" borderId="60" applyAlignment="1" pivotButton="0" quotePrefix="0" xfId="0">
      <alignment horizontal="right"/>
    </xf>
    <xf numFmtId="3" fontId="29" fillId="0" borderId="61" applyAlignment="1" pivotButton="0" quotePrefix="0" xfId="0">
      <alignment horizontal="right"/>
    </xf>
    <xf numFmtId="3" fontId="29" fillId="0" borderId="62" applyAlignment="1" pivotButton="0" quotePrefix="0" xfId="0">
      <alignment horizontal="right"/>
    </xf>
    <xf numFmtId="0" fontId="29" fillId="0" borderId="51" applyAlignment="1" pivotButton="0" quotePrefix="0" xfId="0">
      <alignment horizontal="right"/>
    </xf>
    <xf numFmtId="0" fontId="29" fillId="0" borderId="53" applyAlignment="1" pivotButton="0" quotePrefix="0" xfId="0">
      <alignment horizontal="right"/>
    </xf>
    <xf numFmtId="0" fontId="29" fillId="0" borderId="54" applyAlignment="1" pivotButton="0" quotePrefix="0" xfId="0">
      <alignment horizontal="right"/>
    </xf>
    <xf numFmtId="0" fontId="31" fillId="28" borderId="55" applyAlignment="1" pivotButton="0" quotePrefix="0" xfId="0">
      <alignment horizontal="center"/>
    </xf>
    <xf numFmtId="3" fontId="31" fillId="28" borderId="55" applyAlignment="1" pivotButton="0" quotePrefix="0" xfId="0">
      <alignment horizontal="center"/>
    </xf>
    <xf numFmtId="166" fontId="31" fillId="28" borderId="55" applyAlignment="1" pivotButton="0" quotePrefix="0" xfId="5">
      <alignment horizontal="center"/>
    </xf>
    <xf numFmtId="3" fontId="31" fillId="28" borderId="57" applyAlignment="1" pivotButton="0" quotePrefix="0" xfId="0">
      <alignment horizontal="center"/>
    </xf>
    <xf numFmtId="3" fontId="31" fillId="28" borderId="58" applyAlignment="1" pivotButton="0" quotePrefix="0" xfId="0">
      <alignment horizontal="center"/>
    </xf>
    <xf numFmtId="0" fontId="27" fillId="20" borderId="0" applyAlignment="1" pivotButton="0" quotePrefix="0" xfId="2">
      <alignment horizontal="left" vertical="center" wrapText="1"/>
    </xf>
    <xf numFmtId="0" fontId="35" fillId="32" borderId="75" applyAlignment="1" pivotButton="0" quotePrefix="0" xfId="0">
      <alignment horizontal="center" vertical="center" wrapText="1"/>
    </xf>
    <xf numFmtId="3" fontId="36" fillId="3" borderId="81" applyAlignment="1" pivotButton="0" quotePrefix="0" xfId="0">
      <alignment horizontal="right"/>
    </xf>
    <xf numFmtId="3" fontId="36" fillId="3" borderId="82" applyAlignment="1" pivotButton="0" quotePrefix="0" xfId="0">
      <alignment horizontal="right"/>
    </xf>
    <xf numFmtId="0" fontId="33" fillId="32" borderId="75" applyAlignment="1" pivotButton="0" quotePrefix="0" xfId="0">
      <alignment vertical="center" wrapText="1"/>
    </xf>
    <xf numFmtId="0" fontId="34" fillId="32" borderId="78" applyAlignment="1" pivotButton="0" quotePrefix="0" xfId="0">
      <alignment horizontal="right" vertical="center" wrapText="1"/>
    </xf>
    <xf numFmtId="0" fontId="33" fillId="32" borderId="76" applyAlignment="1" pivotButton="0" quotePrefix="0" xfId="0">
      <alignment vertical="center" wrapText="1"/>
    </xf>
    <xf numFmtId="0" fontId="34" fillId="32" borderId="79" applyAlignment="1" pivotButton="0" quotePrefix="0" xfId="0">
      <alignment horizontal="right" vertical="center" wrapText="1"/>
    </xf>
    <xf numFmtId="0" fontId="37" fillId="31" borderId="73" applyAlignment="1" pivotButton="0" quotePrefix="0" xfId="0">
      <alignment horizontal="center" vertical="center" wrapText="1"/>
    </xf>
    <xf numFmtId="3" fontId="38" fillId="20" borderId="74" applyAlignment="1" pivotButton="0" quotePrefix="0" xfId="2">
      <alignment horizontal="right" vertical="center"/>
    </xf>
    <xf numFmtId="3" fontId="38" fillId="0" borderId="74" applyAlignment="1" pivotButton="0" quotePrefix="0" xfId="0">
      <alignment horizontal="right"/>
    </xf>
    <xf numFmtId="3" fontId="38" fillId="20" borderId="80" applyAlignment="1" pivotButton="0" quotePrefix="0" xfId="2">
      <alignment horizontal="right" vertical="center"/>
    </xf>
    <xf numFmtId="3" fontId="38" fillId="0" borderId="80" applyAlignment="1" pivotButton="0" quotePrefix="0" xfId="0">
      <alignment horizontal="right"/>
    </xf>
    <xf numFmtId="0" fontId="37" fillId="31" borderId="0" applyAlignment="1" pivotButton="0" quotePrefix="0" xfId="0">
      <alignment horizontal="center" vertical="center" wrapText="1"/>
    </xf>
    <xf numFmtId="0" fontId="37" fillId="31" borderId="83" applyAlignment="1" pivotButton="0" quotePrefix="0" xfId="0">
      <alignment horizontal="center" vertical="center" wrapText="1"/>
    </xf>
    <xf numFmtId="0" fontId="37" fillId="0" borderId="0" applyAlignment="1" pivotButton="0" quotePrefix="0" xfId="0">
      <alignment horizontal="center" vertical="center" wrapText="1"/>
    </xf>
    <xf numFmtId="0" fontId="0" fillId="0" borderId="0" applyAlignment="1" pivotButton="0" quotePrefix="0" xfId="0">
      <alignment vertical="center"/>
    </xf>
    <xf numFmtId="166" fontId="25" fillId="20" borderId="35" pivotButton="0" quotePrefix="0" xfId="0"/>
    <xf numFmtId="3" fontId="25" fillId="20" borderId="35" pivotButton="0" quotePrefix="0" xfId="0"/>
    <xf numFmtId="166" fontId="25" fillId="20" borderId="39" pivotButton="0" quotePrefix="0" xfId="0"/>
    <xf numFmtId="3" fontId="25" fillId="20" borderId="39" pivotButton="0" quotePrefix="0" xfId="0"/>
    <xf numFmtId="0" fontId="24" fillId="0" borderId="0" applyAlignment="1" pivotButton="0" quotePrefix="0" xfId="0">
      <alignment horizontal="center" vertical="center"/>
    </xf>
    <xf numFmtId="0" fontId="36" fillId="0" borderId="0" applyAlignment="1" pivotButton="0" quotePrefix="0" xfId="0">
      <alignment horizontal="center" vertical="center" wrapText="1"/>
    </xf>
    <xf numFmtId="0" fontId="36" fillId="33" borderId="0" applyAlignment="1" pivotButton="0" quotePrefix="0" xfId="0">
      <alignment horizontal="center" vertical="center" wrapText="1"/>
    </xf>
    <xf numFmtId="0" fontId="25" fillId="0" borderId="85" applyAlignment="1" pivotButton="0" quotePrefix="0" xfId="0">
      <alignment horizontal="left" wrapText="1"/>
    </xf>
    <xf numFmtId="0" fontId="25" fillId="0" borderId="86" applyAlignment="1" pivotButton="0" quotePrefix="0" xfId="0">
      <alignment horizontal="left" wrapText="1"/>
    </xf>
    <xf numFmtId="0" fontId="25" fillId="20" borderId="87" applyAlignment="1" pivotButton="0" quotePrefix="0" xfId="0">
      <alignment horizontal="left" wrapText="1"/>
    </xf>
    <xf numFmtId="0" fontId="36" fillId="33" borderId="21" applyAlignment="1" pivotButton="0" quotePrefix="0" xfId="0">
      <alignment horizontal="center" vertical="center" wrapText="1"/>
    </xf>
    <xf numFmtId="0" fontId="36" fillId="33" borderId="18" applyAlignment="1" pivotButton="0" quotePrefix="0" xfId="0">
      <alignment horizontal="center" vertical="center" wrapText="1"/>
    </xf>
    <xf numFmtId="0" fontId="25" fillId="20" borderId="71" applyAlignment="1" pivotButton="0" quotePrefix="0" xfId="0">
      <alignment horizontal="left"/>
    </xf>
    <xf numFmtId="166" fontId="25" fillId="20" borderId="89" pivotButton="0" quotePrefix="0" xfId="0"/>
    <xf numFmtId="0" fontId="25" fillId="20" borderId="72" applyAlignment="1" pivotButton="0" quotePrefix="0" xfId="0">
      <alignment horizontal="left"/>
    </xf>
    <xf numFmtId="166" fontId="25" fillId="20" borderId="90" pivotButton="0" quotePrefix="0" xfId="0"/>
    <xf numFmtId="0" fontId="25" fillId="20" borderId="91" applyAlignment="1" pivotButton="0" quotePrefix="0" xfId="0">
      <alignment horizontal="left"/>
    </xf>
    <xf numFmtId="3" fontId="25" fillId="20" borderId="92" pivotButton="0" quotePrefix="0" xfId="0"/>
    <xf numFmtId="166" fontId="25" fillId="20" borderId="92" pivotButton="0" quotePrefix="0" xfId="0"/>
    <xf numFmtId="166" fontId="25" fillId="20" borderId="93" pivotButton="0" quotePrefix="0" xfId="0"/>
    <xf numFmtId="0" fontId="37" fillId="31" borderId="94" applyAlignment="1" pivotButton="0" quotePrefix="0" xfId="0">
      <alignment horizontal="center" vertical="center" wrapText="1"/>
    </xf>
    <xf numFmtId="0" fontId="37" fillId="31" borderId="95" applyAlignment="1" pivotButton="0" quotePrefix="0" xfId="0">
      <alignment horizontal="center" vertical="center" wrapText="1"/>
    </xf>
    <xf numFmtId="0" fontId="38" fillId="20" borderId="96" applyAlignment="1" pivotButton="0" quotePrefix="0" xfId="2">
      <alignment horizontal="left" vertical="center"/>
    </xf>
    <xf numFmtId="3" fontId="39" fillId="0" borderId="97" applyAlignment="1" pivotButton="0" quotePrefix="0" xfId="0">
      <alignment horizontal="right"/>
    </xf>
    <xf numFmtId="3" fontId="39" fillId="0" borderId="98" applyAlignment="1" pivotButton="0" quotePrefix="0" xfId="0">
      <alignment horizontal="right"/>
    </xf>
    <xf numFmtId="0" fontId="21" fillId="3" borderId="99" applyAlignment="1" pivotButton="0" quotePrefix="0" xfId="2">
      <alignment horizontal="left" vertical="center"/>
    </xf>
    <xf numFmtId="3" fontId="36" fillId="3" borderId="70" applyAlignment="1" pivotButton="0" quotePrefix="0" xfId="0">
      <alignment horizontal="right"/>
    </xf>
    <xf numFmtId="3" fontId="36" fillId="3" borderId="100" applyAlignment="1" pivotButton="0" quotePrefix="0" xfId="0">
      <alignment horizontal="right"/>
    </xf>
    <xf numFmtId="3" fontId="38" fillId="0" borderId="96" applyAlignment="1" pivotButton="0" quotePrefix="0" xfId="0">
      <alignment horizontal="left"/>
    </xf>
    <xf numFmtId="3" fontId="21" fillId="3" borderId="101" applyAlignment="1" pivotButton="0" quotePrefix="0" xfId="0">
      <alignment horizontal="left"/>
    </xf>
    <xf numFmtId="3" fontId="20" fillId="17" borderId="27" applyAlignment="1" pivotButton="0" quotePrefix="0" xfId="5">
      <alignment horizontal="left" vertical="center" wrapText="1"/>
    </xf>
    <xf numFmtId="3" fontId="20" fillId="17" borderId="29" applyAlignment="1" pivotButton="0" quotePrefix="0" xfId="5">
      <alignment horizontal="left" vertical="center" wrapText="1"/>
    </xf>
    <xf numFmtId="3" fontId="20" fillId="17" borderId="29" applyAlignment="1" pivotButton="0" quotePrefix="0" xfId="2">
      <alignment horizontal="left" vertical="top" wrapText="1"/>
    </xf>
    <xf numFmtId="0" fontId="2" fillId="2" borderId="17" applyAlignment="1" pivotButton="0" quotePrefix="0" xfId="0">
      <alignment horizontal="center" vertical="center" wrapText="1"/>
    </xf>
    <xf numFmtId="3" fontId="27" fillId="20" borderId="27" applyAlignment="1" pivotButton="0" quotePrefix="0" xfId="2">
      <alignment horizontal="right" vertical="center"/>
    </xf>
    <xf numFmtId="3" fontId="27" fillId="18" borderId="27" applyAlignment="1" pivotButton="0" quotePrefix="0" xfId="2">
      <alignment horizontal="right" vertical="center"/>
    </xf>
    <xf numFmtId="3" fontId="27" fillId="17" borderId="29" applyAlignment="1" pivotButton="0" quotePrefix="0" xfId="2">
      <alignment horizontal="right" vertical="center"/>
    </xf>
    <xf numFmtId="3" fontId="27" fillId="18" borderId="27" applyAlignment="1" pivotButton="0" quotePrefix="0" xfId="2">
      <alignment horizontal="right" vertical="top"/>
    </xf>
    <xf numFmtId="3" fontId="27" fillId="18" borderId="28" applyAlignment="1" pivotButton="0" quotePrefix="0" xfId="2">
      <alignment horizontal="right" vertical="top"/>
    </xf>
    <xf numFmtId="3" fontId="27" fillId="20" borderId="28" applyAlignment="1" pivotButton="0" quotePrefix="0" xfId="2">
      <alignment horizontal="right" vertical="center"/>
    </xf>
    <xf numFmtId="3" fontId="27" fillId="17" borderId="29" applyAlignment="1" pivotButton="0" quotePrefix="0" xfId="2">
      <alignment horizontal="right" vertical="top"/>
    </xf>
    <xf numFmtId="3" fontId="27" fillId="20" borderId="28" applyAlignment="1" pivotButton="0" quotePrefix="0" xfId="2">
      <alignment horizontal="right" vertical="top"/>
    </xf>
    <xf numFmtId="3" fontId="27" fillId="6" borderId="27" applyAlignment="1" pivotButton="0" quotePrefix="0" xfId="2">
      <alignment horizontal="right" vertical="top"/>
    </xf>
    <xf numFmtId="3" fontId="27" fillId="0" borderId="0" applyAlignment="1" pivotButton="0" quotePrefix="0" xfId="2">
      <alignment horizontal="right" vertical="top"/>
    </xf>
    <xf numFmtId="3" fontId="27" fillId="0" borderId="16" applyAlignment="1" pivotButton="0" quotePrefix="0" xfId="2">
      <alignment horizontal="right" vertical="top"/>
    </xf>
    <xf numFmtId="0" fontId="38" fillId="18" borderId="96" applyAlignment="1" pivotButton="0" quotePrefix="0" xfId="2">
      <alignment horizontal="left" vertical="center"/>
    </xf>
    <xf numFmtId="3" fontId="38" fillId="18" borderId="74" applyAlignment="1" pivotButton="0" quotePrefix="0" xfId="2">
      <alignment horizontal="right" vertical="center"/>
    </xf>
    <xf numFmtId="3" fontId="38" fillId="18" borderId="74" applyAlignment="1" pivotButton="0" quotePrefix="0" xfId="0">
      <alignment horizontal="right"/>
    </xf>
    <xf numFmtId="3" fontId="38" fillId="18" borderId="84" applyAlignment="1" pivotButton="0" quotePrefix="0" xfId="0">
      <alignment horizontal="right"/>
    </xf>
    <xf numFmtId="3" fontId="39" fillId="18" borderId="97" applyAlignment="1" pivotButton="0" quotePrefix="0" xfId="0">
      <alignment horizontal="right"/>
    </xf>
    <xf numFmtId="3" fontId="38" fillId="18" borderId="96" applyAlignment="1" pivotButton="0" quotePrefix="0" xfId="0">
      <alignment horizontal="left"/>
    </xf>
    <xf numFmtId="3" fontId="21" fillId="7" borderId="102" applyAlignment="1" pivotButton="0" quotePrefix="0" xfId="0">
      <alignment horizontal="center" vertical="center" wrapText="1"/>
    </xf>
    <xf numFmtId="3" fontId="21" fillId="7" borderId="103" applyAlignment="1" pivotButton="0" quotePrefix="0" xfId="0">
      <alignment horizontal="center" vertical="center" wrapText="1"/>
    </xf>
    <xf numFmtId="3" fontId="21" fillId="26" borderId="104" applyAlignment="1" pivotButton="0" quotePrefix="0" xfId="0">
      <alignment horizontal="center" vertical="center" wrapText="1"/>
    </xf>
    <xf numFmtId="3" fontId="21" fillId="7" borderId="104" applyAlignment="1" pivotButton="0" quotePrefix="0" xfId="0">
      <alignment horizontal="center" vertical="center" wrapText="1"/>
    </xf>
    <xf numFmtId="3" fontId="21" fillId="23" borderId="104" applyAlignment="1" pivotButton="0" quotePrefix="0" xfId="0">
      <alignment horizontal="center" vertical="center" wrapText="1"/>
    </xf>
    <xf numFmtId="3" fontId="21" fillId="3" borderId="104" applyAlignment="1" pivotButton="0" quotePrefix="0" xfId="0">
      <alignment horizontal="center" vertical="center" wrapText="1"/>
    </xf>
    <xf numFmtId="3" fontId="21" fillId="7" borderId="105" applyAlignment="1" pivotButton="0" quotePrefix="0" xfId="0">
      <alignment horizontal="center" vertical="center" wrapText="1"/>
    </xf>
    <xf numFmtId="3" fontId="21" fillId="7" borderId="106" applyAlignment="1" pivotButton="0" quotePrefix="0" xfId="0">
      <alignment horizontal="center" vertical="center" wrapText="1"/>
    </xf>
    <xf numFmtId="0" fontId="10" fillId="0" borderId="1" applyAlignment="1" pivotButton="0" quotePrefix="0" xfId="2">
      <alignment horizontal="center" vertical="center"/>
    </xf>
    <xf numFmtId="0" fontId="41" fillId="0" borderId="0" pivotButton="0" quotePrefix="0" xfId="0"/>
    <xf numFmtId="0" fontId="21" fillId="0" borderId="0" applyAlignment="1" pivotButton="0" quotePrefix="0" xfId="2">
      <alignment vertical="top"/>
    </xf>
    <xf numFmtId="0" fontId="21" fillId="0" borderId="0" applyAlignment="1" pivotButton="0" quotePrefix="0" xfId="2">
      <alignment vertical="top" wrapText="1"/>
    </xf>
    <xf numFmtId="0" fontId="21" fillId="0" borderId="0" applyAlignment="1" pivotButton="0" quotePrefix="0" xfId="2">
      <alignment horizontal="center" vertical="top" wrapText="1"/>
    </xf>
    <xf numFmtId="0" fontId="15" fillId="0" borderId="42" applyAlignment="1" pivotButton="0" quotePrefix="0" xfId="2">
      <alignment vertical="top" wrapText="1"/>
    </xf>
    <xf numFmtId="0" fontId="37" fillId="31" borderId="110" applyAlignment="1" pivotButton="0" quotePrefix="0" xfId="0">
      <alignment horizontal="center" vertical="center" wrapText="1"/>
    </xf>
    <xf numFmtId="0" fontId="12" fillId="3" borderId="1" applyAlignment="1" pivotButton="0" quotePrefix="0" xfId="0">
      <alignment horizontal="center"/>
    </xf>
    <xf numFmtId="0" fontId="0" fillId="0" borderId="19" pivotButton="0" quotePrefix="0" xfId="0"/>
    <xf numFmtId="0" fontId="0" fillId="0" borderId="5" pivotButton="0" quotePrefix="0" xfId="0"/>
    <xf numFmtId="0" fontId="10" fillId="0" borderId="1" applyAlignment="1" pivotButton="0" quotePrefix="0" xfId="2">
      <alignment horizontal="center" vertical="center"/>
    </xf>
    <xf numFmtId="0" fontId="7" fillId="7" borderId="25" applyAlignment="1" pivotButton="0" quotePrefix="0" xfId="2">
      <alignment horizontal="center" vertical="center"/>
    </xf>
    <xf numFmtId="0" fontId="0" fillId="0" borderId="16" pivotButton="0" quotePrefix="0" xfId="0"/>
    <xf numFmtId="0" fontId="0" fillId="0" borderId="15" pivotButton="0" quotePrefix="0" xfId="0"/>
    <xf numFmtId="0" fontId="7" fillId="7" borderId="26" applyAlignment="1" pivotButton="0" quotePrefix="0" xfId="2">
      <alignment horizontal="center" vertical="center"/>
    </xf>
    <xf numFmtId="0" fontId="0" fillId="0" borderId="26" pivotButton="0" quotePrefix="0" xfId="0"/>
    <xf numFmtId="0" fontId="10" fillId="0" borderId="5" applyAlignment="1" pivotButton="0" quotePrefix="0" xfId="2">
      <alignment horizontal="center" vertical="center"/>
    </xf>
    <xf numFmtId="0" fontId="9" fillId="0" borderId="1" applyAlignment="1" pivotButton="0" quotePrefix="0" xfId="2">
      <alignment horizontal="center" vertical="center"/>
    </xf>
    <xf numFmtId="0" fontId="7" fillId="4" borderId="25" applyAlignment="1" pivotButton="0" quotePrefix="0" xfId="2">
      <alignment horizontal="center" vertical="center" wrapText="1"/>
    </xf>
    <xf numFmtId="0" fontId="7" fillId="7" borderId="15" applyAlignment="1" pivotButton="0" quotePrefix="0" xfId="2">
      <alignment horizontal="center" vertical="center"/>
    </xf>
    <xf numFmtId="0" fontId="0" fillId="0" borderId="0" applyAlignment="1" pivotButton="0" quotePrefix="0" xfId="0">
      <alignment horizontal="center" vertical="center"/>
    </xf>
    <xf numFmtId="0" fontId="8" fillId="0" borderId="0" applyAlignment="1" pivotButton="0" quotePrefix="0" xfId="2">
      <alignment vertical="top" wrapText="1"/>
    </xf>
    <xf numFmtId="0" fontId="9" fillId="0" borderId="23" applyAlignment="1" pivotButton="0" quotePrefix="0" xfId="2">
      <alignment horizontal="center" vertical="center"/>
    </xf>
    <xf numFmtId="0" fontId="0" fillId="0" borderId="24" pivotButton="0" quotePrefix="0" xfId="0"/>
    <xf numFmtId="0" fontId="0" fillId="0" borderId="23" pivotButton="0" quotePrefix="0" xfId="0"/>
    <xf numFmtId="0" fontId="10" fillId="0" borderId="23" applyAlignment="1" pivotButton="0" quotePrefix="0" xfId="2">
      <alignment horizontal="center" vertical="center"/>
    </xf>
    <xf numFmtId="3" fontId="21" fillId="34" borderId="109" applyAlignment="1" pivotButton="0" quotePrefix="0" xfId="0">
      <alignment horizontal="center" vertical="center"/>
    </xf>
    <xf numFmtId="0" fontId="0" fillId="0" borderId="107" pivotButton="0" quotePrefix="0" xfId="0"/>
    <xf numFmtId="0" fontId="0" fillId="0" borderId="108" pivotButton="0" quotePrefix="0" xfId="0"/>
    <xf numFmtId="0" fontId="9" fillId="0" borderId="5" applyAlignment="1" pivotButton="0" quotePrefix="0" xfId="2">
      <alignment horizontal="center" vertical="center"/>
    </xf>
    <xf numFmtId="0" fontId="27" fillId="20" borderId="113" applyAlignment="1" pivotButton="0" quotePrefix="0" xfId="0">
      <alignment horizontal="left" vertical="center" wrapText="1"/>
    </xf>
    <xf numFmtId="0" fontId="0" fillId="0" borderId="40" pivotButton="0" quotePrefix="0" xfId="0"/>
    <xf numFmtId="0" fontId="0" fillId="0" borderId="66" pivotButton="0" quotePrefix="0" xfId="0"/>
    <xf numFmtId="0" fontId="27" fillId="20" borderId="114" applyAlignment="1" pivotButton="0" quotePrefix="0" xfId="0">
      <alignment horizontal="left" vertical="center" wrapText="1"/>
    </xf>
    <xf numFmtId="0" fontId="0" fillId="0" borderId="41" pivotButton="0" quotePrefix="0" xfId="0"/>
    <xf numFmtId="0" fontId="0" fillId="0" borderId="67" pivotButton="0" quotePrefix="0" xfId="0"/>
    <xf numFmtId="0" fontId="24" fillId="24" borderId="110" applyAlignment="1" pivotButton="0" quotePrefix="0" xfId="0">
      <alignment horizontal="center" vertical="center"/>
    </xf>
    <xf numFmtId="0" fontId="0" fillId="0" borderId="63" pivotButton="0" quotePrefix="0" xfId="0"/>
    <xf numFmtId="0" fontId="0" fillId="0" borderId="88" pivotButton="0" quotePrefix="0" xfId="0"/>
    <xf numFmtId="0" fontId="32" fillId="31" borderId="111" applyAlignment="1" pivotButton="0" quotePrefix="0" xfId="0">
      <alignment horizontal="center" wrapText="1"/>
    </xf>
    <xf numFmtId="0" fontId="0" fillId="0" borderId="77" pivotButton="0" quotePrefix="0" xfId="0"/>
    <xf numFmtId="0" fontId="24" fillId="25" borderId="112" applyAlignment="1" pivotButton="0" quotePrefix="0" xfId="0">
      <alignment horizontal="center" vertical="center"/>
    </xf>
    <xf numFmtId="0" fontId="0" fillId="0" borderId="64" pivotButton="0" quotePrefix="0" xfId="0"/>
    <xf numFmtId="0" fontId="0" fillId="0" borderId="65" pivotButton="0" quotePrefix="0" xfId="0"/>
    <xf numFmtId="0" fontId="37" fillId="31" borderId="110" applyAlignment="1" pivotButton="0" quotePrefix="0" xfId="0">
      <alignment horizontal="center" vertical="center" wrapText="1"/>
    </xf>
    <xf numFmtId="0" fontId="27" fillId="20" borderId="115" applyAlignment="1" pivotButton="0" quotePrefix="0" xfId="0">
      <alignment horizontal="left" vertical="center" wrapText="1"/>
    </xf>
    <xf numFmtId="0" fontId="0" fillId="0" borderId="68" pivotButton="0" quotePrefix="0" xfId="0"/>
    <xf numFmtId="0" fontId="0" fillId="0" borderId="69" pivotButton="0" quotePrefix="0" xfId="0"/>
    <xf numFmtId="0" fontId="30" fillId="27" borderId="43" applyAlignment="1" pivotButton="0" quotePrefix="0" xfId="0">
      <alignment horizontal="center"/>
    </xf>
    <xf numFmtId="0" fontId="0" fillId="0" borderId="116" pivotButton="0" quotePrefix="0" xfId="0"/>
    <xf numFmtId="0" fontId="0" fillId="0" borderId="46" pivotButton="0" quotePrefix="0" xfId="0"/>
    <xf numFmtId="0" fontId="30" fillId="27" borderId="45" applyAlignment="1" pivotButton="0" quotePrefix="0" xfId="0">
      <alignment horizontal="center"/>
    </xf>
    <xf numFmtId="0" fontId="6" fillId="0" borderId="0" applyAlignment="1" pivotButton="0" quotePrefix="0" xfId="2">
      <alignment horizontal="left" vertical="center"/>
    </xf>
    <xf numFmtId="0" fontId="4" fillId="0" borderId="0" applyAlignment="1" pivotButton="0" quotePrefix="0" xfId="2">
      <alignment vertical="top"/>
    </xf>
    <xf numFmtId="0" fontId="4" fillId="3" borderId="1" applyAlignment="1" pivotButton="0" quotePrefix="0" xfId="2">
      <alignment vertical="top"/>
    </xf>
    <xf numFmtId="0" fontId="6" fillId="0" borderId="4" applyAlignment="1" pivotButton="0" quotePrefix="0" xfId="2">
      <alignment horizontal="left" vertical="center"/>
    </xf>
    <xf numFmtId="0" fontId="0" fillId="0" borderId="13" pivotButton="0" quotePrefix="0" xfId="0"/>
    <xf numFmtId="0" fontId="0" fillId="0" borderId="6" pivotButton="0" quotePrefix="0" xfId="0"/>
    <xf numFmtId="0" fontId="7" fillId="7" borderId="119" applyAlignment="1" pivotButton="0" quotePrefix="0" xfId="2">
      <alignment horizontal="center" vertical="center"/>
    </xf>
    <xf numFmtId="0" fontId="0" fillId="0" borderId="22" pivotButton="0" quotePrefix="0" xfId="0"/>
    <xf numFmtId="0" fontId="6" fillId="0" borderId="1" applyAlignment="1" pivotButton="0" quotePrefix="0" xfId="2">
      <alignment horizontal="left" vertical="center"/>
    </xf>
    <xf numFmtId="0" fontId="7" fillId="4" borderId="1" applyAlignment="1" pivotButton="0" quotePrefix="0" xfId="2">
      <alignment horizontal="center" vertical="center" wrapText="1"/>
    </xf>
    <xf numFmtId="0" fontId="7" fillId="7" borderId="1" applyAlignment="1" pivotButton="0" quotePrefix="0" xfId="2">
      <alignment horizontal="center" vertical="center"/>
    </xf>
    <xf numFmtId="0" fontId="4" fillId="0" borderId="1" applyAlignment="1" pivotButton="0" quotePrefix="0" xfId="2">
      <alignment vertical="top"/>
    </xf>
    <xf numFmtId="0" fontId="6" fillId="0" borderId="0" applyAlignment="1" pivotButton="0" quotePrefix="0" xfId="2">
      <alignment horizontal="center" vertical="center"/>
    </xf>
    <xf numFmtId="0" fontId="7" fillId="4" borderId="19" applyAlignment="1" pivotButton="0" quotePrefix="0" xfId="2">
      <alignment horizontal="center" vertical="center"/>
    </xf>
    <xf numFmtId="0" fontId="10" fillId="0" borderId="117" applyAlignment="1" pivotButton="0" quotePrefix="0" xfId="2">
      <alignment horizontal="center" vertical="center"/>
    </xf>
    <xf numFmtId="0" fontId="4" fillId="0" borderId="25" applyAlignment="1" pivotButton="0" quotePrefix="0" xfId="2">
      <alignment vertical="top"/>
    </xf>
    <xf numFmtId="0" fontId="4" fillId="0" borderId="118" applyAlignment="1" pivotButton="0" quotePrefix="0" xfId="2">
      <alignment vertical="top"/>
    </xf>
    <xf numFmtId="0" fontId="0" fillId="0" borderId="10" pivotButton="0" quotePrefix="0" xfId="0"/>
    <xf numFmtId="0" fontId="0" fillId="0" borderId="7" pivotButton="0" quotePrefix="0" xfId="0"/>
    <xf numFmtId="0" fontId="7" fillId="0" borderId="16" applyAlignment="1" pivotButton="0" quotePrefix="0" xfId="2">
      <alignment horizontal="center" vertical="top"/>
    </xf>
    <xf numFmtId="0" fontId="6" fillId="0" borderId="0" applyAlignment="1" pivotButton="0" quotePrefix="0" xfId="2">
      <alignment horizontal="left" vertical="top"/>
    </xf>
    <xf numFmtId="0" fontId="7" fillId="7" borderId="2" applyAlignment="1" pivotButton="0" quotePrefix="0" xfId="2">
      <alignment horizontal="center" vertical="center"/>
    </xf>
    <xf numFmtId="165" fontId="14" fillId="10" borderId="25" applyAlignment="1" pivotButton="0" quotePrefix="0" xfId="4">
      <alignment horizontal="center" vertical="center" wrapText="1"/>
    </xf>
    <xf numFmtId="165" fontId="14" fillId="7" borderId="25" applyAlignment="1" pivotButton="0" quotePrefix="0" xfId="4">
      <alignment horizontal="center" vertical="center" wrapText="1"/>
    </xf>
    <xf numFmtId="165" fontId="14" fillId="15" borderId="25" applyAlignment="1" pivotButton="0" quotePrefix="0" xfId="4">
      <alignment horizontal="center" vertical="center" wrapText="1"/>
    </xf>
    <xf numFmtId="165" fontId="14" fillId="3" borderId="25" applyAlignment="1" pivotButton="0" quotePrefix="0" xfId="4">
      <alignment horizontal="center" vertical="center" wrapText="1"/>
    </xf>
    <xf numFmtId="165" fontId="14" fillId="16" borderId="25" applyAlignment="1" pivotButton="0" quotePrefix="0" xfId="4">
      <alignment horizontal="center" vertical="center" wrapText="1"/>
    </xf>
    <xf numFmtId="165" fontId="20" fillId="17" borderId="27" applyAlignment="1" pivotButton="0" quotePrefix="0" xfId="3">
      <alignment horizontal="left" vertical="center"/>
    </xf>
    <xf numFmtId="165" fontId="20" fillId="17" borderId="27" applyAlignment="1" pivotButton="0" quotePrefix="0" xfId="4">
      <alignment horizontal="left" vertical="center"/>
    </xf>
    <xf numFmtId="165" fontId="22" fillId="20" borderId="27" applyAlignment="1" pivotButton="0" quotePrefix="0" xfId="3">
      <alignment horizontal="right" vertical="center"/>
    </xf>
    <xf numFmtId="165" fontId="22" fillId="20" borderId="27" applyAlignment="1" pivotButton="0" quotePrefix="0" xfId="4">
      <alignment horizontal="right" vertical="center"/>
    </xf>
    <xf numFmtId="166" fontId="22" fillId="20" borderId="27" applyAlignment="1" pivotButton="0" quotePrefix="0" xfId="5">
      <alignment horizontal="right" vertical="center" wrapText="1"/>
    </xf>
    <xf numFmtId="166" fontId="22" fillId="3" borderId="27" applyAlignment="1" pivotButton="0" quotePrefix="0" xfId="5">
      <alignment horizontal="right" vertical="center" wrapText="1"/>
    </xf>
    <xf numFmtId="166" fontId="22" fillId="16" borderId="27" applyAlignment="1" pivotButton="0" quotePrefix="0" xfId="5">
      <alignment horizontal="right" vertical="center" wrapText="1"/>
    </xf>
    <xf numFmtId="166" fontId="22" fillId="15" borderId="27" applyAlignment="1" pivotButton="0" quotePrefix="0" xfId="5">
      <alignment horizontal="right" vertical="center" wrapText="1"/>
    </xf>
    <xf numFmtId="165" fontId="22" fillId="20" borderId="28" applyAlignment="1" pivotButton="0" quotePrefix="0" xfId="3">
      <alignment horizontal="right" vertical="center"/>
    </xf>
    <xf numFmtId="165" fontId="22" fillId="20" borderId="28" applyAlignment="1" pivotButton="0" quotePrefix="0" xfId="4">
      <alignment horizontal="right" vertical="center"/>
    </xf>
    <xf numFmtId="166" fontId="20" fillId="18" borderId="27" applyAlignment="1" pivotButton="0" quotePrefix="0" xfId="5">
      <alignment horizontal="right" vertical="center" wrapText="1"/>
    </xf>
    <xf numFmtId="165" fontId="20" fillId="17" borderId="29" applyAlignment="1" pivotButton="0" quotePrefix="0" xfId="3">
      <alignment horizontal="left" vertical="center"/>
    </xf>
    <xf numFmtId="165" fontId="20" fillId="17" borderId="29" applyAlignment="1" pivotButton="0" quotePrefix="0" xfId="4">
      <alignment horizontal="left" vertical="center"/>
    </xf>
    <xf numFmtId="165" fontId="22" fillId="21" borderId="28" applyAlignment="1" pivotButton="0" quotePrefix="0" xfId="3">
      <alignment horizontal="center" vertical="center"/>
    </xf>
    <xf numFmtId="165" fontId="22" fillId="23" borderId="28" applyAlignment="1" pivotButton="0" quotePrefix="0" xfId="4">
      <alignment horizontal="right" vertical="center"/>
    </xf>
    <xf numFmtId="166" fontId="20" fillId="18" borderId="27" applyAlignment="1" pivotButton="0" quotePrefix="0" xfId="2">
      <alignment horizontal="right" vertical="top" wrapText="1"/>
    </xf>
    <xf numFmtId="166" fontId="20" fillId="17" borderId="29" applyAlignment="1" pivotButton="0" quotePrefix="0" xfId="2">
      <alignment horizontal="left" vertical="top" wrapText="1"/>
    </xf>
    <xf numFmtId="165" fontId="22" fillId="21" borderId="27" applyAlignment="1" pivotButton="0" quotePrefix="0" xfId="4">
      <alignment horizontal="center" vertical="center" wrapText="1"/>
    </xf>
    <xf numFmtId="165" fontId="22" fillId="20" borderId="27" applyAlignment="1" pivotButton="0" quotePrefix="0" xfId="4">
      <alignment horizontal="right" vertical="center" wrapText="1"/>
    </xf>
    <xf numFmtId="165" fontId="22" fillId="21" borderId="28" applyAlignment="1" pivotButton="0" quotePrefix="0" xfId="4">
      <alignment horizontal="center" vertical="center" wrapText="1"/>
    </xf>
    <xf numFmtId="165" fontId="22" fillId="20" borderId="28" applyAlignment="1" pivotButton="0" quotePrefix="0" xfId="4">
      <alignment horizontal="right" vertical="center" wrapText="1"/>
    </xf>
    <xf numFmtId="166" fontId="20" fillId="18" borderId="28" applyAlignment="1" pivotButton="0" quotePrefix="0" xfId="2">
      <alignment horizontal="right" vertical="top" wrapText="1"/>
    </xf>
    <xf numFmtId="166" fontId="20" fillId="6" borderId="27" applyAlignment="1" pivotButton="0" quotePrefix="0" xfId="2">
      <alignment horizontal="right" vertical="top" wrapText="1"/>
    </xf>
    <xf numFmtId="166" fontId="20" fillId="6" borderId="28" applyAlignment="1" pivotButton="0" quotePrefix="0" xfId="2">
      <alignment horizontal="right" vertical="top" wrapText="1"/>
    </xf>
    <xf numFmtId="0" fontId="42" fillId="32" borderId="78" applyAlignment="1" pivotButton="0" quotePrefix="0" xfId="0">
      <alignment horizontal="right" vertical="center" wrapText="1"/>
    </xf>
    <xf numFmtId="166" fontId="22" fillId="20" borderId="32" applyAlignment="1" pivotButton="0" quotePrefix="0" xfId="2">
      <alignment horizontal="right" vertical="center"/>
    </xf>
    <xf numFmtId="0" fontId="42" fillId="32" borderId="79" applyAlignment="1" pivotButton="0" quotePrefix="0" xfId="0">
      <alignment horizontal="right" vertical="center" wrapText="1"/>
    </xf>
    <xf numFmtId="166" fontId="22" fillId="20" borderId="37" applyAlignment="1" pivotButton="0" quotePrefix="0" xfId="2">
      <alignment horizontal="right" vertical="center"/>
    </xf>
    <xf numFmtId="166" fontId="4" fillId="0" borderId="0" applyAlignment="1" pivotButton="0" quotePrefix="0" xfId="2">
      <alignment horizontal="left" vertical="center"/>
    </xf>
    <xf numFmtId="0" fontId="43" fillId="18" borderId="96" applyAlignment="1" pivotButton="0" quotePrefix="0" xfId="2">
      <alignment horizontal="left" vertical="center"/>
    </xf>
    <xf numFmtId="3" fontId="43" fillId="18" borderId="74" applyAlignment="1" pivotButton="0" quotePrefix="0" xfId="2">
      <alignment horizontal="right" vertical="center"/>
    </xf>
    <xf numFmtId="3" fontId="43" fillId="18" borderId="74" applyAlignment="1" pivotButton="0" quotePrefix="0" xfId="0">
      <alignment horizontal="right"/>
    </xf>
    <xf numFmtId="3" fontId="43" fillId="18" borderId="84" applyAlignment="1" pivotButton="0" quotePrefix="0" xfId="0">
      <alignment horizontal="right"/>
    </xf>
    <xf numFmtId="3" fontId="44" fillId="18" borderId="97" applyAlignment="1" pivotButton="0" quotePrefix="0" xfId="0">
      <alignment horizontal="right"/>
    </xf>
    <xf numFmtId="3" fontId="43" fillId="18" borderId="96" applyAlignment="1" pivotButton="0" quotePrefix="0" xfId="0">
      <alignment horizontal="left"/>
    </xf>
    <xf numFmtId="0" fontId="43" fillId="20" borderId="96" applyAlignment="1" pivotButton="0" quotePrefix="0" xfId="2">
      <alignment horizontal="left" vertical="center"/>
    </xf>
    <xf numFmtId="3" fontId="43" fillId="20" borderId="74" applyAlignment="1" pivotButton="0" quotePrefix="0" xfId="2">
      <alignment horizontal="right" vertical="center"/>
    </xf>
    <xf numFmtId="3" fontId="43" fillId="0" borderId="74" applyAlignment="1" pivotButton="0" quotePrefix="0" xfId="0">
      <alignment horizontal="right"/>
    </xf>
    <xf numFmtId="3" fontId="44" fillId="0" borderId="97" applyAlignment="1" pivotButton="0" quotePrefix="0" xfId="0">
      <alignment horizontal="right"/>
    </xf>
    <xf numFmtId="3" fontId="43" fillId="0" borderId="96" applyAlignment="1" pivotButton="0" quotePrefix="0" xfId="0">
      <alignment horizontal="left"/>
    </xf>
    <xf numFmtId="3" fontId="43" fillId="20" borderId="80" applyAlignment="1" pivotButton="0" quotePrefix="0" xfId="2">
      <alignment horizontal="right" vertical="center"/>
    </xf>
    <xf numFmtId="3" fontId="43" fillId="0" borderId="80" applyAlignment="1" pivotButton="0" quotePrefix="0" xfId="0">
      <alignment horizontal="right"/>
    </xf>
    <xf numFmtId="3" fontId="44" fillId="0" borderId="98" applyAlignment="1" pivotButton="0" quotePrefix="0" xfId="0">
      <alignment horizontal="right"/>
    </xf>
    <xf numFmtId="3" fontId="45" fillId="3" borderId="70" applyAlignment="1" pivotButton="0" quotePrefix="0" xfId="0">
      <alignment horizontal="right"/>
    </xf>
    <xf numFmtId="3" fontId="45" fillId="3" borderId="81" applyAlignment="1" pivotButton="0" quotePrefix="0" xfId="0">
      <alignment horizontal="right"/>
    </xf>
    <xf numFmtId="3" fontId="45" fillId="3" borderId="82" applyAlignment="1" pivotButton="0" quotePrefix="0" xfId="0">
      <alignment horizontal="right"/>
    </xf>
    <xf numFmtId="3" fontId="45" fillId="3" borderId="100" applyAlignment="1" pivotButton="0" quotePrefix="0" xfId="0">
      <alignment horizontal="right"/>
    </xf>
    <xf numFmtId="0" fontId="46" fillId="24" borderId="110" applyAlignment="1" pivotButton="0" quotePrefix="0" xfId="0">
      <alignment horizontal="center" vertical="center"/>
    </xf>
    <xf numFmtId="0" fontId="45" fillId="33" borderId="0" applyAlignment="1" pivotButton="0" quotePrefix="0" xfId="0">
      <alignment horizontal="center" vertical="center" wrapText="1"/>
    </xf>
    <xf numFmtId="3" fontId="47" fillId="20" borderId="39" pivotButton="0" quotePrefix="0" xfId="0"/>
    <xf numFmtId="166" fontId="47" fillId="20" borderId="39" pivotButton="0" quotePrefix="0" xfId="0"/>
    <xf numFmtId="166" fontId="47" fillId="20" borderId="89" pivotButton="0" quotePrefix="0" xfId="0"/>
    <xf numFmtId="3" fontId="47" fillId="20" borderId="35" pivotButton="0" quotePrefix="0" xfId="0"/>
    <xf numFmtId="166" fontId="47" fillId="20" borderId="35" pivotButton="0" quotePrefix="0" xfId="0"/>
    <xf numFmtId="166" fontId="47" fillId="20" borderId="90" pivotButton="0" quotePrefix="0" xfId="0"/>
    <xf numFmtId="3" fontId="47" fillId="20" borderId="92" pivotButton="0" quotePrefix="0" xfId="0"/>
    <xf numFmtId="166" fontId="47" fillId="20" borderId="92" pivotButton="0" quotePrefix="0" xfId="0"/>
    <xf numFmtId="166" fontId="47" fillId="20" borderId="93" pivotButton="0" quotePrefix="0" xfId="0"/>
    <xf numFmtId="3" fontId="48" fillId="28" borderId="47" applyAlignment="1" pivotButton="0" quotePrefix="0" xfId="0">
      <alignment horizontal="center"/>
    </xf>
    <xf numFmtId="166" fontId="31" fillId="28" borderId="47" applyAlignment="1" pivotButton="0" quotePrefix="0" xfId="5">
      <alignment horizontal="center"/>
    </xf>
    <xf numFmtId="3" fontId="48" fillId="28" borderId="49" applyAlignment="1" pivotButton="0" quotePrefix="0" xfId="0">
      <alignment horizontal="center"/>
    </xf>
    <xf numFmtId="3" fontId="48" fillId="28" borderId="50" applyAlignment="1" pivotButton="0" quotePrefix="0" xfId="0">
      <alignment horizontal="center"/>
    </xf>
    <xf numFmtId="3" fontId="49" fillId="29" borderId="43" applyAlignment="1" pivotButton="0" quotePrefix="0" xfId="0">
      <alignment horizontal="right"/>
    </xf>
    <xf numFmtId="166" fontId="49" fillId="29" borderId="43" applyAlignment="1" pivotButton="0" quotePrefix="0" xfId="5">
      <alignment horizontal="center"/>
    </xf>
    <xf numFmtId="3" fontId="49" fillId="29" borderId="45" applyAlignment="1" pivotButton="0" quotePrefix="0" xfId="0">
      <alignment horizontal="right"/>
    </xf>
    <xf numFmtId="3" fontId="49" fillId="29" borderId="46" applyAlignment="1" pivotButton="0" quotePrefix="0" xfId="0">
      <alignment horizontal="right"/>
    </xf>
    <xf numFmtId="166" fontId="29" fillId="0" borderId="51" applyAlignment="1" pivotButton="0" quotePrefix="0" xfId="5">
      <alignment horizontal="center"/>
    </xf>
    <xf numFmtId="3" fontId="49" fillId="29" borderId="55" applyAlignment="1" pivotButton="0" quotePrefix="0" xfId="0">
      <alignment horizontal="right"/>
    </xf>
    <xf numFmtId="166" fontId="49" fillId="29" borderId="55" applyAlignment="1" pivotButton="0" quotePrefix="0" xfId="5">
      <alignment horizontal="center"/>
    </xf>
    <xf numFmtId="3" fontId="49" fillId="29" borderId="57" applyAlignment="1" pivotButton="0" quotePrefix="0" xfId="0">
      <alignment horizontal="right"/>
    </xf>
    <xf numFmtId="3" fontId="49" fillId="29" borderId="58" applyAlignment="1" pivotButton="0" quotePrefix="0" xfId="0">
      <alignment horizontal="right"/>
    </xf>
    <xf numFmtId="3" fontId="49" fillId="29" borderId="59" applyAlignment="1" pivotButton="0" quotePrefix="0" xfId="0">
      <alignment horizontal="right"/>
    </xf>
    <xf numFmtId="166" fontId="49" fillId="29" borderId="59" applyAlignment="1" pivotButton="0" quotePrefix="0" xfId="5">
      <alignment horizontal="center"/>
    </xf>
    <xf numFmtId="3" fontId="49" fillId="29" borderId="61" applyAlignment="1" pivotButton="0" quotePrefix="0" xfId="0">
      <alignment horizontal="right"/>
    </xf>
    <xf numFmtId="3" fontId="49" fillId="29" borderId="62" applyAlignment="1" pivotButton="0" quotePrefix="0" xfId="0">
      <alignment horizontal="right"/>
    </xf>
    <xf numFmtId="166" fontId="28" fillId="30" borderId="55" applyAlignment="1" pivotButton="0" quotePrefix="0" xfId="5">
      <alignment horizontal="center"/>
    </xf>
    <xf numFmtId="3" fontId="50" fillId="0" borderId="55" applyAlignment="1" pivotButton="0" quotePrefix="0" xfId="0">
      <alignment horizontal="right"/>
    </xf>
    <xf numFmtId="166" fontId="50" fillId="0" borderId="55" applyAlignment="1" pivotButton="0" quotePrefix="0" xfId="5">
      <alignment horizontal="center"/>
    </xf>
    <xf numFmtId="3" fontId="50" fillId="0" borderId="57" applyAlignment="1" pivotButton="0" quotePrefix="0" xfId="0">
      <alignment horizontal="right"/>
    </xf>
    <xf numFmtId="3" fontId="50" fillId="0" borderId="58" applyAlignment="1" pivotButton="0" quotePrefix="0" xfId="0">
      <alignment horizontal="right"/>
    </xf>
    <xf numFmtId="166" fontId="29" fillId="0" borderId="59" applyAlignment="1" pivotButton="0" quotePrefix="0" xfId="5">
      <alignment horizontal="center"/>
    </xf>
    <xf numFmtId="3" fontId="48" fillId="28" borderId="55" applyAlignment="1" pivotButton="0" quotePrefix="0" xfId="0">
      <alignment horizontal="center"/>
    </xf>
    <xf numFmtId="166" fontId="31" fillId="28" borderId="55" applyAlignment="1" pivotButton="0" quotePrefix="0" xfId="5">
      <alignment horizontal="center"/>
    </xf>
    <xf numFmtId="3" fontId="48" fillId="28" borderId="57" applyAlignment="1" pivotButton="0" quotePrefix="0" xfId="0">
      <alignment horizontal="center"/>
    </xf>
    <xf numFmtId="3" fontId="48" fillId="28" borderId="58" applyAlignment="1" pivotButton="0" quotePrefix="0" xfId="0">
      <alignment horizontal="center"/>
    </xf>
    <xf numFmtId="3" fontId="50" fillId="0" borderId="59" applyAlignment="1" pivotButton="0" quotePrefix="0" xfId="0">
      <alignment horizontal="right"/>
    </xf>
    <xf numFmtId="166" fontId="50" fillId="0" borderId="59" applyAlignment="1" pivotButton="0" quotePrefix="0" xfId="5">
      <alignment horizontal="center"/>
    </xf>
    <xf numFmtId="3" fontId="50" fillId="0" borderId="61" applyAlignment="1" pivotButton="0" quotePrefix="0" xfId="0">
      <alignment horizontal="right"/>
    </xf>
    <xf numFmtId="3" fontId="50" fillId="0" borderId="62" applyAlignment="1" pivotButton="0" quotePrefix="0" xfId="0">
      <alignment horizontal="right"/>
    </xf>
    <xf numFmtId="0" fontId="51" fillId="0" borderId="0" pivotButton="0" quotePrefix="0" xfId="0"/>
    <xf numFmtId="165" fontId="14" fillId="4" borderId="1" applyAlignment="1" pivotButton="0" quotePrefix="0" xfId="4">
      <alignment horizontal="center" vertical="center" wrapText="1"/>
    </xf>
    <xf numFmtId="165" fontId="14" fillId="13" borderId="1" applyAlignment="1" pivotButton="0" quotePrefix="0" xfId="4">
      <alignment horizontal="center" vertical="center" wrapText="1"/>
    </xf>
    <xf numFmtId="165" fontId="14" fillId="7" borderId="1" applyAlignment="1" pivotButton="0" quotePrefix="0" xfId="4">
      <alignment horizontal="center" vertical="center" wrapText="1"/>
    </xf>
    <xf numFmtId="165" fontId="14" fillId="14" borderId="1" applyAlignment="1" pivotButton="0" quotePrefix="0" xfId="4">
      <alignment horizontal="center" vertical="center" wrapText="1"/>
    </xf>
    <xf numFmtId="165" fontId="14" fillId="3" borderId="1" applyAlignment="1" pivotButton="0" quotePrefix="0" xfId="4">
      <alignment horizontal="center" vertical="center" wrapText="1"/>
    </xf>
    <xf numFmtId="165" fontId="14" fillId="7" borderId="1" applyAlignment="1" pivotButton="0" quotePrefix="0" xfId="4">
      <alignment horizontal="left" vertical="center"/>
    </xf>
    <xf numFmtId="165" fontId="15" fillId="0" borderId="1" applyAlignment="1" pivotButton="0" quotePrefix="0" xfId="4">
      <alignment vertical="top" wrapText="1"/>
    </xf>
    <xf numFmtId="165" fontId="4" fillId="0" borderId="1" applyAlignment="1" pivotButton="0" quotePrefix="0" xfId="3">
      <alignment horizontal="right" vertical="center"/>
    </xf>
    <xf numFmtId="165" fontId="4" fillId="0" borderId="3" applyAlignment="1" pivotButton="0" quotePrefix="0" xfId="3">
      <alignment horizontal="right" vertical="center"/>
    </xf>
    <xf numFmtId="165" fontId="4" fillId="3" borderId="1" applyAlignment="1" pivotButton="0" quotePrefix="0" xfId="3">
      <alignment horizontal="right" vertical="center"/>
    </xf>
    <xf numFmtId="165" fontId="15" fillId="0" borderId="1" applyAlignment="1" pivotButton="0" quotePrefix="0" xfId="4">
      <alignment horizontal="center" vertical="center"/>
    </xf>
    <xf numFmtId="165" fontId="15" fillId="0" borderId="1" applyAlignment="1" pivotButton="0" quotePrefix="0" xfId="4">
      <alignment horizontal="left" vertical="center"/>
    </xf>
    <xf numFmtId="165" fontId="15" fillId="0" borderId="1" applyAlignment="1" pivotButton="0" quotePrefix="0" xfId="4">
      <alignment horizontal="right" vertical="center"/>
    </xf>
    <xf numFmtId="165" fontId="15" fillId="3" borderId="1" applyAlignment="1" pivotButton="0" quotePrefix="0" xfId="4">
      <alignment horizontal="right" vertical="center"/>
    </xf>
    <xf numFmtId="165" fontId="4" fillId="11" borderId="1" applyAlignment="1" pivotButton="0" quotePrefix="0" xfId="3">
      <alignment horizontal="right" vertical="center"/>
    </xf>
    <xf numFmtId="165" fontId="15" fillId="11" borderId="1" applyAlignment="1" pivotButton="0" quotePrefix="0" xfId="4">
      <alignment horizontal="right" vertical="center"/>
    </xf>
    <xf numFmtId="165" fontId="7" fillId="8" borderId="1" applyAlignment="1" pivotButton="0" quotePrefix="0" xfId="3">
      <alignment horizontal="right" vertical="center"/>
    </xf>
    <xf numFmtId="165" fontId="14" fillId="8" borderId="1" applyAlignment="1" pivotButton="0" quotePrefix="0" xfId="4">
      <alignment horizontal="left" vertical="center"/>
    </xf>
    <xf numFmtId="165" fontId="4" fillId="0" borderId="1" applyAlignment="1" pivotButton="0" quotePrefix="0" xfId="3">
      <alignment vertical="top"/>
    </xf>
    <xf numFmtId="165" fontId="4" fillId="0" borderId="3" applyAlignment="1" pivotButton="0" quotePrefix="0" xfId="3">
      <alignment vertical="top"/>
    </xf>
    <xf numFmtId="165" fontId="14" fillId="0" borderId="1" applyAlignment="1" pivotButton="0" quotePrefix="0" xfId="4">
      <alignment horizontal="left" vertical="center"/>
    </xf>
    <xf numFmtId="165" fontId="4" fillId="0" borderId="1" applyAlignment="1" pivotButton="0" quotePrefix="0" xfId="3">
      <alignment vertical="center"/>
    </xf>
    <xf numFmtId="165" fontId="14" fillId="6" borderId="1" applyAlignment="1" pivotButton="0" quotePrefix="0" xfId="4">
      <alignment horizontal="left" vertical="center"/>
    </xf>
    <xf numFmtId="165" fontId="14" fillId="0" borderId="1" applyAlignment="1" pivotButton="0" quotePrefix="0" xfId="4">
      <alignment horizontal="center" vertical="center"/>
    </xf>
    <xf numFmtId="165" fontId="14" fillId="0" borderId="1" applyAlignment="1" pivotButton="0" quotePrefix="0" xfId="4">
      <alignment horizontal="right" vertical="center"/>
    </xf>
    <xf numFmtId="165" fontId="7" fillId="6" borderId="1" applyAlignment="1" pivotButton="0" quotePrefix="0" xfId="3">
      <alignment horizontal="right" vertical="center"/>
    </xf>
    <xf numFmtId="165" fontId="7" fillId="0" borderId="1" applyAlignment="1" pivotButton="0" quotePrefix="0" xfId="3">
      <alignment horizontal="right" vertical="center"/>
    </xf>
    <xf numFmtId="165" fontId="7" fillId="0" borderId="3" applyAlignment="1" pivotButton="0" quotePrefix="0" xfId="3">
      <alignment horizontal="right" vertical="center"/>
    </xf>
    <xf numFmtId="165" fontId="7" fillId="3" borderId="1" applyAlignment="1" pivotButton="0" quotePrefix="0" xfId="3">
      <alignment horizontal="right" vertical="center"/>
    </xf>
    <xf numFmtId="165" fontId="4" fillId="0" borderId="0" applyAlignment="1" pivotButton="0" quotePrefix="0" xfId="3">
      <alignment vertical="top"/>
    </xf>
    <xf numFmtId="165" fontId="4" fillId="0" borderId="18" applyAlignment="1" pivotButton="0" quotePrefix="0" xfId="3">
      <alignment vertical="top"/>
    </xf>
    <xf numFmtId="165" fontId="4" fillId="0" borderId="9" applyAlignment="1" pivotButton="0" quotePrefix="0" xfId="3">
      <alignment vertical="top"/>
    </xf>
    <xf numFmtId="165" fontId="4" fillId="0" borderId="12" applyAlignment="1" pivotButton="0" quotePrefix="0" xfId="3">
      <alignment vertical="top"/>
    </xf>
    <xf numFmtId="165" fontId="4" fillId="0" borderId="11" applyAlignment="1" pivotButton="0" quotePrefix="0" xfId="3">
      <alignment vertical="top"/>
    </xf>
    <xf numFmtId="165" fontId="16" fillId="7" borderId="1" applyAlignment="1" pivotButton="0" quotePrefix="0" xfId="4">
      <alignment horizontal="left" vertical="center"/>
    </xf>
  </cellXfs>
  <cellStyles count="12">
    <cellStyle name="Normal" xfId="0" builtinId="0"/>
    <cellStyle name="Normal 4" xfId="1"/>
    <cellStyle name="Normal 2" xfId="2"/>
    <cellStyle name="Comma 2" xfId="3"/>
    <cellStyle name="Comma" xfId="4" builtinId="3"/>
    <cellStyle name="Percent" xfId="5" builtinId="5"/>
    <cellStyle name="Normal 3" xfId="6"/>
    <cellStyle name="Comma 3" xfId="7"/>
    <cellStyle name="Comma 2 2" xfId="8"/>
    <cellStyle name="Normal 2 2" xfId="9"/>
    <cellStyle name="Percent 2" xfId="10"/>
    <cellStyle name="Normal 5" xfId="1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100" b="0" i="0" strike="noStrike" kern="1200" spc="0" baseline="0">
                <a:solidFill>
                  <a:schemeClr val="tx1">
                    <a:lumMod val="65000"/>
                    <a:lumOff val="35000"/>
                  </a:schemeClr>
                </a:solidFill>
                <a:latin typeface="+mn-lt"/>
                <a:ea typeface="+mn-ea"/>
                <a:cs typeface="+mn-cs"/>
              </a:defRPr>
            </a:pPr>
            <a:r>
              <a:rPr lang="en-US"/>
              <a:t>Category AUM Share (Latest Month)</a:t>
            </a:r>
          </a:p>
        </rich>
      </tx>
      <overlay val="0"/>
      <spPr>
        <a:noFill xmlns:a="http://schemas.openxmlformats.org/drawingml/2006/main"/>
        <a:ln xmlns:a="http://schemas.openxmlformats.org/drawingml/2006/main">
          <a:noFill/>
          <a:prstDash val="solid"/>
        </a:ln>
      </spPr>
    </title>
    <plotArea>
      <layout/>
      <pieChart>
        <varyColors val="1"/>
        <ser>
          <idx val="0"/>
          <order val="0"/>
          <spPr>
            <a:ln xmlns:a="http://schemas.openxmlformats.org/drawingml/2006/main">
              <a:prstDash val="solid"/>
            </a:ln>
          </spPr>
          <explosion val="6"/>
          <dPt>
            <idx val="0"/>
            <bubble3D val="0"/>
            <explosion val="0"/>
            <spPr>
              <a:solidFill xmlns:a="http://schemas.openxmlformats.org/drawingml/2006/main">
                <a:schemeClr val="accent1"/>
              </a:solidFill>
              <a:ln xmlns:a="http://schemas.openxmlformats.org/drawingml/2006/main" w="19050">
                <a:solidFill>
                  <a:schemeClr val="lt1"/>
                </a:solidFill>
                <a:prstDash val="solid"/>
              </a:ln>
            </spPr>
          </dPt>
          <dPt>
            <idx val="1"/>
            <bubble3D val="0"/>
            <explosion val="0"/>
            <spPr>
              <a:solidFill xmlns:a="http://schemas.openxmlformats.org/drawingml/2006/main">
                <a:schemeClr val="accent2"/>
              </a:solidFill>
              <a:ln xmlns:a="http://schemas.openxmlformats.org/drawingml/2006/main" w="19050">
                <a:solidFill>
                  <a:schemeClr val="lt1"/>
                </a:solidFill>
                <a:prstDash val="solid"/>
              </a:ln>
            </spPr>
          </dPt>
          <dPt>
            <idx val="2"/>
            <bubble3D val="0"/>
            <explosion val="0"/>
            <spPr>
              <a:solidFill xmlns:a="http://schemas.openxmlformats.org/drawingml/2006/main">
                <a:schemeClr val="accent3"/>
              </a:solidFill>
              <a:ln xmlns:a="http://schemas.openxmlformats.org/drawingml/2006/main" w="19050">
                <a:solidFill>
                  <a:schemeClr val="lt1"/>
                </a:solidFill>
                <a:prstDash val="solid"/>
              </a:ln>
            </spPr>
          </dPt>
          <dPt>
            <idx val="3"/>
            <bubble3D val="0"/>
            <explosion val="0"/>
            <spPr>
              <a:solidFill xmlns:a="http://schemas.openxmlformats.org/drawingml/2006/main">
                <a:schemeClr val="accent4"/>
              </a:solidFill>
              <a:ln xmlns:a="http://schemas.openxmlformats.org/drawingml/2006/main" w="19050">
                <a:solidFill>
                  <a:schemeClr val="lt1"/>
                </a:solidFill>
                <a:prstDash val="solid"/>
              </a:ln>
            </spPr>
          </dPt>
          <dPt>
            <idx val="4"/>
            <bubble3D val="0"/>
            <explosion val="0"/>
            <spPr>
              <a:solidFill xmlns:a="http://schemas.openxmlformats.org/drawingml/2006/main">
                <a:schemeClr val="accent5"/>
              </a:solidFill>
              <a:ln xmlns:a="http://schemas.openxmlformats.org/drawingml/2006/main" w="19050">
                <a:solidFill>
                  <a:schemeClr val="lt1"/>
                </a:solidFill>
                <a:prstDash val="solid"/>
              </a:ln>
            </spPr>
          </dPt>
          <dPt>
            <idx val="5"/>
            <bubble3D val="0"/>
            <spPr>
              <a:solidFill xmlns:a="http://schemas.openxmlformats.org/drawingml/2006/main">
                <a:schemeClr val="accent6"/>
              </a:solidFill>
              <a:ln xmlns:a="http://schemas.openxmlformats.org/drawingml/2006/main" w="19050">
                <a:solidFill>
                  <a:schemeClr val="lt1"/>
                </a:solidFill>
                <a:prstDash val="solid"/>
              </a:ln>
            </spPr>
          </dPt>
          <cat>
            <strRef>
              <f>Analytics!$A$5:$A$10</f>
              <strCache>
                <ptCount val="6"/>
                <pt idx="0">
                  <v>Active Equity (incl Hybrid)</v>
                </pt>
                <pt idx="1">
                  <v>Arb/ESF</v>
                </pt>
                <pt idx="2">
                  <v>Active Debt (incl Hybrid)</v>
                </pt>
                <pt idx="3">
                  <v>Cash</v>
                </pt>
                <pt idx="4">
                  <v>Passive-E/D</v>
                </pt>
                <pt idx="5">
                  <v>Interval Schemes</v>
                </pt>
              </strCache>
            </strRef>
          </cat>
          <val>
            <numRef>
              <f>Analytics!$D$5:$D$10</f>
              <numCache>
                <formatCode>#,##0</formatCode>
                <ptCount val="6"/>
                <pt idx="0">
                  <v>3958968.285828731</v>
                </pt>
                <pt idx="1">
                  <v>301338.61134247</v>
                </pt>
                <pt idx="2">
                  <v>1200092.83304806</v>
                </pt>
                <pt idx="3">
                  <v>539518.80312131</v>
                </pt>
                <pt idx="4">
                  <v>1373428.08041629</v>
                </pt>
                <pt idx="5">
                  <v>0</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100" b="0" i="0" strike="noStrike" kern="1200" spc="0" baseline="0">
                <a:solidFill>
                  <a:schemeClr val="tx1">
                    <a:lumMod val="65000"/>
                    <a:lumOff val="35000"/>
                  </a:schemeClr>
                </a:solidFill>
                <a:latin typeface="+mn-lt"/>
                <a:ea typeface="+mn-ea"/>
                <a:cs typeface="+mn-cs"/>
              </a:defRPr>
            </a:pPr>
            <a:r>
              <a:rPr lang="en-US"/>
              <a:t>Category Flows — YTD (Sales / Redemption / Net)</a:t>
            </a:r>
          </a:p>
        </rich>
      </tx>
      <overlay val="0"/>
      <spPr>
        <a:noFill xmlns:a="http://schemas.openxmlformats.org/drawingml/2006/main"/>
        <a:ln xmlns:a="http://schemas.openxmlformats.org/drawingml/2006/main">
          <a:noFill/>
          <a:prstDash val="solid"/>
        </a:ln>
      </spPr>
    </title>
    <plotArea>
      <layout/>
      <barChart>
        <barDir val="col"/>
        <grouping val="clustered"/>
        <varyColors val="0"/>
        <ser>
          <idx val="0"/>
          <order val="0"/>
          <tx>
            <strRef>
              <f>Analytics!$L$43</f>
              <strCache>
                <ptCount val="1"/>
              </strCache>
            </strRef>
          </tx>
          <spPr>
            <a:solidFill xmlns:a="http://schemas.openxmlformats.org/drawingml/2006/main">
              <a:schemeClr val="accent1"/>
            </a:solidFill>
            <a:ln xmlns:a="http://schemas.openxmlformats.org/drawingml/2006/main">
              <a:noFill/>
              <a:prstDash val="solid"/>
            </a:ln>
          </spPr>
          <invertIfNegative val="0"/>
          <cat>
            <strRef>
              <f>Analytics!$A$5:$A$10</f>
              <strCache>
                <ptCount val="6"/>
                <pt idx="0">
                  <v>Active Equity (incl Hybrid)</v>
                </pt>
                <pt idx="1">
                  <v>Arb/ESF</v>
                </pt>
                <pt idx="2">
                  <v>Active Debt (incl Hybrid)</v>
                </pt>
                <pt idx="3">
                  <v>Cash</v>
                </pt>
                <pt idx="4">
                  <v>Passive-E/D</v>
                </pt>
                <pt idx="5">
                  <v>Interval Schemes</v>
                </pt>
              </strCache>
            </strRef>
          </cat>
          <val>
            <numRef>
              <f>Analytics!$G$5:$G$10</f>
              <numCache>
                <formatCode>#,##0</formatCode>
                <ptCount val="6"/>
                <pt idx="0">
                  <v>970938.4951808698</v>
                </pt>
                <pt idx="1">
                  <v>351331.2798252999</v>
                </pt>
                <pt idx="2">
                  <v>1822691.43010615</v>
                </pt>
                <pt idx="3">
                  <v>12113228.31324448</v>
                </pt>
                <pt idx="4">
                  <v>491441.6612148</v>
                </pt>
                <pt idx="5">
                  <v>0</v>
                </pt>
              </numCache>
            </numRef>
          </val>
        </ser>
        <ser>
          <idx val="1"/>
          <order val="1"/>
          <tx>
            <strRef>
              <f>Analytics!$M$43</f>
              <strCache>
                <ptCount val="1"/>
              </strCache>
            </strRef>
          </tx>
          <spPr>
            <a:solidFill xmlns:a="http://schemas.openxmlformats.org/drawingml/2006/main">
              <a:schemeClr val="accent2"/>
            </a:solidFill>
            <a:ln xmlns:a="http://schemas.openxmlformats.org/drawingml/2006/main">
              <a:noFill/>
              <a:prstDash val="solid"/>
            </a:ln>
          </spPr>
          <invertIfNegative val="0"/>
          <cat>
            <strRef>
              <f>Analytics!$K$44:$K$49</f>
              <strCache>
                <ptCount val="6"/>
                <pt idx="1">
                  <v>Mar'26</v>
                </pt>
                <pt idx="2">
                  <v>39,58,968</v>
                </pt>
                <pt idx="3">
                  <v>1,00,679</v>
                </pt>
                <pt idx="4">
                  <v>54,131</v>
                </pt>
                <pt idx="5">
                  <v>46,547</v>
                </pt>
              </strCache>
            </strRef>
          </cat>
          <val>
            <numRef>
              <f>Analytics!$H$5:$H$10</f>
              <numCache>
                <formatCode>#,##0</formatCode>
                <ptCount val="6"/>
                <pt idx="0">
                  <v>523680.2056339598</v>
                </pt>
                <pt idx="1">
                  <v>293989.0482141399</v>
                </pt>
                <pt idx="2">
                  <v>1798780.77815479</v>
                </pt>
                <pt idx="3">
                  <v>12112775.88817737</v>
                </pt>
                <pt idx="4">
                  <v>284384.38514358</v>
                </pt>
                <pt idx="5">
                  <v>0</v>
                </pt>
              </numCache>
            </numRef>
          </val>
        </ser>
        <ser>
          <idx val="2"/>
          <order val="2"/>
          <tx>
            <strRef>
              <f>Analytics!$N$43</f>
              <strCache>
                <ptCount val="1"/>
              </strCache>
            </strRef>
          </tx>
          <spPr>
            <a:solidFill xmlns:a="http://schemas.openxmlformats.org/drawingml/2006/main">
              <a:schemeClr val="accent3"/>
            </a:solidFill>
            <a:ln xmlns:a="http://schemas.openxmlformats.org/drawingml/2006/main">
              <a:noFill/>
              <a:prstDash val="solid"/>
            </a:ln>
          </spPr>
          <invertIfNegative val="0"/>
          <cat>
            <strRef>
              <f>Analytics!$K$44:$K$49</f>
              <strCache>
                <ptCount val="6"/>
                <pt idx="1">
                  <v>Mar'26</v>
                </pt>
                <pt idx="2">
                  <v>39,58,968</v>
                </pt>
                <pt idx="3">
                  <v>1,00,679</v>
                </pt>
                <pt idx="4">
                  <v>54,131</v>
                </pt>
                <pt idx="5">
                  <v>46,547</v>
                </pt>
              </strCache>
            </strRef>
          </cat>
          <val>
            <numRef>
              <f>Analytics!$I$5:$I$10</f>
              <numCache>
                <formatCode>#,##0</formatCode>
                <ptCount val="6"/>
                <pt idx="0">
                  <v>447258.28954691</v>
                </pt>
                <pt idx="1">
                  <v>57342.23161115997</v>
                </pt>
                <pt idx="2">
                  <v>23910.65195136001</v>
                </pt>
                <pt idx="3">
                  <v>452.4250671097325</v>
                </pt>
                <pt idx="4">
                  <v>207057.27607122</v>
                </pt>
                <pt idx="5">
                  <v>0</v>
                </pt>
              </numCache>
            </numRef>
          </val>
        </ser>
        <dLbls>
          <showLegendKey val="0"/>
          <showVal val="0"/>
          <showCatName val="0"/>
          <showSerName val="0"/>
          <showPercent val="0"/>
          <showBubbleSize val="0"/>
        </dLbls>
        <gapWidth val="219"/>
        <overlap val="-27"/>
        <axId val="2087948623"/>
        <axId val="2087932303"/>
      </barChart>
      <catAx>
        <axId val="2087948623"/>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087932303"/>
        <crosses val="autoZero"/>
        <auto val="1"/>
        <lblAlgn val="ctr"/>
        <lblOffset val="100"/>
        <noMultiLvlLbl val="0"/>
      </catAx>
      <valAx>
        <axId val="208793230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087948623"/>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0"/>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100" b="0" i="0" strike="noStrike" kern="1200" spc="0" baseline="0">
                <a:solidFill>
                  <a:schemeClr val="tx1">
                    <a:lumMod val="65000"/>
                    <a:lumOff val="35000"/>
                  </a:schemeClr>
                </a:solidFill>
                <a:latin typeface="+mn-lt"/>
                <a:ea typeface="+mn-ea"/>
                <a:cs typeface="+mn-cs"/>
              </a:defRPr>
            </a:pPr>
            <a:r>
              <a:rPr lang="en-US"/>
              <a:t>Total AUM Trend (Rs Cr)</a:t>
            </a:r>
          </a:p>
        </rich>
      </tx>
      <overlay val="0"/>
      <spPr>
        <a:noFill xmlns:a="http://schemas.openxmlformats.org/drawingml/2006/main"/>
        <a:ln xmlns:a="http://schemas.openxmlformats.org/drawingml/2006/main">
          <a:noFill/>
          <a:prstDash val="solid"/>
        </a:ln>
      </spPr>
    </title>
    <plotArea>
      <layout/>
      <lineChart>
        <grouping val="standard"/>
        <varyColors val="0"/>
        <ser>
          <idx val="0"/>
          <order val="0"/>
          <tx>
            <v>Total AUM (Rs Cr)</v>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Analytics!$P$28:$P$40</f>
              <strCache>
                <ptCount val="13"/>
                <pt idx="0">
                  <v>Mar'25</v>
                </pt>
                <pt idx="1">
                  <v>Apr'25</v>
                </pt>
                <pt idx="2">
                  <v>May'25</v>
                </pt>
                <pt idx="3">
                  <v>Jun'25</v>
                </pt>
                <pt idx="4">
                  <v>Jul'25</v>
                </pt>
                <pt idx="5">
                  <v>Aug'25</v>
                </pt>
                <pt idx="6">
                  <v>Sep'25</v>
                </pt>
                <pt idx="7">
                  <v>Oct'25</v>
                </pt>
                <pt idx="8">
                  <v>Nov'25</v>
                </pt>
                <pt idx="9">
                  <v>Dec'25</v>
                </pt>
                <pt idx="10">
                  <v>Jan'26</v>
                </pt>
                <pt idx="11">
                  <v>Feb'26</v>
                </pt>
                <pt idx="12">
                  <v>Mar'26</v>
                </pt>
              </strCache>
            </strRef>
          </cat>
          <val>
            <numRef>
              <f>Analytics!$Q$28:$Q$40</f>
              <numCache>
                <formatCode>#,##0</formatCode>
                <ptCount val="13"/>
                <pt idx="0">
                  <v>6574287.20342169</v>
                </pt>
                <pt idx="1">
                  <v>6999837.937467681</v>
                </pt>
                <pt idx="2">
                  <v>7219610.692798901</v>
                </pt>
                <pt idx="3">
                  <v>7440670.841020271</v>
                </pt>
                <pt idx="4">
                  <v>7535970.682994341</v>
                </pt>
                <pt idx="5">
                  <v>7518702.50175154</v>
                </pt>
                <pt idx="6">
                  <v>7561309.28842434</v>
                </pt>
                <pt idx="7">
                  <v>7987939.93719464</v>
                </pt>
                <pt idx="8">
                  <v>8080369.521509981</v>
                </pt>
                <pt idx="9">
                  <v>8023378.994112699</v>
                </pt>
                <pt idx="10">
                  <v>8101305.577570781</v>
                </pt>
                <pt idx="11">
                  <v>8202956.350171961</v>
                </pt>
                <pt idx="12">
                  <v>7373346.61375686</v>
                </pt>
              </numCache>
            </numRef>
          </val>
          <smooth val="0"/>
        </ser>
        <dLbls>
          <showLegendKey val="0"/>
          <showVal val="0"/>
          <showCatName val="0"/>
          <showSerName val="0"/>
          <showPercent val="0"/>
          <showBubbleSize val="0"/>
        </dLbls>
        <marker val="1"/>
        <smooth val="0"/>
        <axId val="2018883679"/>
        <axId val="2018879359"/>
      </lineChart>
      <catAx>
        <axId val="201888367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018879359"/>
        <crosses val="autoZero"/>
        <auto val="1"/>
        <lblAlgn val="ctr"/>
        <lblOffset val="100"/>
        <noMultiLvlLbl val="0"/>
      </catAx>
      <valAx>
        <axId val="201887935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0188836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twoCellAnchor>
    <from>
      <col>12</col>
      <colOff>619760</colOff>
      <row>0</row>
      <rowOff>101600</rowOff>
    </from>
    <to>
      <col>18</col>
      <colOff>2540</colOff>
      <row>15</row>
      <rowOff>147320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18</col>
      <colOff>193040</colOff>
      <row>0</row>
      <rowOff>101600</rowOff>
    </from>
    <to>
      <col>24</col>
      <colOff>223520</colOff>
      <row>15</row>
      <rowOff>147320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24</col>
      <colOff>414020</colOff>
      <row>0</row>
      <rowOff>101600</rowOff>
    </from>
    <to>
      <col>33</col>
      <colOff>434340</colOff>
      <row>15</row>
      <rowOff>147320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44"/>
  <sheetViews>
    <sheetView topLeftCell="A1" workbookViewId="0">
      <pane xSplit="3" ySplit="5" topLeftCell="D8" activePane="bottomRight" state="frozen"/>
      <selection pane="topRight" activeCell="D1" sqref="D1"/>
      <selection pane="bottomLeft" activeCell="A8" sqref="A8"/>
      <selection pane="bottomRight" activeCell="D8" sqref="D8"/>
    </sheetView>
  </sheetViews>
  <sheetFormatPr baseColWidth="8" defaultColWidth="9.1796875" defaultRowHeight="13.8"/>
  <cols>
    <col width="17" customWidth="1" style="29" min="1" max="1"/>
    <col width="12.1796875" customWidth="1" style="29" min="2" max="2"/>
    <col width="9.81640625" customWidth="1" style="28" min="3" max="8"/>
    <col width="10.1796875" customWidth="1" style="28" min="9" max="12"/>
    <col width="9.1796875" customWidth="1" style="28" min="13" max="14"/>
    <col width="9.1796875" customWidth="1" style="28" min="15" max="16384"/>
  </cols>
  <sheetData>
    <row r="1">
      <c r="A1" s="40" t="inlineStr">
        <is>
          <t>SIP Contribution</t>
        </is>
      </c>
      <c r="B1" s="40" t="n"/>
    </row>
    <row r="2">
      <c r="A2" s="137" t="inlineStr">
        <is>
          <t>Month-wise SIP contribution collected from FY 2016-17 onwards are mentioned below:</t>
        </is>
      </c>
    </row>
    <row r="3" ht="15.6" customHeight="1">
      <c r="A3" s="448" t="inlineStr">
        <is>
          <t>Month</t>
        </is>
      </c>
      <c r="B3" s="448" t="n"/>
      <c r="C3" s="448" t="inlineStr">
        <is>
          <t>SIP Contribution ₹ Crore</t>
        </is>
      </c>
      <c r="D3" s="449" t="n"/>
      <c r="E3" s="449" t="n"/>
      <c r="F3" s="449" t="n"/>
      <c r="G3" s="449" t="n"/>
      <c r="H3" s="449" t="n"/>
      <c r="I3" s="449" t="n"/>
      <c r="J3" s="449" t="n"/>
      <c r="K3" s="449" t="n"/>
      <c r="L3" s="450" t="n"/>
    </row>
    <row r="4">
      <c r="A4" s="448" t="inlineStr">
        <is>
          <t>Fig in cr</t>
        </is>
      </c>
      <c r="B4" s="45" t="inlineStr">
        <is>
          <t>FY 2026-27</t>
        </is>
      </c>
      <c r="C4" s="45" t="inlineStr">
        <is>
          <t>FY 2025-26</t>
        </is>
      </c>
      <c r="D4" s="448" t="inlineStr">
        <is>
          <t>FY 2024-25</t>
        </is>
      </c>
      <c r="E4" s="448" t="inlineStr">
        <is>
          <t>FY 2023-24</t>
        </is>
      </c>
      <c r="F4" s="448" t="inlineStr">
        <is>
          <t>FY 2022-23</t>
        </is>
      </c>
      <c r="G4" s="448" t="inlineStr">
        <is>
          <t>FY 2021-22</t>
        </is>
      </c>
      <c r="H4" s="448" t="inlineStr">
        <is>
          <t>FY 2020-21</t>
        </is>
      </c>
      <c r="I4" s="448" t="inlineStr">
        <is>
          <t>FY 2019-20</t>
        </is>
      </c>
      <c r="J4" s="448" t="inlineStr">
        <is>
          <t>FY 2018-19</t>
        </is>
      </c>
      <c r="K4" s="448" t="inlineStr">
        <is>
          <t>FY 2017-18</t>
        </is>
      </c>
      <c r="L4" s="448" t="inlineStr">
        <is>
          <t>FY 2016-17</t>
        </is>
      </c>
    </row>
    <row r="5">
      <c r="A5" s="448" t="inlineStr">
        <is>
          <t>Total During FY</t>
        </is>
      </c>
      <c r="B5" s="37">
        <f>SUBTOTAL(9,B6:B17)</f>
        <v/>
      </c>
      <c r="C5" s="37">
        <f>SUBTOTAL(9,C6:C17)</f>
        <v/>
      </c>
      <c r="D5" s="43">
        <f>SUBTOTAL(9,D6:D17)</f>
        <v/>
      </c>
      <c r="E5" s="43">
        <f>SUBTOTAL(9,E6:E17)</f>
        <v/>
      </c>
      <c r="F5" s="43">
        <f>SUBTOTAL(9,F6:F17)</f>
        <v/>
      </c>
      <c r="G5" s="43">
        <f>SUBTOTAL(9,G6:G17)</f>
        <v/>
      </c>
      <c r="H5" s="43">
        <f>SUBTOTAL(9,H6:H17)</f>
        <v/>
      </c>
      <c r="I5" s="43">
        <f>SUBTOTAL(9,I6:I17)</f>
        <v/>
      </c>
      <c r="J5" s="43">
        <f>SUBTOTAL(9,J6:J17)</f>
        <v/>
      </c>
      <c r="K5" s="43">
        <f>SUBTOTAL(9,K6:K17)</f>
        <v/>
      </c>
      <c r="L5" s="43">
        <f>SUBTOTAL(9,L6:L17)</f>
        <v/>
      </c>
    </row>
    <row r="6">
      <c r="A6" s="42" t="inlineStr">
        <is>
          <t>March</t>
        </is>
      </c>
      <c r="B6" s="41" t="n"/>
      <c r="C6" s="41" t="n">
        <v>32087</v>
      </c>
      <c r="D6" s="34" t="n">
        <v>25926</v>
      </c>
      <c r="E6" s="34" t="n">
        <v>19271</v>
      </c>
      <c r="F6" s="34" t="n">
        <v>14276</v>
      </c>
      <c r="G6" s="34" t="n">
        <v>12328</v>
      </c>
      <c r="H6" s="34" t="n">
        <v>9182</v>
      </c>
      <c r="I6" s="34" t="n">
        <v>8641</v>
      </c>
      <c r="J6" s="34" t="n">
        <v>8055</v>
      </c>
      <c r="K6" s="34" t="n">
        <v>7119</v>
      </c>
      <c r="L6" s="34" t="n">
        <v>4335</v>
      </c>
    </row>
    <row r="7">
      <c r="A7" s="42" t="inlineStr">
        <is>
          <t>February</t>
        </is>
      </c>
      <c r="B7" s="41" t="n"/>
      <c r="C7" s="41" t="n">
        <v>29845</v>
      </c>
      <c r="D7" s="34" t="n">
        <v>25999</v>
      </c>
      <c r="E7" s="34" t="n">
        <v>19187</v>
      </c>
      <c r="F7" s="34" t="n">
        <v>13686</v>
      </c>
      <c r="G7" s="34" t="n">
        <v>11438</v>
      </c>
      <c r="H7" s="34" t="n">
        <v>7528</v>
      </c>
      <c r="I7" s="34" t="n">
        <v>8513</v>
      </c>
      <c r="J7" s="34" t="n">
        <v>8095</v>
      </c>
      <c r="K7" s="34" t="n">
        <v>6425</v>
      </c>
      <c r="L7" s="34" t="n">
        <v>4050</v>
      </c>
    </row>
    <row r="8">
      <c r="A8" s="42" t="inlineStr">
        <is>
          <t>January</t>
        </is>
      </c>
      <c r="B8" s="41" t="n"/>
      <c r="C8" s="41" t="n">
        <v>31002</v>
      </c>
      <c r="D8" s="34" t="n">
        <v>26400</v>
      </c>
      <c r="E8" s="34" t="n">
        <v>18838</v>
      </c>
      <c r="F8" s="34" t="n">
        <v>13856</v>
      </c>
      <c r="G8" s="34" t="n">
        <v>11517</v>
      </c>
      <c r="H8" s="34" t="n">
        <v>8023</v>
      </c>
      <c r="I8" s="34" t="n">
        <v>8532</v>
      </c>
      <c r="J8" s="34" t="n">
        <v>8064</v>
      </c>
      <c r="K8" s="34" t="n">
        <v>6644</v>
      </c>
      <c r="L8" s="34" t="n">
        <v>4095</v>
      </c>
    </row>
    <row r="9">
      <c r="A9" s="42" t="inlineStr">
        <is>
          <t>December</t>
        </is>
      </c>
      <c r="B9" s="41" t="n"/>
      <c r="C9" s="41" t="n">
        <v>31002</v>
      </c>
      <c r="D9" s="34" t="n">
        <v>26459</v>
      </c>
      <c r="E9" s="34" t="n">
        <v>17610</v>
      </c>
      <c r="F9" s="34" t="n">
        <v>13573</v>
      </c>
      <c r="G9" s="34" t="n">
        <v>11305</v>
      </c>
      <c r="H9" s="34" t="n">
        <v>8418</v>
      </c>
      <c r="I9" s="34" t="n">
        <v>8518</v>
      </c>
      <c r="J9" s="34" t="n">
        <v>8022</v>
      </c>
      <c r="K9" s="34" t="n">
        <v>6222</v>
      </c>
      <c r="L9" s="34" t="n">
        <v>3973</v>
      </c>
    </row>
    <row r="10">
      <c r="A10" s="42" t="inlineStr">
        <is>
          <t>November</t>
        </is>
      </c>
      <c r="B10" s="41" t="n"/>
      <c r="C10" s="41" t="n">
        <v>29445</v>
      </c>
      <c r="D10" s="34" t="n">
        <v>25320</v>
      </c>
      <c r="E10" s="34" t="n">
        <v>17073</v>
      </c>
      <c r="F10" s="34" t="n">
        <v>13306</v>
      </c>
      <c r="G10" s="34" t="n">
        <v>11005</v>
      </c>
      <c r="H10" s="34" t="n">
        <v>7302</v>
      </c>
      <c r="I10" s="34" t="n">
        <v>8273</v>
      </c>
      <c r="J10" s="34" t="n">
        <v>7985</v>
      </c>
      <c r="K10" s="34" t="n">
        <v>5893</v>
      </c>
      <c r="L10" s="34" t="n">
        <v>3884</v>
      </c>
    </row>
    <row r="11">
      <c r="A11" s="42" t="inlineStr">
        <is>
          <t>October</t>
        </is>
      </c>
      <c r="B11" s="41" t="n"/>
      <c r="C11" s="41" t="n">
        <v>29529</v>
      </c>
      <c r="D11" s="34" t="n">
        <v>25323</v>
      </c>
      <c r="E11" s="34" t="n">
        <v>16928</v>
      </c>
      <c r="F11" s="34" t="n">
        <v>13041</v>
      </c>
      <c r="G11" s="34" t="n">
        <v>10519</v>
      </c>
      <c r="H11" s="34" t="n">
        <v>7800</v>
      </c>
      <c r="I11" s="34" t="n">
        <v>8246</v>
      </c>
      <c r="J11" s="34" t="n">
        <v>7985</v>
      </c>
      <c r="K11" s="34" t="n">
        <v>5621</v>
      </c>
      <c r="L11" s="34" t="n">
        <v>3434</v>
      </c>
    </row>
    <row r="12">
      <c r="A12" s="42" t="inlineStr">
        <is>
          <t>September</t>
        </is>
      </c>
      <c r="B12" s="41" t="n"/>
      <c r="C12" s="41" t="n">
        <v>29361</v>
      </c>
      <c r="D12" s="34" t="n">
        <v>24509</v>
      </c>
      <c r="E12" s="34" t="n">
        <v>16042</v>
      </c>
      <c r="F12" s="34" t="n">
        <v>12976</v>
      </c>
      <c r="G12" s="34" t="n">
        <v>10351</v>
      </c>
      <c r="H12" s="34" t="n">
        <v>7788</v>
      </c>
      <c r="I12" s="34" t="n">
        <v>8263</v>
      </c>
      <c r="J12" s="34" t="n">
        <v>7727</v>
      </c>
      <c r="K12" s="34" t="n">
        <v>5516</v>
      </c>
      <c r="L12" s="34" t="n">
        <v>3698</v>
      </c>
    </row>
    <row r="13">
      <c r="A13" s="42" t="inlineStr">
        <is>
          <t>August</t>
        </is>
      </c>
      <c r="B13" s="41" t="n"/>
      <c r="C13" s="41" t="n">
        <v>28265</v>
      </c>
      <c r="D13" s="34" t="n">
        <v>23547</v>
      </c>
      <c r="E13" s="34" t="n">
        <v>15814</v>
      </c>
      <c r="F13" s="34" t="n">
        <v>12693</v>
      </c>
      <c r="G13" s="34" t="n">
        <v>9923</v>
      </c>
      <c r="H13" s="34" t="n">
        <v>7792</v>
      </c>
      <c r="I13" s="34" t="n">
        <v>8231</v>
      </c>
      <c r="J13" s="34" t="n">
        <v>7658</v>
      </c>
      <c r="K13" s="34" t="n">
        <v>5206</v>
      </c>
      <c r="L13" s="34" t="n">
        <v>3497</v>
      </c>
    </row>
    <row r="14">
      <c r="A14" s="42" t="inlineStr">
        <is>
          <t>July</t>
        </is>
      </c>
      <c r="B14" s="41" t="n"/>
      <c r="C14" s="41" t="n">
        <v>28464</v>
      </c>
      <c r="D14" s="34" t="n">
        <v>23332</v>
      </c>
      <c r="E14" s="34" t="n">
        <v>15245</v>
      </c>
      <c r="F14" s="34" t="n">
        <v>12140</v>
      </c>
      <c r="G14" s="34" t="n">
        <v>9609</v>
      </c>
      <c r="H14" s="34" t="n">
        <v>7831</v>
      </c>
      <c r="I14" s="34" t="n">
        <v>8324</v>
      </c>
      <c r="J14" s="34" t="n">
        <v>7554</v>
      </c>
      <c r="K14" s="34" t="n">
        <v>4947</v>
      </c>
      <c r="L14" s="34" t="n">
        <v>3334</v>
      </c>
    </row>
    <row r="15">
      <c r="A15" s="42" t="inlineStr">
        <is>
          <t>Jun</t>
        </is>
      </c>
      <c r="B15" s="41" t="n"/>
      <c r="C15" s="41" t="n">
        <v>27269</v>
      </c>
      <c r="D15" s="34" t="n">
        <v>21262</v>
      </c>
      <c r="E15" s="34" t="n">
        <v>14734</v>
      </c>
      <c r="F15" s="34" t="n">
        <v>12276</v>
      </c>
      <c r="G15" s="34" t="n">
        <v>9156</v>
      </c>
      <c r="H15" s="34" t="n">
        <v>7917</v>
      </c>
      <c r="I15" s="34" t="n">
        <v>8122</v>
      </c>
      <c r="J15" s="34" t="n">
        <v>7554</v>
      </c>
      <c r="K15" s="34" t="n">
        <v>4744</v>
      </c>
      <c r="L15" s="34" t="n">
        <v>3310</v>
      </c>
    </row>
    <row r="16">
      <c r="A16" s="42" t="inlineStr">
        <is>
          <t>May</t>
        </is>
      </c>
      <c r="B16" s="41" t="n"/>
      <c r="C16" s="41" t="n">
        <v>26688</v>
      </c>
      <c r="D16" s="34" t="n">
        <v>20904</v>
      </c>
      <c r="E16" s="34" t="n">
        <v>14749</v>
      </c>
      <c r="F16" s="34" t="n">
        <v>12286</v>
      </c>
      <c r="G16" s="34" t="n">
        <v>8819</v>
      </c>
      <c r="H16" s="34" t="n">
        <v>8123</v>
      </c>
      <c r="I16" s="34" t="n">
        <v>8183</v>
      </c>
      <c r="J16" s="34" t="n">
        <v>7304</v>
      </c>
      <c r="K16" s="34" t="n">
        <v>4584</v>
      </c>
      <c r="L16" s="34" t="n">
        <v>3189</v>
      </c>
    </row>
    <row r="17">
      <c r="A17" s="42" t="inlineStr">
        <is>
          <t>April</t>
        </is>
      </c>
      <c r="B17" s="41" t="n">
        <v>31115</v>
      </c>
      <c r="C17" s="41" t="n">
        <v>26632</v>
      </c>
      <c r="D17" s="34" t="n">
        <v>20371</v>
      </c>
      <c r="E17" s="34" t="n">
        <v>13728</v>
      </c>
      <c r="F17" s="34" t="n">
        <v>11863</v>
      </c>
      <c r="G17" s="34" t="n">
        <v>8596</v>
      </c>
      <c r="H17" s="34" t="n">
        <v>8376</v>
      </c>
      <c r="I17" s="34" t="n">
        <v>8238</v>
      </c>
      <c r="J17" s="34" t="n">
        <v>6690</v>
      </c>
      <c r="K17" s="34" t="n">
        <v>4269</v>
      </c>
      <c r="L17" s="34" t="n">
        <v>3122</v>
      </c>
    </row>
    <row r="18"/>
    <row r="19">
      <c r="A19" s="40" t="inlineStr">
        <is>
          <t xml:space="preserve">SIP Count - </t>
        </is>
      </c>
      <c r="B19" s="28" t="n"/>
    </row>
    <row r="20">
      <c r="A20" s="40" t="inlineStr">
        <is>
          <t>-</t>
        </is>
      </c>
      <c r="B20" s="138" t="inlineStr">
        <is>
          <t>(Lakh)</t>
        </is>
      </c>
      <c r="C20" s="138" t="inlineStr">
        <is>
          <t>(Lakh)</t>
        </is>
      </c>
      <c r="D20" s="138" t="inlineStr">
        <is>
          <t>(Lakh)</t>
        </is>
      </c>
      <c r="E20" s="138" t="inlineStr">
        <is>
          <t>(Lakh)</t>
        </is>
      </c>
      <c r="F20" s="139" t="inlineStr">
        <is>
          <t>(Cr)</t>
        </is>
      </c>
      <c r="G20" s="139" t="inlineStr">
        <is>
          <t>(Cr)</t>
        </is>
      </c>
    </row>
    <row r="21" ht="55.2" customFormat="1" customHeight="1" s="38">
      <c r="A21" s="39" t="inlineStr">
        <is>
          <t>Month</t>
        </is>
      </c>
      <c r="B21" s="39" t="inlineStr">
        <is>
          <t>Total No. of outstanding SIP Accounts</t>
        </is>
      </c>
      <c r="C21" s="39" t="inlineStr">
        <is>
          <t>No. of New SIPs registered</t>
        </is>
      </c>
      <c r="D21" s="39" t="inlineStr">
        <is>
          <t>No. of SIPs discontinued*/tenure completed</t>
        </is>
      </c>
      <c r="E21" s="39" t="inlineStr">
        <is>
          <t>No. of Contributing SIP accounts</t>
        </is>
      </c>
      <c r="F21" s="39" t="inlineStr">
        <is>
          <t>SIP Contribution ₹ crore</t>
        </is>
      </c>
      <c r="G21" s="39" t="inlineStr">
        <is>
          <t>SIP AUM
 ₹ crore</t>
        </is>
      </c>
    </row>
    <row r="22" customFormat="1" s="38">
      <c r="A22" s="36" t="n">
        <v>46113</v>
      </c>
      <c r="B22" s="35" t="n">
        <v>1044.26</v>
      </c>
      <c r="C22" s="35" t="n">
        <v>50.71</v>
      </c>
      <c r="D22" s="35" t="n">
        <v>51.29</v>
      </c>
      <c r="E22" s="35" t="n">
        <v>964.91</v>
      </c>
      <c r="F22" s="34" t="n">
        <v>31115</v>
      </c>
      <c r="G22" s="34" t="n">
        <v>1685126</v>
      </c>
    </row>
    <row r="23" customFormat="1" s="38">
      <c r="A23" s="36" t="n"/>
      <c r="B23" s="35" t="n"/>
      <c r="C23" s="35" t="n"/>
      <c r="D23" s="35" t="n"/>
      <c r="E23" s="35" t="n"/>
      <c r="F23" s="34" t="n"/>
      <c r="G23" s="34" t="n"/>
    </row>
    <row r="24">
      <c r="A24" s="117" t="inlineStr">
        <is>
          <t>Apr 25 – Mar 26</t>
        </is>
      </c>
      <c r="B24" s="118">
        <f>B25</f>
        <v/>
      </c>
      <c r="C24" s="118">
        <f>SUM(C25:C36)</f>
        <v/>
      </c>
      <c r="D24" s="118">
        <f>SUM(D25:D36)</f>
        <v/>
      </c>
      <c r="E24" s="118">
        <f>E25</f>
        <v/>
      </c>
      <c r="F24" s="119">
        <f>SUM(F25:F36)</f>
        <v/>
      </c>
      <c r="G24" s="119">
        <f>G25</f>
        <v/>
      </c>
    </row>
    <row r="25">
      <c r="A25" s="36" t="n">
        <v>46082</v>
      </c>
      <c r="B25" s="35" t="n">
        <v>1044.84</v>
      </c>
      <c r="C25" s="35" t="n">
        <v>52.82</v>
      </c>
      <c r="D25" s="35" t="n">
        <v>53.38</v>
      </c>
      <c r="E25" s="35" t="n">
        <v>971.86</v>
      </c>
      <c r="F25" s="34" t="n">
        <v>32087</v>
      </c>
      <c r="G25" s="34" t="n">
        <v>1510943</v>
      </c>
    </row>
    <row r="26">
      <c r="A26" s="36" t="n">
        <v>46054</v>
      </c>
      <c r="B26" s="35" t="n">
        <v>1045.4</v>
      </c>
      <c r="C26" s="35" t="n">
        <v>65.72</v>
      </c>
      <c r="D26" s="35" t="n">
        <v>49.7</v>
      </c>
      <c r="E26" s="35" t="n">
        <v>944.48</v>
      </c>
      <c r="F26" s="34" t="n">
        <v>29845</v>
      </c>
      <c r="G26" s="34" t="n">
        <v>1664085</v>
      </c>
    </row>
    <row r="27">
      <c r="A27" s="36" t="n">
        <v>46023</v>
      </c>
      <c r="B27" s="35" t="n">
        <v>1029.38</v>
      </c>
      <c r="C27" s="35" t="n">
        <v>74.11</v>
      </c>
      <c r="D27" s="35" t="n">
        <v>55.46</v>
      </c>
      <c r="E27" s="35" t="n">
        <v>992.1900000000001</v>
      </c>
      <c r="F27" s="34" t="n">
        <v>31002</v>
      </c>
      <c r="G27" s="34" t="n">
        <v>1636082</v>
      </c>
    </row>
    <row r="28">
      <c r="A28" s="36" t="n">
        <v>45992</v>
      </c>
      <c r="B28" s="35" t="n">
        <v>1010.73</v>
      </c>
      <c r="C28" s="35" t="n">
        <v>60.46</v>
      </c>
      <c r="D28" s="35" t="n">
        <v>51.57</v>
      </c>
      <c r="E28" s="35" t="n">
        <v>979</v>
      </c>
      <c r="F28" s="34" t="n">
        <v>31002</v>
      </c>
      <c r="G28" s="34" t="n">
        <v>1663369</v>
      </c>
    </row>
    <row r="29">
      <c r="A29" s="36" t="n">
        <v>45962</v>
      </c>
      <c r="B29" s="35" t="n">
        <v>1001.84</v>
      </c>
      <c r="C29" s="35" t="n">
        <v>57.14</v>
      </c>
      <c r="D29" s="35" t="n">
        <v>43.18</v>
      </c>
      <c r="E29" s="35" t="n">
        <v>942.52</v>
      </c>
      <c r="F29" s="34" t="n">
        <v>29445</v>
      </c>
      <c r="G29" s="34" t="n">
        <v>1652665</v>
      </c>
    </row>
    <row r="30">
      <c r="A30" s="36" t="n">
        <v>45931</v>
      </c>
      <c r="B30" s="35" t="n">
        <v>987.88</v>
      </c>
      <c r="C30" s="35" t="n">
        <v>60.25</v>
      </c>
      <c r="D30" s="35" t="n">
        <v>45.1</v>
      </c>
      <c r="E30" s="35" t="n">
        <v>945.2</v>
      </c>
      <c r="F30" s="34" t="n">
        <v>29529</v>
      </c>
      <c r="G30" s="34" t="n">
        <v>1625305</v>
      </c>
    </row>
    <row r="31">
      <c r="A31" s="36" t="n">
        <v>45901</v>
      </c>
      <c r="B31" s="35" t="n">
        <v>972.74</v>
      </c>
      <c r="C31" s="35" t="n">
        <v>57.73</v>
      </c>
      <c r="D31" s="35" t="n">
        <v>44.03</v>
      </c>
      <c r="E31" s="35" t="n">
        <v>925.21</v>
      </c>
      <c r="F31" s="34" t="n">
        <v>29361</v>
      </c>
      <c r="G31" s="34" t="n">
        <v>1552303</v>
      </c>
    </row>
    <row r="32">
      <c r="A32" s="36" t="n">
        <v>45870</v>
      </c>
      <c r="B32" s="35" t="n">
        <v>959.04</v>
      </c>
      <c r="C32" s="35" t="n">
        <v>55.23</v>
      </c>
      <c r="D32" s="35" t="n">
        <v>41.15</v>
      </c>
      <c r="E32" s="35" t="n">
        <v>898.7</v>
      </c>
      <c r="F32" s="34" t="n">
        <v>28265</v>
      </c>
      <c r="G32" s="34" t="n">
        <v>1518368</v>
      </c>
    </row>
    <row r="33">
      <c r="A33" s="36" t="n">
        <v>45839</v>
      </c>
      <c r="B33" s="35" t="n">
        <v>944.97</v>
      </c>
      <c r="C33" s="35" t="n">
        <v>68.69</v>
      </c>
      <c r="D33" s="35" t="n">
        <v>43.04</v>
      </c>
      <c r="E33" s="35" t="n">
        <v>911.1799999999999</v>
      </c>
      <c r="F33" s="34" t="n">
        <v>28464</v>
      </c>
      <c r="G33" s="34" t="n">
        <v>1519456</v>
      </c>
    </row>
    <row r="34">
      <c r="A34" s="36" t="n">
        <v>45809</v>
      </c>
      <c r="B34" s="35" t="n">
        <v>919.3200000000001</v>
      </c>
      <c r="C34" s="35" t="n">
        <v>61.91</v>
      </c>
      <c r="D34" s="35" t="n">
        <v>48.16</v>
      </c>
      <c r="E34" s="35" t="n">
        <v>864.7</v>
      </c>
      <c r="F34" s="34" t="n">
        <v>27269</v>
      </c>
      <c r="G34" s="34" t="n">
        <v>1530574</v>
      </c>
    </row>
    <row r="35">
      <c r="A35" s="36" t="n">
        <v>45778</v>
      </c>
      <c r="B35" s="35" t="n">
        <v>905.5700000000001</v>
      </c>
      <c r="C35" s="35" t="n">
        <v>59.15</v>
      </c>
      <c r="D35" s="35" t="n">
        <v>42.66</v>
      </c>
      <c r="E35" s="35" t="n">
        <v>856</v>
      </c>
      <c r="F35" s="34" t="n">
        <v>26688</v>
      </c>
      <c r="G35" s="34" t="n">
        <v>1461360</v>
      </c>
    </row>
    <row r="36">
      <c r="A36" s="36" t="n">
        <v>45748</v>
      </c>
      <c r="B36" s="35" t="n">
        <v>889.08</v>
      </c>
      <c r="C36" s="35" t="n">
        <v>46.01</v>
      </c>
      <c r="D36" s="120" t="n">
        <v>162.32</v>
      </c>
      <c r="E36" s="35" t="n">
        <v>838.25</v>
      </c>
      <c r="F36" s="34" t="n">
        <v>26632</v>
      </c>
      <c r="G36" s="34" t="n">
        <v>1389655</v>
      </c>
    </row>
    <row r="37">
      <c r="A37" s="117" t="inlineStr">
        <is>
          <t>Apr 24 – Mar 25</t>
        </is>
      </c>
      <c r="B37" s="118" t="n">
        <v>1005.39</v>
      </c>
      <c r="C37" s="118" t="n">
        <v>679.85</v>
      </c>
      <c r="D37" s="118" t="n">
        <v>514.17</v>
      </c>
      <c r="E37" s="118" t="n">
        <v>811.16</v>
      </c>
      <c r="F37" s="119" t="n">
        <v>289352</v>
      </c>
      <c r="G37" s="119" t="n">
        <v>1335188</v>
      </c>
    </row>
    <row r="38">
      <c r="A38" s="33" t="n"/>
      <c r="B38" s="32" t="n"/>
      <c r="C38" s="32" t="n"/>
      <c r="D38" s="32" t="n"/>
      <c r="E38" s="32" t="n"/>
      <c r="F38" s="31" t="n"/>
      <c r="G38" s="31" t="n"/>
    </row>
    <row r="39">
      <c r="A39" s="117" t="inlineStr">
        <is>
          <t>Apr 23 – Mar 24</t>
        </is>
      </c>
      <c r="B39" s="118" t="n">
        <v>839.71</v>
      </c>
      <c r="C39" s="118" t="n">
        <v>428.09</v>
      </c>
      <c r="D39" s="118" t="n">
        <v>224.37</v>
      </c>
      <c r="E39" s="118" t="inlineStr">
        <is>
          <t>-</t>
        </is>
      </c>
      <c r="F39" s="119" t="n">
        <v>199219</v>
      </c>
      <c r="G39" s="119" t="n">
        <v>1071666</v>
      </c>
    </row>
    <row r="40">
      <c r="A40" s="28" t="n"/>
      <c r="B40" s="28" t="n"/>
    </row>
    <row r="41">
      <c r="A41" s="30" t="inlineStr">
        <is>
          <t>* As per SEBI guidelines, the SIPs where</t>
        </is>
      </c>
      <c r="B41" s="30" t="n"/>
      <c r="C41" s="30" t="n"/>
      <c r="D41" s="30" t="n"/>
      <c r="E41" s="30" t="n"/>
      <c r="F41" s="30" t="n"/>
      <c r="G41" s="30" t="n"/>
      <c r="H41" s="30" t="n"/>
    </row>
    <row r="42">
      <c r="A42" s="30" t="inlineStr">
        <is>
          <t>- 3 consecutive instalments with respect to daily, weekly, fortnightly, and monthly intervals and</t>
        </is>
      </c>
      <c r="B42" s="30" t="n"/>
      <c r="C42" s="30" t="n"/>
      <c r="D42" s="30" t="n"/>
      <c r="E42" s="30" t="n"/>
      <c r="F42" s="30" t="n"/>
      <c r="G42" s="30" t="n"/>
      <c r="H42" s="30" t="n"/>
    </row>
    <row r="43">
      <c r="A43" s="30" t="inlineStr">
        <is>
          <t>- 2 consecutive instalments with respect to others are failed, are treated as ceased/discontinued.</t>
        </is>
      </c>
      <c r="B43" s="30" t="n"/>
      <c r="C43" s="30" t="n"/>
      <c r="D43" s="30" t="n"/>
      <c r="E43" s="30" t="n"/>
      <c r="F43" s="30" t="n"/>
      <c r="G43" s="30" t="n"/>
      <c r="H43" s="30" t="n"/>
    </row>
    <row r="44">
      <c r="A44" s="121" t="inlineStr">
        <is>
          <t># Includes the past/legacy data on account of above reason, revised on 14th May 2025.</t>
        </is>
      </c>
      <c r="B44" s="121" t="n"/>
      <c r="C44" s="121" t="n"/>
      <c r="D44" s="121" t="n"/>
      <c r="E44" s="121" t="n"/>
      <c r="F44" s="121" t="n"/>
      <c r="G44" s="121" t="n"/>
      <c r="H44" s="121" t="n"/>
    </row>
  </sheetData>
  <mergeCells count="1">
    <mergeCell ref="C3:L3"/>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0"/>
    <pageSetUpPr fitToPage="1"/>
  </sheetPr>
  <dimension ref="A1:EY1294"/>
  <sheetViews>
    <sheetView tabSelected="1" topLeftCell="A1" zoomScale="97" zoomScaleNormal="61"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8.453125" defaultRowHeight="13.8" outlineLevelRow="1"/>
  <cols>
    <col width="8.453125" customWidth="1" style="494" min="1" max="6"/>
    <col width="8.453125" customWidth="1" style="425" min="7" max="10"/>
    <col width="9.7265625" customWidth="1" style="425" min="11" max="11"/>
    <col width="11.6328125" customWidth="1" style="425" min="12" max="12"/>
    <col width="10.453125" customWidth="1" style="425" min="13" max="13"/>
    <col width="11" customWidth="1" style="425" min="14" max="14"/>
    <col width="11.54296875" customWidth="1" style="425" min="15" max="15"/>
    <col width="1.81640625" customWidth="1" style="494" min="16" max="16"/>
    <col width="11.90625" bestFit="1" customWidth="1" style="494" min="17" max="17"/>
    <col width="13.453125" bestFit="1" customWidth="1" style="494" min="18" max="18"/>
    <col width="11.08984375" bestFit="1" customWidth="1" style="494" min="19" max="19"/>
    <col width="12.54296875" bestFit="1" customWidth="1" style="494" min="20" max="21"/>
    <col width="12.08984375" bestFit="1" customWidth="1" style="494" min="22" max="22"/>
    <col width="12.1796875" bestFit="1" customWidth="1" style="494" min="23" max="23"/>
    <col width="11.81640625" bestFit="1" customWidth="1" style="494" min="24" max="24"/>
    <col width="12.08984375" bestFit="1" customWidth="1" style="494" min="25" max="25"/>
    <col width="1.81640625" customWidth="1" style="494" min="26" max="26"/>
    <col width="11.90625" bestFit="1" customWidth="1" style="494" min="27" max="27"/>
    <col width="14.6328125" bestFit="1" customWidth="1" style="494" min="28" max="28"/>
    <col width="11.08984375" bestFit="1" customWidth="1" style="494" min="29" max="29"/>
    <col width="12.54296875" bestFit="1" customWidth="1" style="494" min="30" max="30"/>
    <col width="12.1796875" bestFit="1" customWidth="1" style="494" min="31" max="31"/>
    <col width="12.08984375" bestFit="1" customWidth="1" style="494" min="32" max="33"/>
    <col width="11.81640625" bestFit="1" customWidth="1" style="494" min="34" max="34"/>
    <col width="12.08984375" bestFit="1" customWidth="1" style="494" min="35" max="35"/>
    <col width="1.81640625" customWidth="1" style="494" min="36" max="36"/>
    <col width="11.90625" bestFit="1" customWidth="1" style="494" min="37" max="37"/>
    <col width="13.36328125" bestFit="1" customWidth="1" style="494" min="38" max="38"/>
    <col width="11.08984375" bestFit="1" customWidth="1" style="494" min="39" max="39"/>
    <col width="12.54296875" bestFit="1" customWidth="1" style="494" min="40" max="40"/>
    <col width="12.453125" bestFit="1" customWidth="1" style="494" min="41" max="41"/>
    <col width="12.08984375" bestFit="1" customWidth="1" style="494" min="42" max="43"/>
    <col width="11.81640625" bestFit="1" customWidth="1" style="494" min="44" max="44"/>
    <col width="12.08984375" bestFit="1" customWidth="1" style="494" min="45" max="45"/>
    <col width="1.81640625" customWidth="1" style="494" min="46" max="46"/>
    <col width="11.90625" bestFit="1" customWidth="1" style="494" min="47" max="47"/>
    <col width="12.90625" bestFit="1" customWidth="1" style="494" min="48" max="48"/>
    <col width="11.08984375" bestFit="1" customWidth="1" style="494" min="49" max="49"/>
    <col width="12.1796875" bestFit="1" customWidth="1" style="494" min="50" max="50"/>
    <col width="12.08984375" bestFit="1" customWidth="1" style="494" min="51" max="51"/>
    <col width="12.1796875" bestFit="1" customWidth="1" style="494" min="52" max="52"/>
    <col width="12.08984375" bestFit="1" customWidth="1" style="494" min="53" max="53"/>
    <col width="11.81640625" bestFit="1" customWidth="1" style="494" min="54" max="54"/>
    <col width="12.08984375" bestFit="1" customWidth="1" style="494" min="55" max="55"/>
    <col width="1.81640625" customWidth="1" style="494" min="56" max="56"/>
    <col width="11.90625" bestFit="1" customWidth="1" style="494" min="57" max="57"/>
    <col width="12.90625" bestFit="1" customWidth="1" style="494" min="58" max="58"/>
    <col width="12.1796875" bestFit="1" customWidth="1" style="494" min="59" max="60"/>
    <col width="12.08984375" bestFit="1" customWidth="1" style="494" min="61" max="62"/>
    <col width="12.1796875" bestFit="1" customWidth="1" style="494" min="63" max="63"/>
    <col width="11.81640625" bestFit="1" customWidth="1" style="494" min="64" max="64"/>
    <col width="11.90625" bestFit="1" customWidth="1" style="494" min="65" max="65"/>
    <col width="1.81640625" customWidth="1" style="494" min="66" max="66"/>
    <col width="11.90625" bestFit="1" customWidth="1" style="494" min="67" max="67"/>
    <col width="12.90625" bestFit="1" customWidth="1" style="494" min="68" max="68"/>
    <col width="12.08984375" bestFit="1" customWidth="1" style="494" min="69" max="69"/>
    <col width="12.1796875" bestFit="1" customWidth="1" style="494" min="70" max="70"/>
    <col width="12.08984375" bestFit="1" customWidth="1" style="494" min="71" max="71"/>
    <col width="11.81640625" bestFit="1" customWidth="1" style="494" min="72" max="72"/>
    <col width="12.08984375" bestFit="1" customWidth="1" style="494" min="73" max="73"/>
    <col width="11.81640625" bestFit="1" customWidth="1" style="494" min="74" max="74"/>
    <col width="12.81640625" bestFit="1" customWidth="1" style="494" min="75" max="75"/>
    <col width="1.81640625" customWidth="1" style="494" min="76" max="76"/>
    <col width="11.90625" bestFit="1" customWidth="1" style="494" min="77" max="77"/>
    <col width="13.36328125" bestFit="1" customWidth="1" style="494" min="78" max="78"/>
    <col width="12.08984375" bestFit="1" customWidth="1" style="494" min="79" max="79"/>
    <col width="12.1796875" bestFit="1" customWidth="1" style="494" min="80" max="80"/>
    <col width="12.08984375" bestFit="1" customWidth="1" style="494" min="81" max="83"/>
    <col width="11.81640625" bestFit="1" customWidth="1" style="494" min="84" max="84"/>
    <col width="11.90625" bestFit="1" customWidth="1" style="494" min="85" max="85"/>
    <col width="1.81640625" customWidth="1" style="494" min="86" max="86"/>
    <col width="11.90625" bestFit="1" customWidth="1" style="494" min="87" max="87"/>
    <col width="15.453125" bestFit="1" customWidth="1" style="494" min="88" max="88"/>
    <col width="12.08984375" bestFit="1" customWidth="1" style="494" min="89" max="89"/>
    <col width="12.1796875" bestFit="1" customWidth="1" style="494" min="90" max="90"/>
    <col width="12.08984375" bestFit="1" customWidth="1" style="494" min="91" max="91"/>
    <col width="11.81640625" bestFit="1" customWidth="1" style="494" min="92" max="92"/>
    <col width="12.08984375" bestFit="1" customWidth="1" style="494" min="93" max="93"/>
    <col width="11.81640625" bestFit="1" customWidth="1" style="494" min="94" max="94"/>
    <col width="12.81640625" bestFit="1" customWidth="1" style="494" min="95" max="95"/>
    <col width="1.81640625" customWidth="1" style="494" min="96" max="96"/>
    <col width="11.90625" bestFit="1" customWidth="1" style="494" min="97" max="97"/>
    <col width="15.1796875" bestFit="1" customWidth="1" style="494" min="98" max="98"/>
    <col width="12.08984375" bestFit="1" customWidth="1" style="494" min="99" max="99"/>
    <col width="12.1796875" bestFit="1" customWidth="1" style="494" min="100" max="100"/>
    <col width="12.08984375" bestFit="1" customWidth="1" style="494" min="101" max="101"/>
    <col width="11.81640625" bestFit="1" customWidth="1" style="494" min="102" max="102"/>
    <col width="12.08984375" bestFit="1" customWidth="1" style="494" min="103" max="103"/>
    <col width="11.81640625" bestFit="1" customWidth="1" style="494" min="104" max="104"/>
    <col width="12.81640625" bestFit="1" customWidth="1" style="494" min="105" max="105"/>
    <col width="1.81640625" customWidth="1" style="1" min="106" max="106"/>
    <col width="11.90625" bestFit="1" customWidth="1" style="1" min="107" max="107"/>
    <col width="14.54296875" bestFit="1" customWidth="1" style="1" min="108" max="108"/>
    <col width="13.1796875" bestFit="1" customWidth="1" style="1" min="109" max="109"/>
    <col width="13.81640625" bestFit="1" customWidth="1" style="1" min="110" max="110"/>
    <col width="13" bestFit="1" customWidth="1" style="1" min="111" max="111"/>
    <col width="13.1796875" bestFit="1" customWidth="1" style="1" min="112" max="112"/>
    <col width="13.453125" bestFit="1" customWidth="1" style="1" min="113" max="113"/>
    <col width="11.81640625" bestFit="1" customWidth="1" style="1" min="114" max="114"/>
    <col width="11.90625" bestFit="1" customWidth="1" style="1" min="115" max="115"/>
    <col width="1.81640625" customWidth="1" style="1" min="116" max="116"/>
    <col width="13" bestFit="1" customWidth="1" style="1" min="117" max="117"/>
    <col width="11.81640625" bestFit="1" customWidth="1" style="1" min="118" max="118"/>
    <col width="1.81640625" customWidth="1" style="1" min="119" max="119"/>
    <col width="12.1796875" bestFit="1" customWidth="1" style="1" min="120" max="120"/>
    <col width="12.1796875" bestFit="1" customWidth="1" style="102" min="121" max="121"/>
    <col width="10.81640625" bestFit="1" customWidth="1" style="1" min="122" max="122"/>
    <col width="12.1796875" bestFit="1" customWidth="1" style="1" min="123" max="123"/>
    <col width="14.54296875" bestFit="1" customWidth="1" style="1" min="124" max="124"/>
    <col width="13.453125" bestFit="1" customWidth="1" style="1" min="125" max="125"/>
    <col width="13.81640625" bestFit="1" customWidth="1" style="1" min="126" max="126"/>
    <col width="12.90625" bestFit="1" customWidth="1" style="1" min="127" max="127"/>
    <col width="13.81640625" bestFit="1" customWidth="1" style="1" min="128" max="129"/>
    <col width="12.1796875" bestFit="1" customWidth="1" style="1" min="130" max="131"/>
    <col width="1.81640625" customWidth="1" style="1" min="132" max="132"/>
    <col width="13.1796875" bestFit="1" customWidth="1" style="1" min="133" max="133"/>
    <col width="12.08984375" bestFit="1" customWidth="1" style="1" min="134" max="134"/>
    <col width="1.81640625" customWidth="1" style="1" min="135" max="135"/>
    <col width="12.1796875" bestFit="1" customWidth="1" style="1" min="136" max="136"/>
    <col width="12.1796875" bestFit="1" customWidth="1" style="102" min="137" max="137"/>
    <col width="10.6328125" bestFit="1" customWidth="1" style="1" min="138" max="138"/>
    <col width="1.81640625" customWidth="1" style="1" min="139" max="139"/>
    <col width="11.90625" bestFit="1" customWidth="1" style="1" min="140" max="140"/>
    <col width="14.54296875" bestFit="1" customWidth="1" style="1" min="141" max="141"/>
    <col width="13.1796875" bestFit="1" customWidth="1" style="1" min="142" max="142"/>
    <col width="13.81640625" bestFit="1" customWidth="1" style="1" min="143" max="143"/>
    <col width="13" bestFit="1" customWidth="1" style="1" min="144" max="144"/>
    <col width="13.1796875" bestFit="1" customWidth="1" style="1" min="145" max="145"/>
    <col width="13.453125" bestFit="1" customWidth="1" style="1" min="146" max="146"/>
    <col width="11.81640625" bestFit="1" customWidth="1" style="1" min="147" max="147"/>
    <col width="11.90625" bestFit="1" customWidth="1" style="1" min="148" max="148"/>
    <col width="1.81640625" customWidth="1" style="1" min="149" max="149"/>
    <col width="13.1796875" bestFit="1" customWidth="1" style="1" min="150" max="150"/>
    <col width="12.08984375" bestFit="1" customWidth="1" style="1" min="151" max="151"/>
    <col width="1.81640625" customWidth="1" style="1" min="152" max="152"/>
    <col width="12.1796875" bestFit="1" customWidth="1" style="306" min="153" max="153"/>
    <col width="12.1796875" bestFit="1" customWidth="1" style="299" min="154" max="154"/>
    <col width="10.81640625" bestFit="1" customWidth="1" style="1" min="155" max="155"/>
    <col width="8.453125" customWidth="1" style="1" min="156" max="157"/>
    <col width="8.453125" customWidth="1" style="1" min="158" max="16384"/>
  </cols>
  <sheetData>
    <row r="1" ht="14.7" customFormat="1" customHeight="1" s="462">
      <c r="A1" s="451" t="n"/>
      <c r="G1" s="461" t="n"/>
      <c r="P1" s="46" t="inlineStr">
        <is>
          <t>-</t>
        </is>
      </c>
      <c r="Q1" s="457" t="n"/>
      <c r="R1" s="449" t="n"/>
      <c r="S1" s="449" t="n"/>
      <c r="T1" s="449" t="n"/>
      <c r="U1" s="449" t="n"/>
      <c r="V1" s="449" t="n"/>
      <c r="W1" s="449" t="n"/>
      <c r="X1" s="449" t="n"/>
      <c r="Y1" s="450" t="n"/>
      <c r="Z1" s="46" t="inlineStr">
        <is>
          <t>-</t>
        </is>
      </c>
      <c r="AA1" s="451" t="n"/>
      <c r="AB1" s="449" t="n"/>
      <c r="AC1" s="449" t="n"/>
      <c r="AD1" s="449" t="n"/>
      <c r="AE1" s="449" t="n"/>
      <c r="AF1" s="449" t="n"/>
      <c r="AG1" s="449" t="n"/>
      <c r="AH1" s="449" t="n"/>
      <c r="AI1" s="450" t="n"/>
      <c r="AJ1" s="46" t="inlineStr">
        <is>
          <t>-</t>
        </is>
      </c>
      <c r="AK1" s="451" t="n"/>
      <c r="AL1" s="449" t="n"/>
      <c r="AM1" s="449" t="n"/>
      <c r="AN1" s="449" t="n"/>
      <c r="AO1" s="449" t="n"/>
      <c r="AP1" s="449" t="n"/>
      <c r="AQ1" s="449" t="n"/>
      <c r="AR1" s="449" t="n"/>
      <c r="AS1" s="450" t="n"/>
      <c r="AT1" s="46" t="inlineStr">
        <is>
          <t>-</t>
        </is>
      </c>
      <c r="AU1" s="451" t="n"/>
      <c r="AV1" s="449" t="n"/>
      <c r="AW1" s="449" t="n"/>
      <c r="AX1" s="449" t="n"/>
      <c r="AY1" s="449" t="n"/>
      <c r="AZ1" s="449" t="n"/>
      <c r="BA1" s="449" t="n"/>
      <c r="BB1" s="449" t="n"/>
      <c r="BC1" s="450" t="n"/>
      <c r="BD1" s="46" t="inlineStr">
        <is>
          <t>-</t>
        </is>
      </c>
      <c r="BE1" s="451" t="n"/>
      <c r="BF1" s="449" t="n"/>
      <c r="BG1" s="449" t="n"/>
      <c r="BH1" s="449" t="n"/>
      <c r="BI1" s="449" t="n"/>
      <c r="BJ1" s="449" t="n"/>
      <c r="BK1" s="449" t="n"/>
      <c r="BL1" s="449" t="n"/>
      <c r="BM1" s="450" t="n"/>
      <c r="BN1" s="46" t="inlineStr">
        <is>
          <t>-</t>
        </is>
      </c>
      <c r="BO1" s="463" t="n"/>
      <c r="BP1" s="464" t="n"/>
      <c r="BQ1" s="464" t="n"/>
      <c r="BR1" s="464" t="n"/>
      <c r="BS1" s="464" t="n"/>
      <c r="BT1" s="464" t="n"/>
      <c r="BU1" s="464" t="n"/>
      <c r="BV1" s="464" t="n"/>
      <c r="BW1" s="465" t="n"/>
      <c r="BX1" s="46" t="inlineStr">
        <is>
          <t>-</t>
        </is>
      </c>
      <c r="BY1" s="466" t="n"/>
      <c r="BZ1" s="464" t="n"/>
      <c r="CA1" s="464" t="n"/>
      <c r="CB1" s="464" t="n"/>
      <c r="CC1" s="464" t="n"/>
      <c r="CD1" s="464" t="n"/>
      <c r="CE1" s="464" t="n"/>
      <c r="CF1" s="464" t="n"/>
      <c r="CG1" s="465" t="n"/>
      <c r="CH1" s="46" t="inlineStr">
        <is>
          <t>-</t>
        </is>
      </c>
      <c r="CI1" s="470" t="n"/>
      <c r="CJ1" s="449" t="n"/>
      <c r="CK1" s="449" t="n"/>
      <c r="CL1" s="449" t="n"/>
      <c r="CM1" s="449" t="n"/>
      <c r="CN1" s="449" t="n"/>
      <c r="CO1" s="449" t="n"/>
      <c r="CP1" s="449" t="n"/>
      <c r="CQ1" s="450" t="n"/>
      <c r="CR1" s="46" t="inlineStr">
        <is>
          <t>-</t>
        </is>
      </c>
      <c r="CS1" s="458" t="n"/>
      <c r="CT1" s="449" t="n"/>
      <c r="CU1" s="449" t="n"/>
      <c r="CV1" s="449" t="n"/>
      <c r="CW1" s="449" t="n"/>
      <c r="CX1" s="449" t="n"/>
      <c r="CY1" s="449" t="n"/>
      <c r="CZ1" s="449" t="n"/>
      <c r="DA1" s="450" t="n"/>
      <c r="DB1" s="27" t="inlineStr">
        <is>
          <t>-</t>
        </is>
      </c>
      <c r="DL1" s="27" t="inlineStr">
        <is>
          <t>-</t>
        </is>
      </c>
      <c r="DO1" s="27" t="inlineStr">
        <is>
          <t>-</t>
        </is>
      </c>
      <c r="DQ1" s="101" t="n"/>
      <c r="EB1" s="27" t="inlineStr">
        <is>
          <t>-</t>
        </is>
      </c>
      <c r="EE1" s="27" t="inlineStr">
        <is>
          <t>-</t>
        </is>
      </c>
      <c r="EG1" s="101" t="n"/>
      <c r="EI1" s="27" t="inlineStr">
        <is>
          <t>-</t>
        </is>
      </c>
      <c r="ES1" s="27" t="inlineStr">
        <is>
          <t>-</t>
        </is>
      </c>
      <c r="EV1" s="27" t="inlineStr">
        <is>
          <t>-</t>
        </is>
      </c>
      <c r="EX1" s="101" t="n"/>
    </row>
    <row r="2" ht="12" customHeight="1">
      <c r="A2" s="133" t="inlineStr">
        <is>
          <t>-</t>
        </is>
      </c>
      <c r="B2" s="133" t="inlineStr">
        <is>
          <t>-</t>
        </is>
      </c>
      <c r="C2" s="133" t="inlineStr">
        <is>
          <t>-</t>
        </is>
      </c>
      <c r="D2" s="133" t="inlineStr">
        <is>
          <t>-</t>
        </is>
      </c>
      <c r="E2" s="133" t="inlineStr">
        <is>
          <t>-</t>
        </is>
      </c>
      <c r="F2" s="140" t="n"/>
      <c r="G2" s="467" t="inlineStr">
        <is>
          <t>Mar'25</t>
        </is>
      </c>
      <c r="H2" s="468" t="n"/>
      <c r="I2" s="468" t="n"/>
      <c r="J2" s="468" t="n"/>
      <c r="K2" s="468" t="n"/>
      <c r="L2" s="468" t="n"/>
      <c r="M2" s="468" t="n"/>
      <c r="N2" s="468" t="n"/>
      <c r="O2" s="469" t="n"/>
      <c r="P2" s="47" t="inlineStr">
        <is>
          <t>-</t>
        </is>
      </c>
      <c r="Q2" s="460" t="inlineStr">
        <is>
          <t>Apr'25</t>
        </is>
      </c>
      <c r="R2" s="453" t="n"/>
      <c r="S2" s="453" t="n"/>
      <c r="T2" s="453" t="n"/>
      <c r="U2" s="453" t="n"/>
      <c r="V2" s="453" t="n"/>
      <c r="W2" s="453" t="n"/>
      <c r="X2" s="453" t="n"/>
      <c r="Y2" s="454" t="n"/>
      <c r="Z2" s="47" t="inlineStr">
        <is>
          <t>-</t>
        </is>
      </c>
      <c r="AA2" s="452" t="inlineStr">
        <is>
          <t>May'25</t>
        </is>
      </c>
      <c r="AB2" s="453" t="n"/>
      <c r="AC2" s="453" t="n"/>
      <c r="AD2" s="453" t="n"/>
      <c r="AE2" s="453" t="n"/>
      <c r="AF2" s="453" t="n"/>
      <c r="AG2" s="453" t="n"/>
      <c r="AH2" s="453" t="n"/>
      <c r="AI2" s="454" t="n"/>
      <c r="AJ2" s="47" t="inlineStr">
        <is>
          <t>-</t>
        </is>
      </c>
      <c r="AK2" s="452" t="inlineStr">
        <is>
          <t>Jun'25</t>
        </is>
      </c>
      <c r="AL2" s="453" t="n"/>
      <c r="AM2" s="453" t="n"/>
      <c r="AN2" s="453" t="n"/>
      <c r="AO2" s="453" t="n"/>
      <c r="AP2" s="453" t="n"/>
      <c r="AQ2" s="453" t="n"/>
      <c r="AR2" s="453" t="n"/>
      <c r="AS2" s="454" t="n"/>
      <c r="AT2" s="47" t="inlineStr">
        <is>
          <t>-</t>
        </is>
      </c>
      <c r="AU2" s="452" t="inlineStr">
        <is>
          <t>Jul'25</t>
        </is>
      </c>
      <c r="AV2" s="453" t="n"/>
      <c r="AW2" s="453" t="n"/>
      <c r="AX2" s="453" t="n"/>
      <c r="AY2" s="453" t="n"/>
      <c r="AZ2" s="453" t="n"/>
      <c r="BA2" s="453" t="n"/>
      <c r="BB2" s="453" t="n"/>
      <c r="BC2" s="454" t="n"/>
      <c r="BD2" s="47" t="inlineStr">
        <is>
          <t>-</t>
        </is>
      </c>
      <c r="BE2" s="452" t="inlineStr">
        <is>
          <t>Aug'25</t>
        </is>
      </c>
      <c r="BF2" s="453" t="n"/>
      <c r="BG2" s="453" t="n"/>
      <c r="BH2" s="453" t="n"/>
      <c r="BI2" s="453" t="n"/>
      <c r="BJ2" s="453" t="n"/>
      <c r="BK2" s="453" t="n"/>
      <c r="BL2" s="453" t="n"/>
      <c r="BM2" s="454" t="n"/>
      <c r="BN2" s="47" t="inlineStr">
        <is>
          <t>-</t>
        </is>
      </c>
      <c r="BO2" s="452" t="inlineStr">
        <is>
          <t>Sep'25</t>
        </is>
      </c>
      <c r="BP2" s="453" t="n"/>
      <c r="BQ2" s="453" t="n"/>
      <c r="BR2" s="453" t="n"/>
      <c r="BS2" s="453" t="n"/>
      <c r="BT2" s="453" t="n"/>
      <c r="BU2" s="453" t="n"/>
      <c r="BV2" s="453" t="n"/>
      <c r="BW2" s="454" t="n"/>
      <c r="BX2" s="47" t="inlineStr">
        <is>
          <t>-</t>
        </is>
      </c>
      <c r="BY2" s="455" t="inlineStr">
        <is>
          <t>Oct'25</t>
        </is>
      </c>
      <c r="BZ2" s="453" t="n"/>
      <c r="CA2" s="453" t="n"/>
      <c r="CB2" s="453" t="n"/>
      <c r="CC2" s="453" t="n"/>
      <c r="CD2" s="453" t="n"/>
      <c r="CE2" s="453" t="n"/>
      <c r="CF2" s="453" t="n"/>
      <c r="CG2" s="456" t="n"/>
      <c r="CH2" s="47" t="inlineStr">
        <is>
          <t>-</t>
        </is>
      </c>
      <c r="CI2" s="452" t="inlineStr">
        <is>
          <t>Nov'25</t>
        </is>
      </c>
      <c r="CJ2" s="453" t="n"/>
      <c r="CK2" s="453" t="n"/>
      <c r="CL2" s="453" t="n"/>
      <c r="CM2" s="453" t="n"/>
      <c r="CN2" s="453" t="n"/>
      <c r="CO2" s="453" t="n"/>
      <c r="CP2" s="453" t="n"/>
      <c r="CQ2" s="454" t="n"/>
      <c r="CR2" s="47" t="inlineStr">
        <is>
          <t>-</t>
        </is>
      </c>
      <c r="CS2" s="452" t="inlineStr">
        <is>
          <t>Dec'25</t>
        </is>
      </c>
      <c r="CT2" s="453" t="n"/>
      <c r="CU2" s="453" t="n"/>
      <c r="CV2" s="453" t="n"/>
      <c r="CW2" s="453" t="n"/>
      <c r="CX2" s="453" t="n"/>
      <c r="CY2" s="453" t="n"/>
      <c r="CZ2" s="453" t="n"/>
      <c r="DA2" s="454" t="n"/>
      <c r="DB2" s="2" t="inlineStr">
        <is>
          <t>-</t>
        </is>
      </c>
      <c r="DC2" s="452" t="inlineStr">
        <is>
          <t>Jan'25</t>
        </is>
      </c>
      <c r="DD2" s="453" t="n"/>
      <c r="DE2" s="453" t="n"/>
      <c r="DF2" s="453" t="n"/>
      <c r="DG2" s="453" t="n"/>
      <c r="DH2" s="453" t="n"/>
      <c r="DI2" s="453" t="n"/>
      <c r="DJ2" s="453" t="n"/>
      <c r="DK2" s="454" t="n"/>
      <c r="DL2" s="2" t="inlineStr">
        <is>
          <t>-</t>
        </is>
      </c>
      <c r="DM2" s="459" t="inlineStr">
        <is>
          <t>Apr'25 to Jan'26</t>
        </is>
      </c>
      <c r="DN2" s="454" t="n"/>
      <c r="DO2" s="2" t="inlineStr">
        <is>
          <t>-</t>
        </is>
      </c>
      <c r="DP2" s="136" t="inlineStr">
        <is>
          <t>-</t>
        </is>
      </c>
      <c r="DQ2" s="135" t="inlineStr">
        <is>
          <t>-</t>
        </is>
      </c>
      <c r="DR2" s="134" t="inlineStr">
        <is>
          <t>-</t>
        </is>
      </c>
      <c r="DS2" s="452" t="inlineStr">
        <is>
          <t>Feb'26</t>
        </is>
      </c>
      <c r="DT2" s="453" t="n"/>
      <c r="DU2" s="453" t="n"/>
      <c r="DV2" s="453" t="n"/>
      <c r="DW2" s="453" t="n"/>
      <c r="DX2" s="453" t="n"/>
      <c r="DY2" s="453" t="n"/>
      <c r="DZ2" s="453" t="n"/>
      <c r="EA2" s="454" t="n"/>
      <c r="EB2" s="2" t="inlineStr">
        <is>
          <t>-</t>
        </is>
      </c>
      <c r="EC2" s="459" t="inlineStr">
        <is>
          <t>Apr'25 to Feb'26</t>
        </is>
      </c>
      <c r="ED2" s="454" t="n"/>
      <c r="EE2" s="2" t="inlineStr">
        <is>
          <t>-</t>
        </is>
      </c>
      <c r="EF2" s="136" t="inlineStr">
        <is>
          <t>-</t>
        </is>
      </c>
      <c r="EG2" s="135" t="inlineStr">
        <is>
          <t>-</t>
        </is>
      </c>
      <c r="EH2" s="134" t="inlineStr">
        <is>
          <t>-</t>
        </is>
      </c>
      <c r="EI2" s="2" t="inlineStr">
        <is>
          <t>-</t>
        </is>
      </c>
      <c r="EJ2" s="452" t="inlineStr">
        <is>
          <t>Mar'26</t>
        </is>
      </c>
      <c r="EK2" s="453" t="n"/>
      <c r="EL2" s="453" t="n"/>
      <c r="EM2" s="453" t="n"/>
      <c r="EN2" s="453" t="n"/>
      <c r="EO2" s="453" t="n"/>
      <c r="EP2" s="453" t="n"/>
      <c r="EQ2" s="453" t="n"/>
      <c r="ER2" s="454" t="n"/>
      <c r="ES2" s="2" t="inlineStr">
        <is>
          <t>-</t>
        </is>
      </c>
      <c r="ET2" s="459" t="inlineStr">
        <is>
          <t>Apr'25 to Mar'26</t>
        </is>
      </c>
      <c r="EU2" s="454" t="n"/>
      <c r="EV2" s="2" t="inlineStr">
        <is>
          <t>-</t>
        </is>
      </c>
      <c r="EW2" s="136" t="inlineStr">
        <is>
          <t>-</t>
        </is>
      </c>
      <c r="EX2" s="135" t="inlineStr">
        <is>
          <t>-</t>
        </is>
      </c>
      <c r="EY2" s="134" t="inlineStr">
        <is>
          <t>-</t>
        </is>
      </c>
    </row>
    <row r="3" ht="110.4" customHeight="1">
      <c r="A3" s="141" t="inlineStr">
        <is>
          <t xml:space="preserve">Scheme Name </t>
        </is>
      </c>
      <c r="B3" s="141" t="inlineStr">
        <is>
          <t>AMFI-Asset Type</t>
        </is>
      </c>
      <c r="C3" s="141" t="inlineStr">
        <is>
          <t>AMFI-Open ended Schemes/Closed ended Schemes</t>
        </is>
      </c>
      <c r="D3" s="141" t="inlineStr">
        <is>
          <t>DEBT / EQUITY</t>
        </is>
      </c>
      <c r="E3" s="141" t="inlineStr">
        <is>
          <t>SALES_PROD_MIS</t>
        </is>
      </c>
      <c r="F3" s="415" t="inlineStr">
        <is>
          <t>Fund Type</t>
        </is>
      </c>
      <c r="G3" s="433" t="inlineStr">
        <is>
          <t>No. of Schemes as on March 31, 2025</t>
        </is>
      </c>
      <c r="H3" s="434" t="inlineStr">
        <is>
          <t>No. of Folios as on March 31, 2025</t>
        </is>
      </c>
      <c r="I3" s="435" t="inlineStr">
        <is>
          <t>Funds Mobilized for the month of March 2025 (INR in crore)</t>
        </is>
      </c>
      <c r="J3" s="436" t="inlineStr">
        <is>
          <t>Repurchase/ Redemption for the month of March 2025 (INR in crore)</t>
        </is>
      </c>
      <c r="K3" s="437" t="inlineStr">
        <is>
          <t>Net Inflow (+ve)/Outflow (-ve) for the month of March 2025 (INR in crore)</t>
        </is>
      </c>
      <c r="L3" s="438" t="inlineStr">
        <is>
          <t>Net Assets Under Management as on March 31, 2025 (INR in crore)</t>
        </is>
      </c>
      <c r="M3" s="433" t="inlineStr">
        <is>
          <t>Average Net Assets Under Management for the month March 2025 (INR in crore)</t>
        </is>
      </c>
      <c r="N3" s="439" t="inlineStr">
        <is>
          <t>No. of segregated portfolios created as on March 31, 2025</t>
        </is>
      </c>
      <c r="O3" s="440" t="inlineStr">
        <is>
          <t>Net Assets Under Management in segregated portfolio as on March 31, 2025 (INR in crore)</t>
        </is>
      </c>
      <c r="P3" s="142" t="inlineStr">
        <is>
          <t>-</t>
        </is>
      </c>
      <c r="Q3" s="143" t="inlineStr">
        <is>
          <t>No. of Schemes as on April 30, 2025</t>
        </is>
      </c>
      <c r="R3" s="143" t="inlineStr">
        <is>
          <t>No. of Folios as on April 30, 2025</t>
        </is>
      </c>
      <c r="S3" s="515" t="inlineStr">
        <is>
          <t>Funds Mobilized for the month of April 2025 (INR in crore)</t>
        </is>
      </c>
      <c r="T3" s="516" t="inlineStr">
        <is>
          <t>Repurchase/ Redemption for the month of April 2025 (INR in crore)</t>
        </is>
      </c>
      <c r="U3" s="517" t="inlineStr">
        <is>
          <t>Net Inflow (+ve)/Outflow (-ve) for the month of April 2025 (INR in crore)</t>
        </is>
      </c>
      <c r="V3" s="518" t="inlineStr">
        <is>
          <t>Net Assets Under Management as on April 30, 2025 (INR in crore)</t>
        </is>
      </c>
      <c r="W3" s="143" t="inlineStr">
        <is>
          <t>Average Net Assets Under Management for the month April 2025 (INR in crore)</t>
        </is>
      </c>
      <c r="X3" s="143" t="inlineStr">
        <is>
          <t>No. of segregated portfolios created as on April 30, 2025</t>
        </is>
      </c>
      <c r="Y3" s="516" t="inlineStr">
        <is>
          <t>Net Assets Under Management in segregated portfolio as on April 30, 2025 (INR in crore)</t>
        </is>
      </c>
      <c r="Z3" s="142" t="inlineStr">
        <is>
          <t>-</t>
        </is>
      </c>
      <c r="AA3" s="143" t="inlineStr">
        <is>
          <t>No. of Schemes as on May 31, 2025</t>
        </is>
      </c>
      <c r="AB3" s="143" t="inlineStr">
        <is>
          <t>No. of Folios as on May 31, 2025</t>
        </is>
      </c>
      <c r="AC3" s="515" t="inlineStr">
        <is>
          <t>Funds Mobilized for the month of May 2025 (INR in crore)</t>
        </is>
      </c>
      <c r="AD3" s="516" t="inlineStr">
        <is>
          <t>Repurchase/ Redemption for the month of May 2025 (INR in crore)</t>
        </is>
      </c>
      <c r="AE3" s="517" t="inlineStr">
        <is>
          <t>Net Inflow (+ve)/Outflow (-ve) for the month of May 2025 (INR in crore)</t>
        </is>
      </c>
      <c r="AF3" s="518" t="inlineStr">
        <is>
          <t>Net Assets Under Management as on May 31, 2025 (INR in crore)</t>
        </is>
      </c>
      <c r="AG3" s="143" t="inlineStr">
        <is>
          <t>Average Net Assets Under Management for the month May 2025 (INR in crore)</t>
        </is>
      </c>
      <c r="AH3" s="143" t="inlineStr">
        <is>
          <t>No. of segregated portfolios created as on May 31, 2025</t>
        </is>
      </c>
      <c r="AI3" s="516" t="inlineStr">
        <is>
          <t>Net Assets Under Management in segregated portfolio as on May 31, 2025 (INR in crore)</t>
        </is>
      </c>
      <c r="AJ3" s="142" t="inlineStr">
        <is>
          <t>-</t>
        </is>
      </c>
      <c r="AK3" s="143" t="inlineStr">
        <is>
          <t>No. of Schemes as on June 30, 2025</t>
        </is>
      </c>
      <c r="AL3" s="143" t="inlineStr">
        <is>
          <t>No. of Folios as on June 30, 2025</t>
        </is>
      </c>
      <c r="AM3" s="515" t="inlineStr">
        <is>
          <t>Funds Mobilized for the month of June 2025 (INR in crore)</t>
        </is>
      </c>
      <c r="AN3" s="516" t="inlineStr">
        <is>
          <t>Repurchase/ Redemption for the month of June 2025 (INR in crore)</t>
        </is>
      </c>
      <c r="AO3" s="517" t="inlineStr">
        <is>
          <t>Net Inflow (+ve)/Outflow (-ve) for the month of June 2025 (INR in crore)</t>
        </is>
      </c>
      <c r="AP3" s="518" t="inlineStr">
        <is>
          <t>Net Assets Under Management as on June 30, 2025 (INR in crore)</t>
        </is>
      </c>
      <c r="AQ3" s="143" t="inlineStr">
        <is>
          <t>Average Net Assets Under Management for the month June 2025 (INR in crore)</t>
        </is>
      </c>
      <c r="AR3" s="143" t="inlineStr">
        <is>
          <t>No. of segregated portfolios created as on June 30, 2025</t>
        </is>
      </c>
      <c r="AS3" s="516" t="inlineStr">
        <is>
          <t>Net Assets Under Management in segregated portfolio as on June 30, 2025 (INR in crore)</t>
        </is>
      </c>
      <c r="AT3" s="142" t="inlineStr">
        <is>
          <t>-</t>
        </is>
      </c>
      <c r="AU3" s="143" t="inlineStr">
        <is>
          <t>No. of Schemes as on July 31, 2025</t>
        </is>
      </c>
      <c r="AV3" s="143" t="inlineStr">
        <is>
          <t>No. of Folios as on July 31, 2025</t>
        </is>
      </c>
      <c r="AW3" s="515" t="inlineStr">
        <is>
          <t>Funds Mobilized for the month of July 2025 (INR in crore)</t>
        </is>
      </c>
      <c r="AX3" s="516" t="inlineStr">
        <is>
          <t>Repurchase/Redemption for the month of July 2025 (INR in crore)</t>
        </is>
      </c>
      <c r="AY3" s="517" t="inlineStr">
        <is>
          <t>Net Inflow (+ve)/Outflow (-ve) for the month of July 2025 (INR in crore)</t>
        </is>
      </c>
      <c r="AZ3" s="518" t="inlineStr">
        <is>
          <t>Net Assets Under Management as on July 31, 2025 (INR in crore)</t>
        </is>
      </c>
      <c r="BA3" s="143" t="inlineStr">
        <is>
          <t>Average Net Assets Under Management for the month July 2025 (INR in crore)</t>
        </is>
      </c>
      <c r="BB3" s="143" t="inlineStr">
        <is>
          <t>No. of segregated portfolios created as on July 31, 2025</t>
        </is>
      </c>
      <c r="BC3" s="516" t="inlineStr">
        <is>
          <t>Net Assets Under Management in segregated portfolio as on July 31, 2025 (INR in crore)</t>
        </is>
      </c>
      <c r="BD3" s="142" t="inlineStr">
        <is>
          <t>-</t>
        </is>
      </c>
      <c r="BE3" s="143" t="inlineStr">
        <is>
          <t>No. of Schemes as on August 31, 2025</t>
        </is>
      </c>
      <c r="BF3" s="143" t="inlineStr">
        <is>
          <t>No. of Folios as on August 31, 2025</t>
        </is>
      </c>
      <c r="BG3" s="515" t="inlineStr">
        <is>
          <t>Funds Mobilized for the month of August 2025 (INR in crore)</t>
        </is>
      </c>
      <c r="BH3" s="516" t="inlineStr">
        <is>
          <t>Repurchase/Redemption for the month of August 2025 (INR in crore)</t>
        </is>
      </c>
      <c r="BI3" s="517" t="inlineStr">
        <is>
          <t>Net Inflow (+ve)/Outflow (-ve) for the month of August 2025 (INR in crore)</t>
        </is>
      </c>
      <c r="BJ3" s="518" t="inlineStr">
        <is>
          <t>Net Assets Under Management as on August 31, 2025 (INR in crore)</t>
        </is>
      </c>
      <c r="BK3" s="143" t="inlineStr">
        <is>
          <t>Average Net Assets Under Management for the month August 2025 (INR in crore)</t>
        </is>
      </c>
      <c r="BL3" s="143" t="inlineStr">
        <is>
          <t>No. of segregated portfolios created as on August 31, 2025</t>
        </is>
      </c>
      <c r="BM3" s="516" t="inlineStr">
        <is>
          <t>Net Assets Under Management in segregated portfolio as on August 31, 2025 (INR in crore)</t>
        </is>
      </c>
      <c r="BN3" s="142" t="inlineStr">
        <is>
          <t>-</t>
        </is>
      </c>
      <c r="BO3" s="143" t="inlineStr">
        <is>
          <t>No. of Schemes as on September 30, 2025</t>
        </is>
      </c>
      <c r="BP3" s="143" t="inlineStr">
        <is>
          <t>No. of Folios as on September 30, 2025</t>
        </is>
      </c>
      <c r="BQ3" s="515" t="inlineStr">
        <is>
          <t>Funds Mobilized for the month of September 2025 (INR in crore)</t>
        </is>
      </c>
      <c r="BR3" s="516" t="inlineStr">
        <is>
          <t>Repurchase/Redemption for the month of September 2025 (INR in crore)</t>
        </is>
      </c>
      <c r="BS3" s="517" t="inlineStr">
        <is>
          <t>Net Inflow (+ve)/Outflow (-ve) for the month of September 2025 (INR in crore)</t>
        </is>
      </c>
      <c r="BT3" s="518" t="inlineStr">
        <is>
          <t>Net Assets Under Management as on September 30, 2025 (INR in crore)</t>
        </is>
      </c>
      <c r="BU3" s="143" t="inlineStr">
        <is>
          <t>Average Net Assets Under Management for the month September 2025 (INR in crore)</t>
        </is>
      </c>
      <c r="BV3" s="143" t="inlineStr">
        <is>
          <t>No. of segregated portfolios created as on September 30, 2025</t>
        </is>
      </c>
      <c r="BW3" s="516" t="inlineStr">
        <is>
          <t>Net Assets Under Management in segregated portfolio as on September 30, 2025 (INR in crore)</t>
        </is>
      </c>
      <c r="BX3" s="142" t="inlineStr">
        <is>
          <t>-</t>
        </is>
      </c>
      <c r="BY3" s="143" t="inlineStr">
        <is>
          <t>No. of Schemes as on October 31, 2025</t>
        </is>
      </c>
      <c r="BZ3" s="143" t="inlineStr">
        <is>
          <t>No. of Folios as on October 31, 2025</t>
        </is>
      </c>
      <c r="CA3" s="515" t="inlineStr">
        <is>
          <t>Funds Mobilized for the month of October 2025 (INR in crore)</t>
        </is>
      </c>
      <c r="CB3" s="516" t="inlineStr">
        <is>
          <t>Repurchase/Redemption for the month of October 2025 (INR in crore)</t>
        </is>
      </c>
      <c r="CC3" s="517" t="inlineStr">
        <is>
          <t>Net Inflow (+ve)/Outflow (-ve) for the month of October 2025 (INR in crore)</t>
        </is>
      </c>
      <c r="CD3" s="518" t="inlineStr">
        <is>
          <t>Net Assets Under Management as on October 31, 2025 (INR in crore)</t>
        </is>
      </c>
      <c r="CE3" s="143" t="inlineStr">
        <is>
          <t>Average Net Assets Under Management for the month October 2025 (INR in crore)</t>
        </is>
      </c>
      <c r="CF3" s="143" t="inlineStr">
        <is>
          <t>No. of segregated portfolios created as on October 31, 2025</t>
        </is>
      </c>
      <c r="CG3" s="516" t="inlineStr">
        <is>
          <t>Net Assets Under Management in segregated portfolio as on October 31, 2025 (INR in crore)</t>
        </is>
      </c>
      <c r="CH3" s="142" t="inlineStr">
        <is>
          <t>-</t>
        </is>
      </c>
      <c r="CI3" s="143" t="inlineStr">
        <is>
          <t>No. of Schemes as on November 30, 2025</t>
        </is>
      </c>
      <c r="CJ3" s="143" t="inlineStr">
        <is>
          <t>No. of Folios as on November 30, 2025</t>
        </is>
      </c>
      <c r="CK3" s="515" t="inlineStr">
        <is>
          <t>Funds Mobilized for the month of November 2025 (INR in crore)</t>
        </is>
      </c>
      <c r="CL3" s="516" t="inlineStr">
        <is>
          <t>Repurchase/Redemption for the month of November 2025 (INR in crore)</t>
        </is>
      </c>
      <c r="CM3" s="517" t="inlineStr">
        <is>
          <t>Net Inflow (+ve)/Outflow (-ve) for the month of November 2025 (INR in crore)</t>
        </is>
      </c>
      <c r="CN3" s="518" t="inlineStr">
        <is>
          <t>Net Assets Under Management as on November 30, 2025 (INR in crore)</t>
        </is>
      </c>
      <c r="CO3" s="143" t="inlineStr">
        <is>
          <t>Average Net Assets Under Management for the month November 2025 (INR in crore)</t>
        </is>
      </c>
      <c r="CP3" s="143" t="inlineStr">
        <is>
          <t>No. of segregated portfolios created as on November 30, 2025</t>
        </is>
      </c>
      <c r="CQ3" s="516" t="inlineStr">
        <is>
          <t>Net Assets Under Management in segregated portfolio as on November 30, 2025 (INR in crore)</t>
        </is>
      </c>
      <c r="CR3" s="142" t="inlineStr">
        <is>
          <t>-</t>
        </is>
      </c>
      <c r="CS3" s="143" t="inlineStr">
        <is>
          <t>No. of Schemes as on December 31, 2025</t>
        </is>
      </c>
      <c r="CT3" s="143" t="inlineStr">
        <is>
          <t>No. of Folios as on December 31, 2025</t>
        </is>
      </c>
      <c r="CU3" s="515" t="inlineStr">
        <is>
          <t>Funds Mobilized for the month of December 2025 (INR in crore)</t>
        </is>
      </c>
      <c r="CV3" s="516" t="inlineStr">
        <is>
          <t>Repurchase/Redemption for the month of December 2025 (INR in crore)</t>
        </is>
      </c>
      <c r="CW3" s="517" t="inlineStr">
        <is>
          <t>Net Inflow (+ve)/Outflow (-ve) for the month of December 2025 (INR in crore)</t>
        </is>
      </c>
      <c r="CX3" s="518" t="inlineStr">
        <is>
          <t>Net Assets Under Management as on December 31, 2025 (INR in crore)</t>
        </is>
      </c>
      <c r="CY3" s="143" t="inlineStr">
        <is>
          <t>Average Net Assets Under Management for the month December 2025 (INR in crore)</t>
        </is>
      </c>
      <c r="CZ3" s="143" t="inlineStr">
        <is>
          <t>No. of segregated portfolios created as on December 31, 2025</t>
        </is>
      </c>
      <c r="DA3" s="516" t="inlineStr">
        <is>
          <t>Net Assets Under Management in segregated portfolio as on December 31, 2025 (INR in crore)</t>
        </is>
      </c>
      <c r="DB3" s="142" t="inlineStr">
        <is>
          <t>-</t>
        </is>
      </c>
      <c r="DC3" s="143" t="inlineStr">
        <is>
          <t>No. of Schemes as on January 31, 2026</t>
        </is>
      </c>
      <c r="DD3" s="143" t="inlineStr">
        <is>
          <t>No. of Folios as on January 31, 2026</t>
        </is>
      </c>
      <c r="DE3" s="515" t="inlineStr">
        <is>
          <t>Funds Mobilized for the month of January 2026 (INR in crore)</t>
        </is>
      </c>
      <c r="DF3" s="516" t="inlineStr">
        <is>
          <t>Repurchase/Redemption for the month of January 2026 (INR in crore)</t>
        </is>
      </c>
      <c r="DG3" s="517" t="inlineStr">
        <is>
          <t>Net Inflow (+ve)/Outflow (-ve) for the month of January 2026 (INR in crore)</t>
        </is>
      </c>
      <c r="DH3" s="518" t="inlineStr">
        <is>
          <t>Net Assets Under Management as on January 31, 2026 (INR in crore)</t>
        </is>
      </c>
      <c r="DI3" s="143" t="inlineStr">
        <is>
          <t>Average Net Assets Under Management for the month January 2026 (INR in crore)</t>
        </is>
      </c>
      <c r="DJ3" s="143" t="inlineStr">
        <is>
          <t>No. of segregated portfolios created as on January 31, 2026</t>
        </is>
      </c>
      <c r="DK3" s="516" t="inlineStr">
        <is>
          <t>Net Assets Under Management in segregated portfolio as on January 31, 2026 (INR in crore)</t>
        </is>
      </c>
      <c r="DL3" s="142" t="inlineStr">
        <is>
          <t>-</t>
        </is>
      </c>
      <c r="DM3" s="519" t="inlineStr">
        <is>
          <t>Funds Mobilized  (INR in crore)</t>
        </is>
      </c>
      <c r="DN3" s="517" t="inlineStr">
        <is>
          <t>Net Inflow (+ve)/Outflow (-ve)  (INR in crore)</t>
        </is>
      </c>
      <c r="DO3" s="142" t="inlineStr">
        <is>
          <t>-</t>
        </is>
      </c>
      <c r="DP3" s="149" t="inlineStr">
        <is>
          <t>GS - Growth-(Dec'25 Vs Jan'26)</t>
        </is>
      </c>
      <c r="DQ3" s="135" t="inlineStr">
        <is>
          <t>NS - Growth-(Dec'25 Vs Jan'26)</t>
        </is>
      </c>
      <c r="DR3" s="134" t="inlineStr">
        <is>
          <t>AUM - Growth-(Dec'25 Vs Jan'26)</t>
        </is>
      </c>
      <c r="DS3" s="143" t="inlineStr">
        <is>
          <t>No. of Schemes as on February 28, 2026</t>
        </is>
      </c>
      <c r="DT3" s="143" t="inlineStr">
        <is>
          <t>No. of Folios as on February 28, 2026</t>
        </is>
      </c>
      <c r="DU3" s="515" t="inlineStr">
        <is>
          <t>Funds Mobilized for the month of February 2026 (INR in crore)</t>
        </is>
      </c>
      <c r="DV3" s="516" t="inlineStr">
        <is>
          <t>Repurchase/Redemption for the month of February 2026 (INR in crore)</t>
        </is>
      </c>
      <c r="DW3" s="517" t="inlineStr">
        <is>
          <t>Net Inflow (+ve)/Outflow (-ve) for the month of February 2026 (INR in crore)</t>
        </is>
      </c>
      <c r="DX3" s="518" t="inlineStr">
        <is>
          <t>Net Assets Under Management as on February 28, 2026 (INR in crore)</t>
        </is>
      </c>
      <c r="DY3" s="143" t="inlineStr">
        <is>
          <t>Average Net Assets Under Management for the month February 2026 (INR in crore)</t>
        </is>
      </c>
      <c r="DZ3" s="143" t="inlineStr">
        <is>
          <t>No. of segregated portfolios created as on February 28, 2026</t>
        </is>
      </c>
      <c r="EA3" s="516" t="inlineStr">
        <is>
          <t>Net Assets Under Management in segregated portfolio as on February 28, 2026 (INR in crore)</t>
        </is>
      </c>
      <c r="EB3" s="142" t="inlineStr">
        <is>
          <t>-</t>
        </is>
      </c>
      <c r="EC3" s="519" t="inlineStr">
        <is>
          <t>Funds Mobilized for the month of January 2026 (INR in crore)</t>
        </is>
      </c>
      <c r="ED3" s="517" t="inlineStr">
        <is>
          <t>Net Inflow (+ve)/Outflow (-ve) for the month of January 2026 (INR in crore)</t>
        </is>
      </c>
      <c r="EE3" s="142" t="inlineStr">
        <is>
          <t>-</t>
        </is>
      </c>
      <c r="EF3" s="149" t="inlineStr">
        <is>
          <t>GS - Growth-(Jan'26 Vs Feb'26)</t>
        </is>
      </c>
      <c r="EG3" s="135" t="inlineStr">
        <is>
          <t>NS - Growth-(Jan'26 Vs Feb'26)</t>
        </is>
      </c>
      <c r="EH3" s="134" t="inlineStr">
        <is>
          <t>AUM - Growth-(Jan'26 Vs Feb'26)</t>
        </is>
      </c>
      <c r="EI3" s="142" t="inlineStr">
        <is>
          <t>-</t>
        </is>
      </c>
      <c r="EJ3" s="143" t="inlineStr">
        <is>
          <t>No. of Schemes as on March 31, 2026</t>
        </is>
      </c>
      <c r="EK3" s="143" t="inlineStr">
        <is>
          <t>No. of Folios as on March 31, 2026</t>
        </is>
      </c>
      <c r="EL3" s="515" t="inlineStr">
        <is>
          <t>Funds Mobilized for the month of March 2026 (INR in crore)</t>
        </is>
      </c>
      <c r="EM3" s="516" t="inlineStr">
        <is>
          <t>Repurchase/Redemption for the month of March 2026 (INR in crore)</t>
        </is>
      </c>
      <c r="EN3" s="517" t="inlineStr">
        <is>
          <t>Net Inflow (+ve)/Outflow (-ve) for the month of March 2026 (INR in crore)</t>
        </is>
      </c>
      <c r="EO3" s="518" t="inlineStr">
        <is>
          <t>Net Assets Under Management as on March 31, 2026 (INR in crore)</t>
        </is>
      </c>
      <c r="EP3" s="143" t="inlineStr">
        <is>
          <t>Average Net Assets Under Management for the month March 2026 (INR in crore)</t>
        </is>
      </c>
      <c r="EQ3" s="143" t="inlineStr">
        <is>
          <t>No. of segregated portfolios created as on March 31, 2026</t>
        </is>
      </c>
      <c r="ER3" s="516" t="inlineStr">
        <is>
          <t>Net Assets Under Management in segregated portfolio as on March 31, 2026 (INR in crore)</t>
        </is>
      </c>
      <c r="ES3" s="142" t="inlineStr">
        <is>
          <t>-</t>
        </is>
      </c>
      <c r="ET3" s="519" t="inlineStr">
        <is>
          <t>Funds Mobilized for the month of March 2026 (INR in crore)</t>
        </is>
      </c>
      <c r="EU3" s="517" t="inlineStr">
        <is>
          <t>Net Inflow (+ve)/Outflow (-ve) for the month of March 2026 (INR in crore)</t>
        </is>
      </c>
      <c r="EV3" s="142" t="inlineStr">
        <is>
          <t>-</t>
        </is>
      </c>
      <c r="EW3" s="149" t="inlineStr">
        <is>
          <t>GS - Growth-(Feb'26 Vs Mar'26)</t>
        </is>
      </c>
      <c r="EX3" s="135" t="inlineStr">
        <is>
          <t>NS - Growth-(Feb'26 Vs Mar'26)</t>
        </is>
      </c>
      <c r="EY3" s="134" t="inlineStr">
        <is>
          <t>AUM - Growth-(Feb'26 Vs Mar'26)</t>
        </is>
      </c>
    </row>
    <row r="4" collapsed="1">
      <c r="A4" s="150" t="inlineStr">
        <is>
          <t>Active Equity (incl Hybrid)</t>
        </is>
      </c>
      <c r="B4" s="150" t="n"/>
      <c r="C4" s="150" t="n"/>
      <c r="D4" s="150" t="n"/>
      <c r="E4" s="150" t="n"/>
      <c r="F4" s="150" t="n"/>
      <c r="G4" s="418" t="n"/>
      <c r="H4" s="418" t="n"/>
      <c r="I4" s="418" t="n"/>
      <c r="J4" s="418" t="n"/>
      <c r="K4" s="418" t="n"/>
      <c r="L4" s="151" t="n"/>
      <c r="M4" s="151" t="n"/>
      <c r="N4" s="418" t="n"/>
      <c r="O4" s="418" t="n"/>
      <c r="P4" s="152" t="n"/>
      <c r="Q4" s="153" t="n"/>
      <c r="R4" s="153" t="n"/>
      <c r="S4" s="520" t="n"/>
      <c r="T4" s="520" t="n"/>
      <c r="U4" s="520" t="n"/>
      <c r="V4" s="520" t="n"/>
      <c r="W4" s="520" t="n"/>
      <c r="X4" s="153" t="n"/>
      <c r="Y4" s="520" t="n"/>
      <c r="Z4" s="152" t="n"/>
      <c r="AA4" s="153" t="n"/>
      <c r="AB4" s="153" t="n"/>
      <c r="AC4" s="520" t="n"/>
      <c r="AD4" s="520" t="n"/>
      <c r="AE4" s="520" t="n"/>
      <c r="AF4" s="520" t="n"/>
      <c r="AG4" s="520" t="n"/>
      <c r="AH4" s="153" t="n"/>
      <c r="AI4" s="520" t="n"/>
      <c r="AJ4" s="152" t="n"/>
      <c r="AK4" s="153" t="n"/>
      <c r="AL4" s="153" t="n"/>
      <c r="AM4" s="520" t="n"/>
      <c r="AN4" s="520" t="n"/>
      <c r="AO4" s="520" t="n"/>
      <c r="AP4" s="520" t="n"/>
      <c r="AQ4" s="520" t="n"/>
      <c r="AR4" s="153" t="n"/>
      <c r="AS4" s="520" t="n"/>
      <c r="AT4" s="152" t="n"/>
      <c r="AU4" s="153" t="n"/>
      <c r="AV4" s="153" t="n"/>
      <c r="AW4" s="520" t="n"/>
      <c r="AX4" s="520" t="n"/>
      <c r="AY4" s="520" t="n"/>
      <c r="AZ4" s="520" t="n"/>
      <c r="BA4" s="520" t="n"/>
      <c r="BB4" s="153" t="n"/>
      <c r="BC4" s="520" t="n"/>
      <c r="BD4" s="152" t="n"/>
      <c r="BE4" s="153" t="n"/>
      <c r="BF4" s="153" t="n"/>
      <c r="BG4" s="520" t="n"/>
      <c r="BH4" s="520" t="n"/>
      <c r="BI4" s="520" t="n"/>
      <c r="BJ4" s="520" t="n"/>
      <c r="BK4" s="520" t="n"/>
      <c r="BL4" s="153" t="n"/>
      <c r="BM4" s="520" t="n"/>
      <c r="BN4" s="152" t="n"/>
      <c r="BO4" s="153" t="n"/>
      <c r="BP4" s="153" t="n"/>
      <c r="BQ4" s="520" t="n"/>
      <c r="BR4" s="520" t="n"/>
      <c r="BS4" s="520" t="n"/>
      <c r="BT4" s="520" t="n"/>
      <c r="BU4" s="520" t="n"/>
      <c r="BV4" s="153" t="n"/>
      <c r="BW4" s="520" t="n"/>
      <c r="BX4" s="152" t="n"/>
      <c r="BY4" s="153" t="n"/>
      <c r="BZ4" s="153" t="n"/>
      <c r="CA4" s="520" t="n"/>
      <c r="CB4" s="520" t="n"/>
      <c r="CC4" s="520" t="n"/>
      <c r="CD4" s="520" t="n"/>
      <c r="CE4" s="520" t="n"/>
      <c r="CF4" s="153" t="n"/>
      <c r="CG4" s="520" t="n"/>
      <c r="CH4" s="152" t="n"/>
      <c r="CI4" s="153" t="n"/>
      <c r="CJ4" s="153" t="n"/>
      <c r="CK4" s="520" t="n"/>
      <c r="CL4" s="520" t="n"/>
      <c r="CM4" s="520" t="n"/>
      <c r="CN4" s="520" t="n"/>
      <c r="CO4" s="520" t="n"/>
      <c r="CP4" s="153" t="n"/>
      <c r="CQ4" s="520" t="n"/>
      <c r="CR4" s="152" t="n"/>
      <c r="CS4" s="153" t="n"/>
      <c r="CT4" s="153" t="n"/>
      <c r="CU4" s="520" t="n"/>
      <c r="CV4" s="520" t="n"/>
      <c r="CW4" s="520" t="n"/>
      <c r="CX4" s="520" t="n"/>
      <c r="CY4" s="520" t="n"/>
      <c r="CZ4" s="153" t="n"/>
      <c r="DA4" s="520" t="n"/>
      <c r="DB4" s="155" t="n"/>
      <c r="DC4" s="156" t="n"/>
      <c r="DD4" s="156" t="n"/>
      <c r="DE4" s="521" t="n"/>
      <c r="DF4" s="521" t="n"/>
      <c r="DG4" s="521" t="n"/>
      <c r="DH4" s="521" t="n"/>
      <c r="DI4" s="521" t="n"/>
      <c r="DJ4" s="156" t="n"/>
      <c r="DK4" s="521" t="n"/>
      <c r="DL4" s="155" t="n"/>
      <c r="DM4" s="412" t="n"/>
      <c r="DN4" s="412" t="n"/>
      <c r="DO4" s="155" t="n"/>
      <c r="DP4" s="158" t="n"/>
      <c r="DQ4" s="158" t="n"/>
      <c r="DR4" s="158" t="n"/>
      <c r="DS4" s="156" t="n"/>
      <c r="DT4" s="156" t="n"/>
      <c r="DU4" s="156" t="n"/>
      <c r="DV4" s="156" t="n"/>
      <c r="DW4" s="156" t="n"/>
      <c r="DX4" s="156" t="n"/>
      <c r="DY4" s="156" t="n"/>
      <c r="DZ4" s="156" t="n"/>
      <c r="EA4" s="156" t="n"/>
      <c r="EB4" s="155" t="n"/>
      <c r="EC4" s="412" t="n"/>
      <c r="ED4" s="412" t="n"/>
      <c r="EE4" s="155" t="n"/>
      <c r="EF4" s="158" t="n"/>
      <c r="EG4" s="158" t="n"/>
      <c r="EH4" s="158" t="n"/>
      <c r="EI4" s="155" t="n"/>
      <c r="EJ4" s="156" t="n"/>
      <c r="EK4" s="156" t="n"/>
      <c r="EL4" s="156" t="n"/>
      <c r="EM4" s="156" t="n"/>
      <c r="EN4" s="156" t="n"/>
      <c r="EO4" s="156" t="n"/>
      <c r="EP4" s="156" t="n"/>
      <c r="EQ4" s="156" t="n"/>
      <c r="ER4" s="156" t="n"/>
      <c r="ES4" s="155" t="n"/>
      <c r="ET4" s="412" t="n"/>
      <c r="EU4" s="412" t="n"/>
      <c r="EV4" s="155" t="n"/>
      <c r="EW4" s="158" t="n"/>
      <c r="EX4" s="158" t="n"/>
      <c r="EY4" s="158" t="n"/>
    </row>
    <row r="5" hidden="1" outlineLevel="1">
      <c r="A5" s="159" t="inlineStr">
        <is>
          <t>Multi Asset Allocation Fund</t>
        </is>
      </c>
      <c r="B5" s="160" t="inlineStr">
        <is>
          <t>Hybrid Schemes</t>
        </is>
      </c>
      <c r="C5" s="160" t="inlineStr">
        <is>
          <t>Open ended Schemes</t>
        </is>
      </c>
      <c r="D5" s="160" t="inlineStr">
        <is>
          <t>Equity</t>
        </is>
      </c>
      <c r="E5" s="160" t="inlineStr">
        <is>
          <t>Equity-Hybrid Schemes</t>
        </is>
      </c>
      <c r="F5" s="160" t="inlineStr">
        <is>
          <t>Active Equity (incl Hybrid)</t>
        </is>
      </c>
      <c r="G5" s="416" t="n"/>
      <c r="H5" s="416" t="n"/>
      <c r="I5" s="416" t="n"/>
      <c r="J5" s="416" t="n"/>
      <c r="K5" s="416">
        <f>IF(OR(I5="",J5=""),"",I5-J5)</f>
        <v/>
      </c>
      <c r="L5" s="161" t="n">
        <v>107094.49949546</v>
      </c>
      <c r="M5" s="161" t="n">
        <v>113587.79437768</v>
      </c>
      <c r="N5" s="416" t="n"/>
      <c r="O5" s="416" t="n"/>
      <c r="P5" s="162" t="inlineStr">
        <is>
          <t>-</t>
        </is>
      </c>
      <c r="Q5" s="219" t="n">
        <v>28</v>
      </c>
      <c r="R5" s="219" t="n">
        <v>3121223</v>
      </c>
      <c r="S5" s="522" t="n">
        <v>3583.91262654</v>
      </c>
      <c r="T5" s="522" t="n">
        <v>1478.16644631</v>
      </c>
      <c r="U5" s="522" t="n">
        <v>2105.74618023</v>
      </c>
      <c r="V5" s="522" t="n">
        <v>113009.40886162</v>
      </c>
      <c r="W5" s="522" t="n">
        <v>118248.56153799</v>
      </c>
      <c r="X5" s="219" t="n">
        <v>0</v>
      </c>
      <c r="Y5" s="522" t="n">
        <v>0</v>
      </c>
      <c r="Z5" s="221" t="inlineStr">
        <is>
          <t>-</t>
        </is>
      </c>
      <c r="AA5" s="219" t="n">
        <v>29</v>
      </c>
      <c r="AB5" s="219" t="n">
        <v>3226116</v>
      </c>
      <c r="AC5" s="522" t="n">
        <v>4508.25540599</v>
      </c>
      <c r="AD5" s="522" t="n">
        <v>1581.45566632</v>
      </c>
      <c r="AE5" s="522" t="n">
        <v>2926.79973967</v>
      </c>
      <c r="AF5" s="522" t="n">
        <v>118153.72857389</v>
      </c>
      <c r="AG5" s="522" t="n">
        <v>123714.43664792</v>
      </c>
      <c r="AH5" s="219" t="n">
        <v>0</v>
      </c>
      <c r="AI5" s="522" t="n">
        <v>0</v>
      </c>
      <c r="AJ5" s="221" t="inlineStr">
        <is>
          <t>-</t>
        </is>
      </c>
      <c r="AK5" s="219" t="n">
        <v>29</v>
      </c>
      <c r="AL5" s="219" t="n">
        <v>3307121</v>
      </c>
      <c r="AM5" s="522" t="n">
        <v>4514.25146792</v>
      </c>
      <c r="AN5" s="522" t="n">
        <v>1304.27724682</v>
      </c>
      <c r="AO5" s="522" t="n">
        <v>3209.9742211</v>
      </c>
      <c r="AP5" s="522" t="n">
        <v>123584.50152472</v>
      </c>
      <c r="AQ5" s="522" t="n">
        <v>130104.79473783</v>
      </c>
      <c r="AR5" s="219" t="n">
        <v>0</v>
      </c>
      <c r="AS5" s="522" t="n">
        <v>0</v>
      </c>
      <c r="AT5" s="221" t="inlineStr">
        <is>
          <t>-</t>
        </is>
      </c>
      <c r="AU5" s="219" t="n">
        <v>29</v>
      </c>
      <c r="AV5" s="219" t="n">
        <v>3459194</v>
      </c>
      <c r="AW5" s="522" t="n">
        <v>7480.7754642</v>
      </c>
      <c r="AX5" s="522" t="n">
        <v>1283.55716764</v>
      </c>
      <c r="AY5" s="522" t="n">
        <v>6197.21829656</v>
      </c>
      <c r="AZ5" s="522" t="n">
        <v>128426.74021118</v>
      </c>
      <c r="BA5" s="522" t="n">
        <v>135201.00381369</v>
      </c>
      <c r="BB5" s="219" t="n">
        <v>0</v>
      </c>
      <c r="BC5" s="522" t="n">
        <v>0</v>
      </c>
      <c r="BD5" s="221" t="inlineStr">
        <is>
          <t>-</t>
        </is>
      </c>
      <c r="BE5" s="219" t="n">
        <v>30</v>
      </c>
      <c r="BF5" s="219" t="n">
        <v>3560534</v>
      </c>
      <c r="BG5" s="522" t="n">
        <v>4633.00189559</v>
      </c>
      <c r="BH5" s="522" t="n">
        <v>1105.0928588</v>
      </c>
      <c r="BI5" s="522" t="n">
        <v>3527.90903679</v>
      </c>
      <c r="BJ5" s="522" t="n">
        <v>132103.61548318</v>
      </c>
      <c r="BK5" s="522" t="n">
        <v>139994.94141399</v>
      </c>
      <c r="BL5" s="219" t="n">
        <v>0</v>
      </c>
      <c r="BM5" s="522" t="n">
        <v>0</v>
      </c>
      <c r="BN5" s="221" t="inlineStr">
        <is>
          <t>-</t>
        </is>
      </c>
      <c r="BO5" s="219" t="n">
        <v>31</v>
      </c>
      <c r="BP5" s="219" t="n">
        <v>3704172</v>
      </c>
      <c r="BQ5" s="522" t="n">
        <v>6608.03781985</v>
      </c>
      <c r="BR5" s="522" t="n">
        <v>1625.82584177</v>
      </c>
      <c r="BS5" s="522" t="n">
        <v>4982.21197808</v>
      </c>
      <c r="BT5" s="522" t="n">
        <v>140416.71757963</v>
      </c>
      <c r="BU5" s="522" t="n">
        <v>147700.94282839</v>
      </c>
      <c r="BV5" s="219" t="n">
        <v>0</v>
      </c>
      <c r="BW5" s="522" t="n">
        <v>0</v>
      </c>
      <c r="BX5" s="221" t="inlineStr">
        <is>
          <t>-</t>
        </is>
      </c>
      <c r="BY5" s="219" t="n">
        <v>31</v>
      </c>
      <c r="BZ5" s="219" t="n">
        <v>3861455</v>
      </c>
      <c r="CA5" s="522" t="n">
        <v>6706.84553626</v>
      </c>
      <c r="CB5" s="522" t="n">
        <v>1362.66001393</v>
      </c>
      <c r="CC5" s="522" t="n">
        <v>5344.18552233</v>
      </c>
      <c r="CD5" s="522" t="n">
        <v>151071.71016208</v>
      </c>
      <c r="CE5" s="522" t="n">
        <v>157277.39439451</v>
      </c>
      <c r="CF5" s="219" t="n">
        <v>0</v>
      </c>
      <c r="CG5" s="522" t="n">
        <v>0</v>
      </c>
      <c r="CH5" s="221" t="inlineStr">
        <is>
          <t>-</t>
        </is>
      </c>
      <c r="CI5" s="219" t="n">
        <v>32</v>
      </c>
      <c r="CJ5" s="219" t="n">
        <v>4016236</v>
      </c>
      <c r="CK5" s="522" t="n">
        <v>6655.48775234</v>
      </c>
      <c r="CL5" s="522" t="n">
        <v>1340.62955947</v>
      </c>
      <c r="CM5" s="522" t="n">
        <v>5314.85819287</v>
      </c>
      <c r="CN5" s="522" t="n">
        <v>157266.6663929</v>
      </c>
      <c r="CO5" s="522" t="n">
        <v>164438.97614654</v>
      </c>
      <c r="CP5" s="219" t="n">
        <v>0</v>
      </c>
      <c r="CQ5" s="522" t="n">
        <v>0</v>
      </c>
      <c r="CR5" s="221" t="inlineStr">
        <is>
          <t>-</t>
        </is>
      </c>
      <c r="CS5" s="219" t="n">
        <v>33</v>
      </c>
      <c r="CT5" s="219" t="n">
        <v>4249832</v>
      </c>
      <c r="CU5" s="522" t="n">
        <v>8927.230849160011</v>
      </c>
      <c r="CV5" s="522" t="n">
        <v>1501.25218819</v>
      </c>
      <c r="CW5" s="522" t="n">
        <v>7425.97866097001</v>
      </c>
      <c r="CX5" s="522" t="n">
        <v>164730.82674007</v>
      </c>
      <c r="CY5" s="522" t="n">
        <v>173823.59097283</v>
      </c>
      <c r="CZ5" s="219" t="n">
        <v>0</v>
      </c>
      <c r="DA5" s="522" t="n">
        <v>0</v>
      </c>
      <c r="DB5" s="222" t="inlineStr">
        <is>
          <t>-</t>
        </is>
      </c>
      <c r="DC5" s="223" t="n">
        <v>33</v>
      </c>
      <c r="DD5" s="223" t="n">
        <v>4592478</v>
      </c>
      <c r="DE5" s="523" t="n">
        <v>12139.13351365</v>
      </c>
      <c r="DF5" s="523" t="n">
        <v>1653.75271226</v>
      </c>
      <c r="DG5" s="523" t="n">
        <v>10485.38080139</v>
      </c>
      <c r="DH5" s="523" t="n">
        <v>174660.32231587</v>
      </c>
      <c r="DI5" s="523" t="n">
        <v>185088.94913086</v>
      </c>
      <c r="DJ5" s="223" t="n">
        <v>0</v>
      </c>
      <c r="DK5" s="523" t="n">
        <v>0</v>
      </c>
      <c r="DL5" s="222" t="inlineStr">
        <is>
          <t>-</t>
        </is>
      </c>
      <c r="DM5" s="280">
        <f>S5+AC5+AM5+AW5+BG5+BQ5+CA5+CK5+CU5+DE5</f>
        <v/>
      </c>
      <c r="DN5" s="275">
        <f>U5+AE5+AO5+AY5+BI5+BS5+CC5+CM5+CW5+DG5</f>
        <v/>
      </c>
      <c r="DO5" s="222" t="inlineStr">
        <is>
          <t>-</t>
        </is>
      </c>
      <c r="DP5" s="226">
        <f>IFERROR((DE5-CU5)/CU5,"-")</f>
        <v/>
      </c>
      <c r="DQ5" s="226">
        <f>IFERROR((DG5-CW5)/CW5,"-")</f>
        <v/>
      </c>
      <c r="DR5" s="288">
        <f>IFERROR((DH5-CX5)/CX5,"-")</f>
        <v/>
      </c>
      <c r="DS5" s="223" t="n">
        <v>33</v>
      </c>
      <c r="DT5" s="223" t="n">
        <v>4908663</v>
      </c>
      <c r="DU5" s="223" t="n">
        <v>10151.08691955</v>
      </c>
      <c r="DV5" s="223" t="n">
        <v>1674.83111466</v>
      </c>
      <c r="DW5" s="223" t="n">
        <v>8476.25580489001</v>
      </c>
      <c r="DX5" s="223" t="n">
        <v>183245.91081092</v>
      </c>
      <c r="DY5" s="223" t="n">
        <v>196730.60644971</v>
      </c>
      <c r="DZ5" s="223" t="n">
        <v>0</v>
      </c>
      <c r="EA5" s="223" t="n">
        <v>0</v>
      </c>
      <c r="EB5" s="222" t="inlineStr">
        <is>
          <t>-</t>
        </is>
      </c>
      <c r="EC5" s="280">
        <f>S5+AC5+AM5+AW5+BG5+BQ5+CA5+CK5+CU5+DE5+DU5</f>
        <v/>
      </c>
      <c r="ED5" s="275">
        <f>U5+AE5+AO5+AY5+BI5+BS5+CC5+CM5+CW5+DG5+DW5</f>
        <v/>
      </c>
      <c r="EE5" s="222" t="inlineStr">
        <is>
          <t>-</t>
        </is>
      </c>
      <c r="EF5" s="226">
        <f>IFERROR((DU5-DE5)/DE5,"-")</f>
        <v/>
      </c>
      <c r="EG5" s="226">
        <f>IFERROR((DW5-DG5)/DG5,"-")</f>
        <v/>
      </c>
      <c r="EH5" s="288">
        <f>IFERROR((DX5-DH5)/DH5,"-")</f>
        <v/>
      </c>
      <c r="EI5" s="222" t="inlineStr">
        <is>
          <t>-</t>
        </is>
      </c>
      <c r="EJ5" s="223" t="n">
        <v>34</v>
      </c>
      <c r="EK5" s="223" t="n">
        <v>5160754</v>
      </c>
      <c r="EL5" s="223" t="n">
        <v>8270.461866909989</v>
      </c>
      <c r="EM5" s="223" t="n">
        <v>3057.7298773</v>
      </c>
      <c r="EN5" s="223" t="n">
        <v>5212.73198960999</v>
      </c>
      <c r="EO5" s="223" t="n">
        <v>173762.06333159</v>
      </c>
      <c r="EP5" s="223" t="n">
        <v>195113.52618253</v>
      </c>
      <c r="EQ5" s="223" t="n">
        <v>0</v>
      </c>
      <c r="ER5" s="223" t="n">
        <v>0</v>
      </c>
      <c r="ES5" s="222" t="inlineStr">
        <is>
          <t>-</t>
        </is>
      </c>
      <c r="ET5" s="280">
        <f>S5+AC5+AM5+AW5+BG5+BQ5+CA5+CK5+CU5+DE5+DU5+EL5</f>
        <v/>
      </c>
      <c r="EU5" s="275">
        <f>U5+AE5+AO5+AY5+BI5+BS5+CC5+CM5+CW5+DG5+DW5+EN5</f>
        <v/>
      </c>
      <c r="EV5" s="222" t="inlineStr">
        <is>
          <t>-</t>
        </is>
      </c>
      <c r="EW5" s="300">
        <f>IFERROR((EL5-DU5)/DU5,"-")</f>
        <v/>
      </c>
      <c r="EX5" s="293">
        <f>IFERROR((EN5-DW5)/DW5,"-")</f>
        <v/>
      </c>
      <c r="EY5" s="288">
        <f>IFERROR((EO5-DX5)/DX5,"-")</f>
        <v/>
      </c>
    </row>
    <row r="6" hidden="1" outlineLevel="1">
      <c r="A6" s="159" t="inlineStr">
        <is>
          <t>Flexi Cap Fund</t>
        </is>
      </c>
      <c r="B6" s="160" t="inlineStr">
        <is>
          <t>Growth/Equity Oriented Schemes</t>
        </is>
      </c>
      <c r="C6" s="160" t="inlineStr">
        <is>
          <t>Open ended Schemes</t>
        </is>
      </c>
      <c r="D6" s="160" t="inlineStr">
        <is>
          <t>Equity</t>
        </is>
      </c>
      <c r="E6" s="160" t="inlineStr">
        <is>
          <t>Equity</t>
        </is>
      </c>
      <c r="F6" s="160" t="inlineStr">
        <is>
          <t>Active Equity (incl Hybrid)</t>
        </is>
      </c>
      <c r="G6" s="416" t="n"/>
      <c r="H6" s="416" t="n"/>
      <c r="I6" s="416" t="n"/>
      <c r="J6" s="416" t="n"/>
      <c r="K6" s="416">
        <f>IF(OR(I6="",J6=""),"",I6-J6)</f>
        <v/>
      </c>
      <c r="L6" s="161" t="n">
        <v>435508.96836394</v>
      </c>
      <c r="M6" s="161" t="n">
        <v>422113.97876528</v>
      </c>
      <c r="N6" s="416" t="n"/>
      <c r="O6" s="416" t="n"/>
      <c r="P6" s="162" t="inlineStr">
        <is>
          <t>-</t>
        </is>
      </c>
      <c r="Q6" s="219" t="n">
        <v>39</v>
      </c>
      <c r="R6" s="219" t="n">
        <v>18209314</v>
      </c>
      <c r="S6" s="522" t="n">
        <v>10026.30253736</v>
      </c>
      <c r="T6" s="522" t="n">
        <v>4484.58844103</v>
      </c>
      <c r="U6" s="522" t="n">
        <v>5541.71409633</v>
      </c>
      <c r="V6" s="522" t="n">
        <v>454667.90722698</v>
      </c>
      <c r="W6" s="522" t="n">
        <v>440289.91115334</v>
      </c>
      <c r="X6" s="219" t="n">
        <v>0</v>
      </c>
      <c r="Y6" s="522" t="n">
        <v>0</v>
      </c>
      <c r="Z6" s="221" t="inlineStr">
        <is>
          <t>-</t>
        </is>
      </c>
      <c r="AA6" s="219" t="n">
        <v>39</v>
      </c>
      <c r="AB6" s="219" t="n">
        <v>18510887</v>
      </c>
      <c r="AC6" s="522" t="n">
        <v>9241.59319105</v>
      </c>
      <c r="AD6" s="522" t="n">
        <v>5400.27106426</v>
      </c>
      <c r="AE6" s="522" t="n">
        <v>3841.32212679</v>
      </c>
      <c r="AF6" s="522" t="n">
        <v>471974.47724047</v>
      </c>
      <c r="AG6" s="522" t="n">
        <v>464765.75560953</v>
      </c>
      <c r="AH6" s="219" t="n">
        <v>0</v>
      </c>
      <c r="AI6" s="522" t="n">
        <v>0</v>
      </c>
      <c r="AJ6" s="221" t="inlineStr">
        <is>
          <t>-</t>
        </is>
      </c>
      <c r="AK6" s="219" t="n">
        <v>40</v>
      </c>
      <c r="AL6" s="219" t="n">
        <v>18938944</v>
      </c>
      <c r="AM6" s="522" t="n">
        <v>9525.68852055</v>
      </c>
      <c r="AN6" s="522" t="n">
        <v>3792.5288971</v>
      </c>
      <c r="AO6" s="522" t="n">
        <v>5733.15962345</v>
      </c>
      <c r="AP6" s="522" t="n">
        <v>494278.82600008</v>
      </c>
      <c r="AQ6" s="522" t="n">
        <v>482665.22640117</v>
      </c>
      <c r="AR6" s="219" t="n">
        <v>0</v>
      </c>
      <c r="AS6" s="522" t="n">
        <v>0</v>
      </c>
      <c r="AT6" s="221" t="inlineStr">
        <is>
          <t>-</t>
        </is>
      </c>
      <c r="AU6" s="219" t="n">
        <v>40</v>
      </c>
      <c r="AV6" s="219" t="n">
        <v>19448661</v>
      </c>
      <c r="AW6" s="522" t="n">
        <v>11378.2289679</v>
      </c>
      <c r="AX6" s="522" t="n">
        <v>3723.90189243</v>
      </c>
      <c r="AY6" s="522" t="n">
        <v>7654.32707547</v>
      </c>
      <c r="AZ6" s="522" t="n">
        <v>493229.47165585</v>
      </c>
      <c r="BA6" s="522" t="n">
        <v>494656.51863463</v>
      </c>
      <c r="BB6" s="219" t="n">
        <v>0</v>
      </c>
      <c r="BC6" s="522" t="n">
        <v>0</v>
      </c>
      <c r="BD6" s="221" t="inlineStr">
        <is>
          <t>-</t>
        </is>
      </c>
      <c r="BE6" s="219" t="n">
        <v>41</v>
      </c>
      <c r="BF6" s="219" t="n">
        <v>19838017</v>
      </c>
      <c r="BG6" s="522" t="n">
        <v>11664.64107634</v>
      </c>
      <c r="BH6" s="522" t="n">
        <v>3985.23929614</v>
      </c>
      <c r="BI6" s="522" t="n">
        <v>7679.4017802</v>
      </c>
      <c r="BJ6" s="522" t="n">
        <v>495445.67712889</v>
      </c>
      <c r="BK6" s="522" t="n">
        <v>497155.7640994</v>
      </c>
      <c r="BL6" s="219" t="n">
        <v>0</v>
      </c>
      <c r="BM6" s="522" t="n">
        <v>0</v>
      </c>
      <c r="BN6" s="221" t="inlineStr">
        <is>
          <t>-</t>
        </is>
      </c>
      <c r="BO6" s="219" t="n">
        <v>41</v>
      </c>
      <c r="BP6" s="219" t="n">
        <v>20206005</v>
      </c>
      <c r="BQ6" s="522" t="n">
        <v>11354.99941807</v>
      </c>
      <c r="BR6" s="522" t="n">
        <v>4325.73725681</v>
      </c>
      <c r="BS6" s="522" t="n">
        <v>7029.26216126</v>
      </c>
      <c r="BT6" s="522" t="n">
        <v>507916.03085569</v>
      </c>
      <c r="BU6" s="522" t="n">
        <v>512367.91943335</v>
      </c>
      <c r="BV6" s="219" t="n">
        <v>0</v>
      </c>
      <c r="BW6" s="522" t="n">
        <v>0</v>
      </c>
      <c r="BX6" s="221" t="inlineStr">
        <is>
          <t>-</t>
        </is>
      </c>
      <c r="BY6" s="219" t="n">
        <v>43</v>
      </c>
      <c r="BZ6" s="219" t="n">
        <v>21182395</v>
      </c>
      <c r="CA6" s="522" t="n">
        <v>12968.50083385</v>
      </c>
      <c r="CB6" s="522" t="n">
        <v>4039.79578586</v>
      </c>
      <c r="CC6" s="522" t="n">
        <v>8928.705047990001</v>
      </c>
      <c r="CD6" s="522" t="n">
        <v>533756.16522279</v>
      </c>
      <c r="CE6" s="522" t="n">
        <v>527143.34334101</v>
      </c>
      <c r="CF6" s="219" t="n">
        <v>0</v>
      </c>
      <c r="CG6" s="522" t="n">
        <v>0</v>
      </c>
      <c r="CH6" s="221" t="inlineStr">
        <is>
          <t>-</t>
        </is>
      </c>
      <c r="CI6" s="219" t="n">
        <v>43</v>
      </c>
      <c r="CJ6" s="219" t="n">
        <v>21635346</v>
      </c>
      <c r="CK6" s="522" t="n">
        <v>11822.38303068</v>
      </c>
      <c r="CL6" s="522" t="n">
        <v>3687.37054792</v>
      </c>
      <c r="CM6" s="522" t="n">
        <v>8135.01248276001</v>
      </c>
      <c r="CN6" s="522" t="n">
        <v>545189.58110012</v>
      </c>
      <c r="CO6" s="522" t="n">
        <v>539124.73962522</v>
      </c>
      <c r="CP6" s="219" t="n">
        <v>0</v>
      </c>
      <c r="CQ6" s="522" t="n">
        <v>0</v>
      </c>
      <c r="CR6" s="221" t="inlineStr">
        <is>
          <t>-</t>
        </is>
      </c>
      <c r="CS6" s="219" t="n">
        <v>44</v>
      </c>
      <c r="CT6" s="219" t="n">
        <v>22050009</v>
      </c>
      <c r="CU6" s="522" t="n">
        <v>14910.64979657</v>
      </c>
      <c r="CV6" s="522" t="n">
        <v>4891.38112428</v>
      </c>
      <c r="CW6" s="522" t="n">
        <v>10019.26867229</v>
      </c>
      <c r="CX6" s="522" t="n">
        <v>551962.16862503</v>
      </c>
      <c r="CY6" s="522" t="n">
        <v>546559.61220011</v>
      </c>
      <c r="CZ6" s="219" t="n">
        <v>0</v>
      </c>
      <c r="DA6" s="522" t="n">
        <v>0</v>
      </c>
      <c r="DB6" s="222" t="inlineStr">
        <is>
          <t>-</t>
        </is>
      </c>
      <c r="DC6" s="223" t="n">
        <v>44</v>
      </c>
      <c r="DD6" s="223" t="n">
        <v>22515391</v>
      </c>
      <c r="DE6" s="523" t="n">
        <v>12827.39483699</v>
      </c>
      <c r="DF6" s="523" t="n">
        <v>5155.03481328</v>
      </c>
      <c r="DG6" s="523" t="n">
        <v>7672.36002371</v>
      </c>
      <c r="DH6" s="523" t="n">
        <v>546946.61441015</v>
      </c>
      <c r="DI6" s="523" t="n">
        <v>549566.708792</v>
      </c>
      <c r="DJ6" s="223" t="n">
        <v>0</v>
      </c>
      <c r="DK6" s="523" t="n">
        <v>0</v>
      </c>
      <c r="DL6" s="222" t="inlineStr">
        <is>
          <t>-</t>
        </is>
      </c>
      <c r="DM6" s="280">
        <f>S6+AC6+AM6+AW6+BG6+BQ6+CA6+CK6+CU6+DE6</f>
        <v/>
      </c>
      <c r="DN6" s="275">
        <f>U6+AE6+AO6+AY6+BI6+BS6+CC6+CM6+CW6+DG6</f>
        <v/>
      </c>
      <c r="DO6" s="222" t="inlineStr">
        <is>
          <t>-</t>
        </is>
      </c>
      <c r="DP6" s="226">
        <f>IFERROR((DE6-CU6)/CU6,"-")</f>
        <v/>
      </c>
      <c r="DQ6" s="226">
        <f>IFERROR((DG6-CW6)/CW6,"-")</f>
        <v/>
      </c>
      <c r="DR6" s="288">
        <f>IFERROR((DH6-CX6)/CX6,"-")</f>
        <v/>
      </c>
      <c r="DS6" s="223" t="n">
        <v>44</v>
      </c>
      <c r="DT6" s="223" t="n">
        <v>22945488</v>
      </c>
      <c r="DU6" s="223" t="n">
        <v>11044.8398199</v>
      </c>
      <c r="DV6" s="223" t="n">
        <v>4120.18550955001</v>
      </c>
      <c r="DW6" s="223" t="n">
        <v>6924.65431034999</v>
      </c>
      <c r="DX6" s="223" t="n">
        <v>553187.14038143</v>
      </c>
      <c r="DY6" s="223" t="n">
        <v>557484.96083044</v>
      </c>
      <c r="DZ6" s="223" t="n">
        <v>0</v>
      </c>
      <c r="EA6" s="223" t="n">
        <v>0</v>
      </c>
      <c r="EB6" s="222" t="inlineStr">
        <is>
          <t>-</t>
        </is>
      </c>
      <c r="EC6" s="280">
        <f>S6+AC6+AM6+AW6+BG6+BQ6+CA6+CK6+CU6+DE6+DU6</f>
        <v/>
      </c>
      <c r="ED6" s="275">
        <f>U6+AE6+AO6+AY6+BI6+BS6+CC6+CM6+CW6+DG6+DW6</f>
        <v/>
      </c>
      <c r="EE6" s="222" t="inlineStr">
        <is>
          <t>-</t>
        </is>
      </c>
      <c r="EF6" s="226">
        <f>IFERROR((DU6-DE6)/DE6,"-")</f>
        <v/>
      </c>
      <c r="EG6" s="226">
        <f>IFERROR((DW6-DG6)/DG6,"-")</f>
        <v/>
      </c>
      <c r="EH6" s="288">
        <f>IFERROR((DX6-DH6)/DH6,"-")</f>
        <v/>
      </c>
      <c r="EI6" s="222" t="inlineStr">
        <is>
          <t>-</t>
        </is>
      </c>
      <c r="EJ6" s="223" t="n">
        <v>45</v>
      </c>
      <c r="EK6" s="223" t="n">
        <v>23379152</v>
      </c>
      <c r="EL6" s="223" t="n">
        <v>16147.68708312</v>
      </c>
      <c r="EM6" s="223" t="n">
        <v>6093.56683059</v>
      </c>
      <c r="EN6" s="223" t="n">
        <v>10054.12025253</v>
      </c>
      <c r="EO6" s="223" t="n">
        <v>505265.44871323</v>
      </c>
      <c r="EP6" s="223" t="n">
        <v>528059.76135396</v>
      </c>
      <c r="EQ6" s="223" t="n">
        <v>0</v>
      </c>
      <c r="ER6" s="223" t="n">
        <v>0</v>
      </c>
      <c r="ES6" s="222" t="inlineStr">
        <is>
          <t>-</t>
        </is>
      </c>
      <c r="ET6" s="280">
        <f>S6+AC6+AM6+AW6+BG6+BQ6+CA6+CK6+CU6+DE6+DU6+EL6</f>
        <v/>
      </c>
      <c r="EU6" s="275">
        <f>U6+AE6+AO6+AY6+BI6+BS6+CC6+CM6+CW6+DG6+DW6+EN6</f>
        <v/>
      </c>
      <c r="EV6" s="222" t="inlineStr">
        <is>
          <t>-</t>
        </is>
      </c>
      <c r="EW6" s="300">
        <f>IFERROR((EL6-DU6)/DU6,"-")</f>
        <v/>
      </c>
      <c r="EX6" s="293">
        <f>IFERROR((EN6-DW6)/DW6,"-")</f>
        <v/>
      </c>
      <c r="EY6" s="288">
        <f>IFERROR((EO6-DX6)/DX6,"-")</f>
        <v/>
      </c>
    </row>
    <row r="7" hidden="1" outlineLevel="1" collapsed="1">
      <c r="A7" s="159" t="inlineStr">
        <is>
          <t>Mid Cap Fund</t>
        </is>
      </c>
      <c r="B7" s="163" t="inlineStr">
        <is>
          <t>Growth/Equity Oriented Schemes</t>
        </is>
      </c>
      <c r="C7" s="163" t="inlineStr">
        <is>
          <t>Open ended Schemes</t>
        </is>
      </c>
      <c r="D7" s="163" t="inlineStr">
        <is>
          <t>Equity</t>
        </is>
      </c>
      <c r="E7" s="163" t="inlineStr">
        <is>
          <t>Equity</t>
        </is>
      </c>
      <c r="F7" s="163" t="inlineStr">
        <is>
          <t>Active Equity (incl Hybrid)</t>
        </is>
      </c>
      <c r="G7" s="416" t="n"/>
      <c r="H7" s="416" t="n"/>
      <c r="I7" s="416" t="n"/>
      <c r="J7" s="416" t="n"/>
      <c r="K7" s="416">
        <f>IF(OR(I7="",J7=""),"",I7-J7)</f>
        <v/>
      </c>
      <c r="L7" s="161" t="n">
        <v>368992.07599233</v>
      </c>
      <c r="M7" s="161" t="n">
        <v>356671.84378477</v>
      </c>
      <c r="N7" s="416" t="n"/>
      <c r="O7" s="416" t="n"/>
      <c r="P7" s="164" t="inlineStr">
        <is>
          <t>-</t>
        </is>
      </c>
      <c r="Q7" s="227" t="n">
        <v>30</v>
      </c>
      <c r="R7" s="227" t="n">
        <v>21310959</v>
      </c>
      <c r="S7" s="227" t="n">
        <v>6748.96940719</v>
      </c>
      <c r="T7" s="227" t="n">
        <v>3434.99388188</v>
      </c>
      <c r="U7" s="227" t="n">
        <v>3313.97552531</v>
      </c>
      <c r="V7" s="227" t="n">
        <v>383083.71355494</v>
      </c>
      <c r="W7" s="227" t="n">
        <v>370097.35101234</v>
      </c>
      <c r="X7" s="227" t="n">
        <v>0</v>
      </c>
      <c r="Y7" s="227" t="n">
        <v>0</v>
      </c>
      <c r="Z7" s="228" t="inlineStr">
        <is>
          <t>-</t>
        </is>
      </c>
      <c r="AA7" s="227" t="n">
        <v>30</v>
      </c>
      <c r="AB7" s="227" t="n">
        <v>21538476</v>
      </c>
      <c r="AC7" s="227" t="n">
        <v>6812.23985462</v>
      </c>
      <c r="AD7" s="227" t="n">
        <v>4003.56014795</v>
      </c>
      <c r="AE7" s="227" t="n">
        <v>2808.67970667</v>
      </c>
      <c r="AF7" s="227" t="n">
        <v>408092.68058066</v>
      </c>
      <c r="AG7" s="227" t="n">
        <v>395846.07139674</v>
      </c>
      <c r="AH7" s="227" t="n">
        <v>0</v>
      </c>
      <c r="AI7" s="227" t="n">
        <v>0</v>
      </c>
      <c r="AJ7" s="228" t="inlineStr">
        <is>
          <t>-</t>
        </is>
      </c>
      <c r="AK7" s="227" t="n">
        <v>30</v>
      </c>
      <c r="AL7" s="227" t="n">
        <v>22005565</v>
      </c>
      <c r="AM7" s="227" t="n">
        <v>7539.52865289</v>
      </c>
      <c r="AN7" s="227" t="n">
        <v>3785.10931978</v>
      </c>
      <c r="AO7" s="227" t="n">
        <v>3754.41933311</v>
      </c>
      <c r="AP7" s="227" t="n">
        <v>431699.79269591</v>
      </c>
      <c r="AQ7" s="227" t="n">
        <v>419404.14019262</v>
      </c>
      <c r="AR7" s="227" t="n">
        <v>0</v>
      </c>
      <c r="AS7" s="227" t="n">
        <v>0</v>
      </c>
      <c r="AT7" s="228" t="inlineStr">
        <is>
          <t>-</t>
        </is>
      </c>
      <c r="AU7" s="227" t="n">
        <v>30</v>
      </c>
      <c r="AV7" s="227" t="n">
        <v>22564162</v>
      </c>
      <c r="AW7" s="227" t="n">
        <v>8711.456725169999</v>
      </c>
      <c r="AX7" s="227" t="n">
        <v>3528.96650189</v>
      </c>
      <c r="AY7" s="227" t="n">
        <v>5182.49022328</v>
      </c>
      <c r="AZ7" s="227" t="n">
        <v>428582.49916458</v>
      </c>
      <c r="BA7" s="227" t="n">
        <v>431587.59212204</v>
      </c>
      <c r="BB7" s="227" t="n">
        <v>0</v>
      </c>
      <c r="BC7" s="227" t="n">
        <v>0</v>
      </c>
      <c r="BD7" s="228" t="inlineStr">
        <is>
          <t>-</t>
        </is>
      </c>
      <c r="BE7" s="227" t="n">
        <v>31</v>
      </c>
      <c r="BF7" s="227" t="n">
        <v>23000768</v>
      </c>
      <c r="BG7" s="227" t="n">
        <v>8288.31468766</v>
      </c>
      <c r="BH7" s="227" t="n">
        <v>2957.69018654</v>
      </c>
      <c r="BI7" s="227" t="n">
        <v>5330.62450112</v>
      </c>
      <c r="BJ7" s="227" t="n">
        <v>426623.48378171</v>
      </c>
      <c r="BK7" s="227" t="n">
        <v>428719.13545035</v>
      </c>
      <c r="BL7" s="227" t="n">
        <v>0</v>
      </c>
      <c r="BM7" s="227" t="n">
        <v>0</v>
      </c>
      <c r="BN7" s="228" t="inlineStr">
        <is>
          <t>-</t>
        </is>
      </c>
      <c r="BO7" s="227" t="n">
        <v>31</v>
      </c>
      <c r="BP7" s="227" t="n">
        <v>23343247</v>
      </c>
      <c r="BQ7" s="227" t="n">
        <v>8793.49818869</v>
      </c>
      <c r="BR7" s="227" t="n">
        <v>3708.10234892</v>
      </c>
      <c r="BS7" s="227" t="n">
        <v>5085.39583977</v>
      </c>
      <c r="BT7" s="227" t="n">
        <v>433540.2453328</v>
      </c>
      <c r="BU7" s="227" t="n">
        <v>439969.23713339</v>
      </c>
      <c r="BV7" s="227" t="n">
        <v>0</v>
      </c>
      <c r="BW7" s="227" t="n">
        <v>0</v>
      </c>
      <c r="BX7" s="228" t="inlineStr">
        <is>
          <t>-</t>
        </is>
      </c>
      <c r="BY7" s="227" t="n">
        <v>31</v>
      </c>
      <c r="BZ7" s="227" t="n">
        <v>23535313</v>
      </c>
      <c r="CA7" s="227" t="n">
        <v>8169.02743156</v>
      </c>
      <c r="CB7" s="227" t="n">
        <v>4361.91558898</v>
      </c>
      <c r="CC7" s="227" t="n">
        <v>3807.11184257999</v>
      </c>
      <c r="CD7" s="227" t="n">
        <v>454606.48502828</v>
      </c>
      <c r="CE7" s="227" t="n">
        <v>449162.62106016</v>
      </c>
      <c r="CF7" s="227" t="n">
        <v>0</v>
      </c>
      <c r="CG7" s="227" t="n">
        <v>0</v>
      </c>
      <c r="CH7" s="228" t="inlineStr">
        <is>
          <t>-</t>
        </is>
      </c>
      <c r="CI7" s="227" t="n">
        <v>31</v>
      </c>
      <c r="CJ7" s="227" t="n">
        <v>23815587</v>
      </c>
      <c r="CK7" s="227" t="n">
        <v>8226.13571468</v>
      </c>
      <c r="CL7" s="227" t="n">
        <v>3739.22209628</v>
      </c>
      <c r="CM7" s="227" t="n">
        <v>4486.9136184</v>
      </c>
      <c r="CN7" s="227" t="n">
        <v>461830.87223761</v>
      </c>
      <c r="CO7" s="227" t="n">
        <v>458447.93127769</v>
      </c>
      <c r="CP7" s="227" t="n">
        <v>0</v>
      </c>
      <c r="CQ7" s="227" t="n">
        <v>0</v>
      </c>
      <c r="CR7" s="228" t="inlineStr">
        <is>
          <t>-</t>
        </is>
      </c>
      <c r="CS7" s="227" t="n">
        <v>31</v>
      </c>
      <c r="CT7" s="227" t="n">
        <v>23987318</v>
      </c>
      <c r="CU7" s="227" t="n">
        <v>9004.00886095</v>
      </c>
      <c r="CV7" s="227" t="n">
        <v>4828.20083865</v>
      </c>
      <c r="CW7" s="227" t="n">
        <v>4175.8080223</v>
      </c>
      <c r="CX7" s="227" t="n">
        <v>461271.22804333</v>
      </c>
      <c r="CY7" s="227" t="n">
        <v>458515.51878929</v>
      </c>
      <c r="CZ7" s="227" t="n">
        <v>0</v>
      </c>
      <c r="DA7" s="227" t="n">
        <v>0</v>
      </c>
      <c r="DB7" s="229" t="inlineStr">
        <is>
          <t>-</t>
        </is>
      </c>
      <c r="DC7" s="230" t="n">
        <v>31</v>
      </c>
      <c r="DD7" s="230" t="n">
        <v>24168250</v>
      </c>
      <c r="DE7" s="230" t="n">
        <v>8259.57984919001</v>
      </c>
      <c r="DF7" s="230" t="n">
        <v>5074.10543079</v>
      </c>
      <c r="DG7" s="230" t="n">
        <v>3185.4744184</v>
      </c>
      <c r="DH7" s="230" t="n">
        <v>449438.76302239</v>
      </c>
      <c r="DI7" s="230" t="n">
        <v>454270.77133081</v>
      </c>
      <c r="DJ7" s="230" t="n">
        <v>0</v>
      </c>
      <c r="DK7" s="230" t="n">
        <v>0</v>
      </c>
      <c r="DL7" s="229" t="inlineStr">
        <is>
          <t>-</t>
        </is>
      </c>
      <c r="DM7" s="280">
        <f>S7+AC7+AM7+AW7+BG7+BQ7+CA7+CK7+CU7+DE7</f>
        <v/>
      </c>
      <c r="DN7" s="275">
        <f>U7+AE7+AO7+AY7+BI7+BS7+CC7+CM7+CW7+DG7</f>
        <v/>
      </c>
      <c r="DO7" s="229" t="inlineStr">
        <is>
          <t>-</t>
        </is>
      </c>
      <c r="DP7" s="524">
        <f>IFERROR((DE7-CU7)/CU7,"-")</f>
        <v/>
      </c>
      <c r="DQ7" s="524">
        <f>IFERROR((DG7-CW7)/CW7,"-")</f>
        <v/>
      </c>
      <c r="DR7" s="525">
        <f>IFERROR((DH7-CX7)/CX7,"-")</f>
        <v/>
      </c>
      <c r="DS7" s="230" t="n">
        <v>32</v>
      </c>
      <c r="DT7" s="230" t="n">
        <v>24460976</v>
      </c>
      <c r="DU7" s="230" t="n">
        <v>7854.60804985999</v>
      </c>
      <c r="DV7" s="230" t="n">
        <v>3851.61358478</v>
      </c>
      <c r="DW7" s="230" t="n">
        <v>4002.99446508</v>
      </c>
      <c r="DX7" s="230" t="n">
        <v>462097.66640248</v>
      </c>
      <c r="DY7" s="230" t="n">
        <v>462469.544697</v>
      </c>
      <c r="DZ7" s="230" t="n">
        <v>0</v>
      </c>
      <c r="EA7" s="230" t="n">
        <v>0</v>
      </c>
      <c r="EB7" s="229" t="inlineStr">
        <is>
          <t>-</t>
        </is>
      </c>
      <c r="EC7" s="280">
        <f>S7+AC7+AM7+AW7+BG7+BQ7+CA7+CK7+CU7+DE7+DU7</f>
        <v/>
      </c>
      <c r="ED7" s="275">
        <f>U7+AE7+AO7+AY7+BI7+BS7+CC7+CM7+CW7+DG7+DW7</f>
        <v/>
      </c>
      <c r="EE7" s="229" t="inlineStr">
        <is>
          <t>-</t>
        </is>
      </c>
      <c r="EF7" s="524">
        <f>IFERROR((DU7-DE7)/DE7,"-")</f>
        <v/>
      </c>
      <c r="EG7" s="524">
        <f>IFERROR((DW7-DG7)/DG7,"-")</f>
        <v/>
      </c>
      <c r="EH7" s="525">
        <f>IFERROR((DX7-DH7)/DH7,"-")</f>
        <v/>
      </c>
      <c r="EI7" s="229" t="inlineStr">
        <is>
          <t>-</t>
        </is>
      </c>
      <c r="EJ7" s="230" t="n">
        <v>33</v>
      </c>
      <c r="EK7" s="230" t="n">
        <v>24763770</v>
      </c>
      <c r="EL7" s="230" t="n">
        <v>10769.93227464</v>
      </c>
      <c r="EM7" s="230" t="n">
        <v>4706.40359129</v>
      </c>
      <c r="EN7" s="230" t="n">
        <v>6063.52868335</v>
      </c>
      <c r="EO7" s="230" t="n">
        <v>418329.20035275</v>
      </c>
      <c r="EP7" s="230" t="n">
        <v>437782.58699159</v>
      </c>
      <c r="EQ7" s="230" t="n">
        <v>0</v>
      </c>
      <c r="ER7" s="230" t="n">
        <v>0</v>
      </c>
      <c r="ES7" s="229" t="inlineStr">
        <is>
          <t>-</t>
        </is>
      </c>
      <c r="ET7" s="280">
        <f>S7+AC7+AM7+AW7+BG7+BQ7+CA7+CK7+CU7+DE7+DU7+EL7</f>
        <v/>
      </c>
      <c r="EU7" s="275">
        <f>U7+AE7+AO7+AY7+BI7+BS7+CC7+CM7+CW7+DG7+DW7+EN7</f>
        <v/>
      </c>
      <c r="EV7" s="229" t="inlineStr">
        <is>
          <t>-</t>
        </is>
      </c>
      <c r="EW7" s="526">
        <f>IFERROR((EL7-DU7)/DU7,"-")</f>
        <v/>
      </c>
      <c r="EX7" s="527">
        <f>IFERROR((EN7-DW7)/DW7,"-")</f>
        <v/>
      </c>
      <c r="EY7" s="525">
        <f>IFERROR((EO7-DX7)/DX7,"-")</f>
        <v/>
      </c>
    </row>
    <row r="8" hidden="1" outlineLevel="1">
      <c r="A8" s="159" t="inlineStr">
        <is>
          <t>Small Cap Fund</t>
        </is>
      </c>
      <c r="B8" s="160" t="inlineStr">
        <is>
          <t>Growth/Equity Oriented Schemes</t>
        </is>
      </c>
      <c r="C8" s="160" t="inlineStr">
        <is>
          <t>Open ended Schemes</t>
        </is>
      </c>
      <c r="D8" s="160" t="inlineStr">
        <is>
          <t>Equity</t>
        </is>
      </c>
      <c r="E8" s="160" t="inlineStr">
        <is>
          <t>Equity</t>
        </is>
      </c>
      <c r="F8" s="160" t="inlineStr">
        <is>
          <t>Active Equity (incl Hybrid)</t>
        </is>
      </c>
      <c r="G8" s="416" t="n"/>
      <c r="H8" s="416" t="n"/>
      <c r="I8" s="416" t="n"/>
      <c r="J8" s="416" t="n"/>
      <c r="K8" s="416">
        <f>IF(OR(I8="",J8=""),"",I8-J8)</f>
        <v/>
      </c>
      <c r="L8" s="161" t="n">
        <v>295478.84401928</v>
      </c>
      <c r="M8" s="161" t="n">
        <v>288473.48950492</v>
      </c>
      <c r="N8" s="416" t="n"/>
      <c r="O8" s="416" t="n"/>
      <c r="P8" s="162" t="inlineStr">
        <is>
          <t>-</t>
        </is>
      </c>
      <c r="Q8" s="219" t="n">
        <v>30</v>
      </c>
      <c r="R8" s="219" t="n">
        <v>25141474</v>
      </c>
      <c r="S8" s="522" t="n">
        <v>7017.90004919</v>
      </c>
      <c r="T8" s="522" t="n">
        <v>3017.94731795</v>
      </c>
      <c r="U8" s="522" t="n">
        <v>3999.95273124</v>
      </c>
      <c r="V8" s="522" t="n">
        <v>307168.10748578</v>
      </c>
      <c r="W8" s="522" t="n">
        <v>302451.85784693</v>
      </c>
      <c r="X8" s="219" t="n">
        <v>0</v>
      </c>
      <c r="Y8" s="522" t="n">
        <v>0</v>
      </c>
      <c r="Z8" s="221" t="inlineStr">
        <is>
          <t>-</t>
        </is>
      </c>
      <c r="AA8" s="219" t="n">
        <v>30</v>
      </c>
      <c r="AB8" s="219" t="n">
        <v>25248991</v>
      </c>
      <c r="AC8" s="522" t="n">
        <v>6754.21259852</v>
      </c>
      <c r="AD8" s="522" t="n">
        <v>3540.0069504</v>
      </c>
      <c r="AE8" s="522" t="n">
        <v>3214.20564812</v>
      </c>
      <c r="AF8" s="522" t="n">
        <v>336005.20806956</v>
      </c>
      <c r="AG8" s="522" t="n">
        <v>321670.43205941</v>
      </c>
      <c r="AH8" s="219" t="n">
        <v>0</v>
      </c>
      <c r="AI8" s="522" t="n">
        <v>0</v>
      </c>
      <c r="AJ8" s="221" t="inlineStr">
        <is>
          <t>-</t>
        </is>
      </c>
      <c r="AK8" s="219" t="n">
        <v>30</v>
      </c>
      <c r="AL8" s="219" t="n">
        <v>25614974</v>
      </c>
      <c r="AM8" s="522" t="n">
        <v>7426.633143</v>
      </c>
      <c r="AN8" s="522" t="n">
        <v>3402.13554721</v>
      </c>
      <c r="AO8" s="522" t="n">
        <v>4024.49759579</v>
      </c>
      <c r="AP8" s="522" t="n">
        <v>354550.63244336</v>
      </c>
      <c r="AQ8" s="522" t="n">
        <v>344307.60395219</v>
      </c>
      <c r="AR8" s="219" t="n">
        <v>0</v>
      </c>
      <c r="AS8" s="522" t="n">
        <v>0</v>
      </c>
      <c r="AT8" s="221" t="inlineStr">
        <is>
          <t>-</t>
        </is>
      </c>
      <c r="AU8" s="219" t="n">
        <v>31</v>
      </c>
      <c r="AV8" s="219" t="n">
        <v>26255276</v>
      </c>
      <c r="AW8" s="522" t="n">
        <v>9776.24159039</v>
      </c>
      <c r="AX8" s="522" t="n">
        <v>3291.81280514</v>
      </c>
      <c r="AY8" s="522" t="n">
        <v>6484.42878525</v>
      </c>
      <c r="AZ8" s="522" t="n">
        <v>355901.83822483</v>
      </c>
      <c r="BA8" s="522" t="n">
        <v>358771.29939674</v>
      </c>
      <c r="BB8" s="219" t="n">
        <v>0</v>
      </c>
      <c r="BC8" s="522" t="n">
        <v>0</v>
      </c>
      <c r="BD8" s="221" t="inlineStr">
        <is>
          <t>-</t>
        </is>
      </c>
      <c r="BE8" s="219" t="n">
        <v>31</v>
      </c>
      <c r="BF8" s="219" t="n">
        <v>26635485</v>
      </c>
      <c r="BG8" s="522" t="n">
        <v>7619.26169882</v>
      </c>
      <c r="BH8" s="522" t="n">
        <v>2626.35211606</v>
      </c>
      <c r="BI8" s="522" t="n">
        <v>4992.90958276</v>
      </c>
      <c r="BJ8" s="522" t="n">
        <v>350555.21389902</v>
      </c>
      <c r="BK8" s="522" t="n">
        <v>352644.66137703</v>
      </c>
      <c r="BL8" s="219" t="n">
        <v>0</v>
      </c>
      <c r="BM8" s="522" t="n">
        <v>0</v>
      </c>
      <c r="BN8" s="221" t="inlineStr">
        <is>
          <t>-</t>
        </is>
      </c>
      <c r="BO8" s="219" t="n">
        <v>31</v>
      </c>
      <c r="BP8" s="219" t="n">
        <v>26894961</v>
      </c>
      <c r="BQ8" s="522" t="n">
        <v>8065.52090083</v>
      </c>
      <c r="BR8" s="522" t="n">
        <v>3702.60708264</v>
      </c>
      <c r="BS8" s="522" t="n">
        <v>4362.91381819</v>
      </c>
      <c r="BT8" s="522" t="n">
        <v>356740.74637455</v>
      </c>
      <c r="BU8" s="522" t="n">
        <v>362741.69336218</v>
      </c>
      <c r="BV8" s="219" t="n">
        <v>0</v>
      </c>
      <c r="BW8" s="522" t="n">
        <v>0</v>
      </c>
      <c r="BX8" s="221" t="inlineStr">
        <is>
          <t>-</t>
        </is>
      </c>
      <c r="BY8" s="219" t="n">
        <v>31</v>
      </c>
      <c r="BZ8" s="219" t="n">
        <v>27017320</v>
      </c>
      <c r="CA8" s="522" t="n">
        <v>7660.98784423</v>
      </c>
      <c r="CB8" s="522" t="n">
        <v>4184.9446509</v>
      </c>
      <c r="CC8" s="522" t="n">
        <v>3476.04319333</v>
      </c>
      <c r="CD8" s="522" t="n">
        <v>372362.30735458</v>
      </c>
      <c r="CE8" s="522" t="n">
        <v>366798.06176138</v>
      </c>
      <c r="CF8" s="219" t="n">
        <v>0</v>
      </c>
      <c r="CG8" s="522" t="n">
        <v>0</v>
      </c>
      <c r="CH8" s="221" t="inlineStr">
        <is>
          <t>-</t>
        </is>
      </c>
      <c r="CI8" s="219" t="n">
        <v>32</v>
      </c>
      <c r="CJ8" s="219" t="n">
        <v>27263667</v>
      </c>
      <c r="CK8" s="522" t="n">
        <v>8106.92036628</v>
      </c>
      <c r="CL8" s="522" t="n">
        <v>3700.0194108</v>
      </c>
      <c r="CM8" s="522" t="n">
        <v>4406.90095548</v>
      </c>
      <c r="CN8" s="522" t="n">
        <v>369881.91529044</v>
      </c>
      <c r="CO8" s="522" t="n">
        <v>370912.88999204</v>
      </c>
      <c r="CP8" s="219" t="n">
        <v>0</v>
      </c>
      <c r="CQ8" s="522" t="n">
        <v>0</v>
      </c>
      <c r="CR8" s="221" t="inlineStr">
        <is>
          <t>-</t>
        </is>
      </c>
      <c r="CS8" s="219" t="n">
        <v>33</v>
      </c>
      <c r="CT8" s="219" t="n">
        <v>27335457</v>
      </c>
      <c r="CU8" s="522" t="n">
        <v>8396.078990329999</v>
      </c>
      <c r="CV8" s="522" t="n">
        <v>4572.25518867</v>
      </c>
      <c r="CW8" s="522" t="n">
        <v>3823.82380166</v>
      </c>
      <c r="CX8" s="522" t="n">
        <v>369003.08614198</v>
      </c>
      <c r="CY8" s="522" t="n">
        <v>366387.31932921</v>
      </c>
      <c r="CZ8" s="219" t="n">
        <v>0</v>
      </c>
      <c r="DA8" s="522" t="n">
        <v>0</v>
      </c>
      <c r="DB8" s="222" t="inlineStr">
        <is>
          <t>-</t>
        </is>
      </c>
      <c r="DC8" s="223" t="n">
        <v>34</v>
      </c>
      <c r="DD8" s="223" t="n">
        <v>27471864</v>
      </c>
      <c r="DE8" s="523" t="n">
        <v>8133.41694146</v>
      </c>
      <c r="DF8" s="523" t="n">
        <v>5191.30546309</v>
      </c>
      <c r="DG8" s="523" t="n">
        <v>2942.11147837</v>
      </c>
      <c r="DH8" s="523" t="n">
        <v>354789.97170459</v>
      </c>
      <c r="DI8" s="523" t="n">
        <v>359055.59063467</v>
      </c>
      <c r="DJ8" s="223" t="n">
        <v>0</v>
      </c>
      <c r="DK8" s="523" t="n">
        <v>0</v>
      </c>
      <c r="DL8" s="222" t="inlineStr">
        <is>
          <t>-</t>
        </is>
      </c>
      <c r="DM8" s="280">
        <f>S8+AC8+AM8+AW8+BG8+BQ8+CA8+CK8+CU8+DE8</f>
        <v/>
      </c>
      <c r="DN8" s="275">
        <f>U8+AE8+AO8+AY8+BI8+BS8+CC8+CM8+CW8+DG8</f>
        <v/>
      </c>
      <c r="DO8" s="222" t="inlineStr">
        <is>
          <t>-</t>
        </is>
      </c>
      <c r="DP8" s="226">
        <f>IFERROR((DE8-CU8)/CU8,"-")</f>
        <v/>
      </c>
      <c r="DQ8" s="226">
        <f>IFERROR((DG8-CW8)/CW8,"-")</f>
        <v/>
      </c>
      <c r="DR8" s="288">
        <f>IFERROR((DH8-CX8)/CX8,"-")</f>
        <v/>
      </c>
      <c r="DS8" s="223" t="n">
        <v>34</v>
      </c>
      <c r="DT8" s="223" t="n">
        <v>27721310</v>
      </c>
      <c r="DU8" s="223" t="n">
        <v>7591.52195978</v>
      </c>
      <c r="DV8" s="223" t="n">
        <v>3710.46422293</v>
      </c>
      <c r="DW8" s="223" t="n">
        <v>3881.05773685</v>
      </c>
      <c r="DX8" s="223" t="n">
        <v>363536.98175698</v>
      </c>
      <c r="DY8" s="223" t="n">
        <v>364961.0653943</v>
      </c>
      <c r="DZ8" s="223" t="n">
        <v>0</v>
      </c>
      <c r="EA8" s="223" t="n">
        <v>0</v>
      </c>
      <c r="EB8" s="222" t="inlineStr">
        <is>
          <t>-</t>
        </is>
      </c>
      <c r="EC8" s="280">
        <f>S8+AC8+AM8+AW8+BG8+BQ8+CA8+CK8+CU8+DE8+DU8</f>
        <v/>
      </c>
      <c r="ED8" s="275">
        <f>U8+AE8+AO8+AY8+BI8+BS8+CC8+CM8+CW8+DG8+DW8</f>
        <v/>
      </c>
      <c r="EE8" s="222" t="inlineStr">
        <is>
          <t>-</t>
        </is>
      </c>
      <c r="EF8" s="226">
        <f>IFERROR((DU8-DE8)/DE8,"-")</f>
        <v/>
      </c>
      <c r="EG8" s="226">
        <f>IFERROR((DW8-DG8)/DG8,"-")</f>
        <v/>
      </c>
      <c r="EH8" s="288">
        <f>IFERROR((DX8-DH8)/DH8,"-")</f>
        <v/>
      </c>
      <c r="EI8" s="222" t="inlineStr">
        <is>
          <t>-</t>
        </is>
      </c>
      <c r="EJ8" s="223" t="n">
        <v>36</v>
      </c>
      <c r="EK8" s="223" t="n">
        <v>27995339</v>
      </c>
      <c r="EL8" s="223" t="n">
        <v>10674.84511038</v>
      </c>
      <c r="EM8" s="223" t="n">
        <v>4411.28477016</v>
      </c>
      <c r="EN8" s="223" t="n">
        <v>6263.56034021999</v>
      </c>
      <c r="EO8" s="223" t="n">
        <v>334662.33837509</v>
      </c>
      <c r="EP8" s="223" t="n">
        <v>347116.55414936</v>
      </c>
      <c r="EQ8" s="223" t="n">
        <v>0</v>
      </c>
      <c r="ER8" s="223" t="n">
        <v>0</v>
      </c>
      <c r="ES8" s="222" t="inlineStr">
        <is>
          <t>-</t>
        </is>
      </c>
      <c r="ET8" s="280">
        <f>S8+AC8+AM8+AW8+BG8+BQ8+CA8+CK8+CU8+DE8+DU8+EL8</f>
        <v/>
      </c>
      <c r="EU8" s="275">
        <f>U8+AE8+AO8+AY8+BI8+BS8+CC8+CM8+CW8+DG8+DW8+EN8</f>
        <v/>
      </c>
      <c r="EV8" s="222" t="inlineStr">
        <is>
          <t>-</t>
        </is>
      </c>
      <c r="EW8" s="300">
        <f>IFERROR((EL8-DU8)/DU8,"-")</f>
        <v/>
      </c>
      <c r="EX8" s="293">
        <f>IFERROR((EN8-DW8)/DW8,"-")</f>
        <v/>
      </c>
      <c r="EY8" s="288">
        <f>IFERROR((EO8-DX8)/DX8,"-")</f>
        <v/>
      </c>
    </row>
    <row r="9" hidden="1" outlineLevel="1">
      <c r="A9" s="159" t="inlineStr">
        <is>
          <t>Large &amp; Mid Cap Fund</t>
        </is>
      </c>
      <c r="B9" s="160" t="inlineStr">
        <is>
          <t>Growth/Equity Oriented Schemes</t>
        </is>
      </c>
      <c r="C9" s="160" t="inlineStr">
        <is>
          <t>Open ended Schemes</t>
        </is>
      </c>
      <c r="D9" s="160" t="inlineStr">
        <is>
          <t>Equity</t>
        </is>
      </c>
      <c r="E9" s="160" t="inlineStr">
        <is>
          <t>Equity</t>
        </is>
      </c>
      <c r="F9" s="160" t="inlineStr">
        <is>
          <t>Active Equity (incl Hybrid)</t>
        </is>
      </c>
      <c r="G9" s="416" t="n"/>
      <c r="H9" s="416" t="n"/>
      <c r="I9" s="416" t="n"/>
      <c r="J9" s="416" t="n"/>
      <c r="K9" s="416">
        <f>IF(OR(I9="",J9=""),"",I9-J9)</f>
        <v/>
      </c>
      <c r="L9" s="161" t="n">
        <v>263206.56330922</v>
      </c>
      <c r="M9" s="161" t="n">
        <v>254637.14921192</v>
      </c>
      <c r="N9" s="416" t="n"/>
      <c r="O9" s="416" t="n"/>
      <c r="P9" s="162" t="inlineStr">
        <is>
          <t>-</t>
        </is>
      </c>
      <c r="Q9" s="219" t="n">
        <v>31</v>
      </c>
      <c r="R9" s="219" t="n">
        <v>11957644</v>
      </c>
      <c r="S9" s="522" t="n">
        <v>5485.43275916</v>
      </c>
      <c r="T9" s="522" t="n">
        <v>2933.376566</v>
      </c>
      <c r="U9" s="522" t="n">
        <v>2552.05619316</v>
      </c>
      <c r="V9" s="522" t="n">
        <v>273258.42166549</v>
      </c>
      <c r="W9" s="522" t="n">
        <v>265202.48406459</v>
      </c>
      <c r="X9" s="219" t="n">
        <v>0</v>
      </c>
      <c r="Y9" s="522" t="n">
        <v>0</v>
      </c>
      <c r="Z9" s="221" t="inlineStr">
        <is>
          <t>-</t>
        </is>
      </c>
      <c r="AA9" s="219" t="n">
        <v>31</v>
      </c>
      <c r="AB9" s="219" t="n">
        <v>12069826</v>
      </c>
      <c r="AC9" s="522" t="n">
        <v>5352.71747704</v>
      </c>
      <c r="AD9" s="522" t="n">
        <v>2662.03010565</v>
      </c>
      <c r="AE9" s="522" t="n">
        <v>2690.68737139</v>
      </c>
      <c r="AF9" s="522" t="n">
        <v>287392.49950508</v>
      </c>
      <c r="AG9" s="522" t="n">
        <v>280686.22047332</v>
      </c>
      <c r="AH9" s="219" t="n">
        <v>0</v>
      </c>
      <c r="AI9" s="522" t="n">
        <v>0</v>
      </c>
      <c r="AJ9" s="221" t="inlineStr">
        <is>
          <t>-</t>
        </is>
      </c>
      <c r="AK9" s="219" t="n">
        <v>32</v>
      </c>
      <c r="AL9" s="219" t="n">
        <v>12262237</v>
      </c>
      <c r="AM9" s="522" t="n">
        <v>5847.93548336</v>
      </c>
      <c r="AN9" s="522" t="n">
        <v>2351.0241513</v>
      </c>
      <c r="AO9" s="522" t="n">
        <v>3496.91133206</v>
      </c>
      <c r="AP9" s="522" t="n">
        <v>302139.03351577</v>
      </c>
      <c r="AQ9" s="522" t="n">
        <v>294474.57736616</v>
      </c>
      <c r="AR9" s="219" t="n">
        <v>0</v>
      </c>
      <c r="AS9" s="522" t="n">
        <v>0</v>
      </c>
      <c r="AT9" s="221" t="inlineStr">
        <is>
          <t>-</t>
        </is>
      </c>
      <c r="AU9" s="219" t="n">
        <v>33</v>
      </c>
      <c r="AV9" s="219" t="n">
        <v>12511660</v>
      </c>
      <c r="AW9" s="522" t="n">
        <v>7399.65698574</v>
      </c>
      <c r="AX9" s="522" t="n">
        <v>2364.94341885</v>
      </c>
      <c r="AY9" s="522" t="n">
        <v>5034.71356689</v>
      </c>
      <c r="AZ9" s="522" t="n">
        <v>300972.11446238</v>
      </c>
      <c r="BA9" s="522" t="n">
        <v>302807.7796291</v>
      </c>
      <c r="BB9" s="219" t="n">
        <v>0</v>
      </c>
      <c r="BC9" s="522" t="n">
        <v>0</v>
      </c>
      <c r="BD9" s="221" t="inlineStr">
        <is>
          <t>-</t>
        </is>
      </c>
      <c r="BE9" s="219" t="n">
        <v>33</v>
      </c>
      <c r="BF9" s="219" t="n">
        <v>12691674</v>
      </c>
      <c r="BG9" s="522" t="n">
        <v>5501.95244344</v>
      </c>
      <c r="BH9" s="522" t="n">
        <v>2176.29501869</v>
      </c>
      <c r="BI9" s="522" t="n">
        <v>3325.65742475</v>
      </c>
      <c r="BJ9" s="522" t="n">
        <v>299335.04848411</v>
      </c>
      <c r="BK9" s="522" t="n">
        <v>301161.32598047</v>
      </c>
      <c r="BL9" s="219" t="n">
        <v>0</v>
      </c>
      <c r="BM9" s="522" t="n">
        <v>0</v>
      </c>
      <c r="BN9" s="221" t="inlineStr">
        <is>
          <t>-</t>
        </is>
      </c>
      <c r="BO9" s="219" t="n">
        <v>33</v>
      </c>
      <c r="BP9" s="219" t="n">
        <v>12853471</v>
      </c>
      <c r="BQ9" s="522" t="n">
        <v>6769.39971983</v>
      </c>
      <c r="BR9" s="522" t="n">
        <v>2964.23461781</v>
      </c>
      <c r="BS9" s="522" t="n">
        <v>3805.16510202</v>
      </c>
      <c r="BT9" s="522" t="n">
        <v>306903.34852113</v>
      </c>
      <c r="BU9" s="522" t="n">
        <v>309862.40085752</v>
      </c>
      <c r="BV9" s="219" t="n">
        <v>0</v>
      </c>
      <c r="BW9" s="522" t="n">
        <v>0</v>
      </c>
      <c r="BX9" s="221" t="inlineStr">
        <is>
          <t>-</t>
        </is>
      </c>
      <c r="BY9" s="219" t="n">
        <v>33</v>
      </c>
      <c r="BZ9" s="219" t="n">
        <v>12989734</v>
      </c>
      <c r="CA9" s="522" t="n">
        <v>6037.21915241</v>
      </c>
      <c r="CB9" s="522" t="n">
        <v>2860.15063497</v>
      </c>
      <c r="CC9" s="522" t="n">
        <v>3177.06851744</v>
      </c>
      <c r="CD9" s="522" t="n">
        <v>322158.20918876</v>
      </c>
      <c r="CE9" s="522" t="n">
        <v>317917.72289514</v>
      </c>
      <c r="CF9" s="219" t="n">
        <v>0</v>
      </c>
      <c r="CG9" s="522" t="n">
        <v>0</v>
      </c>
      <c r="CH9" s="221" t="inlineStr">
        <is>
          <t>-</t>
        </is>
      </c>
      <c r="CI9" s="219" t="n">
        <v>33</v>
      </c>
      <c r="CJ9" s="219" t="n">
        <v>13165462</v>
      </c>
      <c r="CK9" s="522" t="n">
        <v>6979.01644581</v>
      </c>
      <c r="CL9" s="522" t="n">
        <v>2475.7016182</v>
      </c>
      <c r="CM9" s="522" t="n">
        <v>4503.31482761</v>
      </c>
      <c r="CN9" s="522" t="n">
        <v>329325.16180146</v>
      </c>
      <c r="CO9" s="522" t="n">
        <v>325878.91120437</v>
      </c>
      <c r="CP9" s="219" t="n">
        <v>0</v>
      </c>
      <c r="CQ9" s="522" t="n">
        <v>0</v>
      </c>
      <c r="CR9" s="221" t="inlineStr">
        <is>
          <t>-</t>
        </is>
      </c>
      <c r="CS9" s="219" t="n">
        <v>33</v>
      </c>
      <c r="CT9" s="219" t="n">
        <v>13297987</v>
      </c>
      <c r="CU9" s="522" t="n">
        <v>7079.15634968</v>
      </c>
      <c r="CV9" s="522" t="n">
        <v>2985.65040163</v>
      </c>
      <c r="CW9" s="522" t="n">
        <v>4093.50594805</v>
      </c>
      <c r="CX9" s="522" t="n">
        <v>331287.38093935</v>
      </c>
      <c r="CY9" s="522" t="n">
        <v>328384.33916913</v>
      </c>
      <c r="CZ9" s="219" t="n">
        <v>0</v>
      </c>
      <c r="DA9" s="522" t="n">
        <v>0</v>
      </c>
      <c r="DB9" s="222" t="inlineStr">
        <is>
          <t>-</t>
        </is>
      </c>
      <c r="DC9" s="223" t="n">
        <v>33</v>
      </c>
      <c r="DD9" s="223" t="n">
        <v>13434952</v>
      </c>
      <c r="DE9" s="523" t="n">
        <v>6423.91045071</v>
      </c>
      <c r="DF9" s="523" t="n">
        <v>3242.01955948</v>
      </c>
      <c r="DG9" s="523" t="n">
        <v>3181.89089123</v>
      </c>
      <c r="DH9" s="523" t="n">
        <v>324621.32522158</v>
      </c>
      <c r="DI9" s="523" t="n">
        <v>327288.01528755</v>
      </c>
      <c r="DJ9" s="223" t="n">
        <v>0</v>
      </c>
      <c r="DK9" s="523" t="n">
        <v>0</v>
      </c>
      <c r="DL9" s="222" t="inlineStr">
        <is>
          <t>-</t>
        </is>
      </c>
      <c r="DM9" s="280">
        <f>S9+AC9+AM9+AW9+BG9+BQ9+CA9+CK9+CU9+DE9</f>
        <v/>
      </c>
      <c r="DN9" s="275">
        <f>U9+AE9+AO9+AY9+BI9+BS9+CC9+CM9+CW9+DG9</f>
        <v/>
      </c>
      <c r="DO9" s="222" t="inlineStr">
        <is>
          <t>-</t>
        </is>
      </c>
      <c r="DP9" s="226">
        <f>IFERROR((DE9-CU9)/CU9,"-")</f>
        <v/>
      </c>
      <c r="DQ9" s="226">
        <f>IFERROR((DG9-CW9)/CW9,"-")</f>
        <v/>
      </c>
      <c r="DR9" s="288">
        <f>IFERROR((DH9-CX9)/CX9,"-")</f>
        <v/>
      </c>
      <c r="DS9" s="223" t="n">
        <v>33</v>
      </c>
      <c r="DT9" s="223" t="n">
        <v>13582421</v>
      </c>
      <c r="DU9" s="223" t="n">
        <v>5841.74824864</v>
      </c>
      <c r="DV9" s="223" t="n">
        <v>2704.01794429</v>
      </c>
      <c r="DW9" s="223" t="n">
        <v>3137.73030435</v>
      </c>
      <c r="DX9" s="223" t="n">
        <v>331893.1014504</v>
      </c>
      <c r="DY9" s="223" t="n">
        <v>332993.58591292</v>
      </c>
      <c r="DZ9" s="223" t="n">
        <v>0</v>
      </c>
      <c r="EA9" s="223" t="n">
        <v>0</v>
      </c>
      <c r="EB9" s="222" t="inlineStr">
        <is>
          <t>-</t>
        </is>
      </c>
      <c r="EC9" s="280">
        <f>S9+AC9+AM9+AW9+BG9+BQ9+CA9+CK9+CU9+DE9+DU9</f>
        <v/>
      </c>
      <c r="ED9" s="275">
        <f>U9+AE9+AO9+AY9+BI9+BS9+CC9+CM9+CW9+DG9+DW9</f>
        <v/>
      </c>
      <c r="EE9" s="222" t="inlineStr">
        <is>
          <t>-</t>
        </is>
      </c>
      <c r="EF9" s="226">
        <f>IFERROR((DU9-DE9)/DE9,"-")</f>
        <v/>
      </c>
      <c r="EG9" s="226">
        <f>IFERROR((DW9-DG9)/DG9,"-")</f>
        <v/>
      </c>
      <c r="EH9" s="288">
        <f>IFERROR((DX9-DH9)/DH9,"-")</f>
        <v/>
      </c>
      <c r="EI9" s="222" t="inlineStr">
        <is>
          <t>-</t>
        </is>
      </c>
      <c r="EJ9" s="223" t="n">
        <v>33</v>
      </c>
      <c r="EK9" s="223" t="n">
        <v>13722688</v>
      </c>
      <c r="EL9" s="223" t="n">
        <v>9007.37067565</v>
      </c>
      <c r="EM9" s="223" t="n">
        <v>3700.12346326</v>
      </c>
      <c r="EN9" s="223" t="n">
        <v>5307.24721239001</v>
      </c>
      <c r="EO9" s="223" t="n">
        <v>299467.97959267</v>
      </c>
      <c r="EP9" s="223" t="n">
        <v>314204.09063227</v>
      </c>
      <c r="EQ9" s="223" t="n">
        <v>0</v>
      </c>
      <c r="ER9" s="223" t="n">
        <v>0</v>
      </c>
      <c r="ES9" s="222" t="inlineStr">
        <is>
          <t>-</t>
        </is>
      </c>
      <c r="ET9" s="280">
        <f>S9+AC9+AM9+AW9+BG9+BQ9+CA9+CK9+CU9+DE9+DU9+EL9</f>
        <v/>
      </c>
      <c r="EU9" s="275">
        <f>U9+AE9+AO9+AY9+BI9+BS9+CC9+CM9+CW9+DG9+DW9+EN9</f>
        <v/>
      </c>
      <c r="EV9" s="222" t="inlineStr">
        <is>
          <t>-</t>
        </is>
      </c>
      <c r="EW9" s="300">
        <f>IFERROR((EL9-DU9)/DU9,"-")</f>
        <v/>
      </c>
      <c r="EX9" s="293">
        <f>IFERROR((EN9-DW9)/DW9,"-")</f>
        <v/>
      </c>
      <c r="EY9" s="288">
        <f>IFERROR((EO9-DX9)/DX9,"-")</f>
        <v/>
      </c>
    </row>
    <row r="10" hidden="1" outlineLevel="1">
      <c r="A10" s="159" t="inlineStr">
        <is>
          <t>Sectoral/Thematic Funds</t>
        </is>
      </c>
      <c r="B10" s="160" t="inlineStr">
        <is>
          <t>Growth/Equity Oriented Schemes</t>
        </is>
      </c>
      <c r="C10" s="160" t="inlineStr">
        <is>
          <t>Open ended Schemes</t>
        </is>
      </c>
      <c r="D10" s="160" t="inlineStr">
        <is>
          <t>Equity</t>
        </is>
      </c>
      <c r="E10" s="160" t="inlineStr">
        <is>
          <t>Equity</t>
        </is>
      </c>
      <c r="F10" s="160" t="inlineStr">
        <is>
          <t>Active Equity (incl Hybrid)</t>
        </is>
      </c>
      <c r="G10" s="416" t="n"/>
      <c r="H10" s="416" t="n"/>
      <c r="I10" s="416" t="n"/>
      <c r="J10" s="416" t="n"/>
      <c r="K10" s="416">
        <f>IF(OR(I10="",J10=""),"",I10-J10)</f>
        <v/>
      </c>
      <c r="L10" s="161" t="n">
        <v>455088.24022218</v>
      </c>
      <c r="M10" s="161" t="n">
        <v>443499.83888355</v>
      </c>
      <c r="N10" s="416" t="n"/>
      <c r="O10" s="416" t="n"/>
      <c r="P10" s="162" t="inlineStr">
        <is>
          <t>-</t>
        </is>
      </c>
      <c r="Q10" s="219" t="n">
        <v>213</v>
      </c>
      <c r="R10" s="219" t="n">
        <v>30895904</v>
      </c>
      <c r="S10" s="522" t="n">
        <v>10060.0673804</v>
      </c>
      <c r="T10" s="522" t="n">
        <v>8059.12155011</v>
      </c>
      <c r="U10" s="522" t="n">
        <v>2000.94583029</v>
      </c>
      <c r="V10" s="522" t="n">
        <v>470339.04291386</v>
      </c>
      <c r="W10" s="522" t="n">
        <v>457166.11956762</v>
      </c>
      <c r="X10" s="219" t="n">
        <v>0</v>
      </c>
      <c r="Y10" s="522" t="n">
        <v>0</v>
      </c>
      <c r="Z10" s="221" t="inlineStr">
        <is>
          <t>-</t>
        </is>
      </c>
      <c r="AA10" s="219" t="n">
        <v>215</v>
      </c>
      <c r="AB10" s="219" t="n">
        <v>30982541</v>
      </c>
      <c r="AC10" s="522" t="n">
        <v>10621.09657847</v>
      </c>
      <c r="AD10" s="522" t="n">
        <v>8568.6121826</v>
      </c>
      <c r="AE10" s="522" t="n">
        <v>2052.48439587</v>
      </c>
      <c r="AF10" s="522" t="n">
        <v>492403.80702026</v>
      </c>
      <c r="AG10" s="522" t="n">
        <v>481284.63695181</v>
      </c>
      <c r="AH10" s="219" t="n">
        <v>0</v>
      </c>
      <c r="AI10" s="522" t="n">
        <v>0</v>
      </c>
      <c r="AJ10" s="221" t="inlineStr">
        <is>
          <t>-</t>
        </is>
      </c>
      <c r="AK10" s="219" t="n">
        <v>217</v>
      </c>
      <c r="AL10" s="219" t="n">
        <v>31140356</v>
      </c>
      <c r="AM10" s="522" t="n">
        <v>9633.79156974</v>
      </c>
      <c r="AN10" s="522" t="n">
        <v>9158.18571595</v>
      </c>
      <c r="AO10" s="522" t="n">
        <v>475.605853789999</v>
      </c>
      <c r="AP10" s="522" t="n">
        <v>509344.82643616</v>
      </c>
      <c r="AQ10" s="522" t="n">
        <v>499575.10148152</v>
      </c>
      <c r="AR10" s="219" t="n">
        <v>0</v>
      </c>
      <c r="AS10" s="522" t="n">
        <v>0</v>
      </c>
      <c r="AT10" s="221" t="inlineStr">
        <is>
          <t>-</t>
        </is>
      </c>
      <c r="AU10" s="219" t="n">
        <v>224</v>
      </c>
      <c r="AV10" s="219" t="n">
        <v>31771659</v>
      </c>
      <c r="AW10" s="522" t="n">
        <v>18092.62943377</v>
      </c>
      <c r="AX10" s="522" t="n">
        <v>8666.60320591</v>
      </c>
      <c r="AY10" s="522" t="n">
        <v>9426.02622786</v>
      </c>
      <c r="AZ10" s="522" t="n">
        <v>509519.20849021</v>
      </c>
      <c r="BA10" s="522" t="n">
        <v>509953.74211766</v>
      </c>
      <c r="BB10" s="219" t="n">
        <v>0</v>
      </c>
      <c r="BC10" s="522" t="n">
        <v>0</v>
      </c>
      <c r="BD10" s="221" t="inlineStr">
        <is>
          <t>-</t>
        </is>
      </c>
      <c r="BE10" s="219" t="n">
        <v>226</v>
      </c>
      <c r="BF10" s="219" t="n">
        <v>31939915</v>
      </c>
      <c r="BG10" s="522" t="n">
        <v>10929.15524178</v>
      </c>
      <c r="BH10" s="522" t="n">
        <v>7035.99184984</v>
      </c>
      <c r="BI10" s="522" t="n">
        <v>3893.16339194</v>
      </c>
      <c r="BJ10" s="522" t="n">
        <v>506571.70174574</v>
      </c>
      <c r="BK10" s="522" t="n">
        <v>508546.18455134</v>
      </c>
      <c r="BL10" s="219" t="n">
        <v>0</v>
      </c>
      <c r="BM10" s="522" t="n">
        <v>0</v>
      </c>
      <c r="BN10" s="221" t="inlineStr">
        <is>
          <t>-</t>
        </is>
      </c>
      <c r="BO10" s="219" t="n">
        <v>227</v>
      </c>
      <c r="BP10" s="219" t="n">
        <v>31889078</v>
      </c>
      <c r="BQ10" s="522" t="n">
        <v>11167.47547991</v>
      </c>
      <c r="BR10" s="522" t="n">
        <v>9946.58452715</v>
      </c>
      <c r="BS10" s="522" t="n">
        <v>1220.89095276</v>
      </c>
      <c r="BT10" s="522" t="n">
        <v>513469.4360357</v>
      </c>
      <c r="BU10" s="522" t="n">
        <v>520090.14626114</v>
      </c>
      <c r="BV10" s="219" t="n">
        <v>0</v>
      </c>
      <c r="BW10" s="522" t="n">
        <v>0</v>
      </c>
      <c r="BX10" s="221" t="inlineStr">
        <is>
          <t>-</t>
        </is>
      </c>
      <c r="BY10" s="219" t="n">
        <v>231</v>
      </c>
      <c r="BZ10" s="219" t="n">
        <v>31811396</v>
      </c>
      <c r="CA10" s="522" t="n">
        <v>11776.9534215</v>
      </c>
      <c r="CB10" s="522" t="n">
        <v>10410.791826</v>
      </c>
      <c r="CC10" s="522" t="n">
        <v>1366.1615955</v>
      </c>
      <c r="CD10" s="522" t="n">
        <v>533830.68176431</v>
      </c>
      <c r="CE10" s="522" t="n">
        <v>527588.94075028</v>
      </c>
      <c r="CF10" s="219" t="n">
        <v>0</v>
      </c>
      <c r="CG10" s="522" t="n">
        <v>0</v>
      </c>
      <c r="CH10" s="221" t="inlineStr">
        <is>
          <t>-</t>
        </is>
      </c>
      <c r="CI10" s="219" t="n">
        <v>235</v>
      </c>
      <c r="CJ10" s="219" t="n">
        <v>31879923</v>
      </c>
      <c r="CK10" s="522" t="n">
        <v>10959.58849151</v>
      </c>
      <c r="CL10" s="522" t="n">
        <v>9094.60077615</v>
      </c>
      <c r="CM10" s="522" t="n">
        <v>1864.98771535999</v>
      </c>
      <c r="CN10" s="522" t="n">
        <v>538180.28754315</v>
      </c>
      <c r="CO10" s="522" t="n">
        <v>534941.46133474</v>
      </c>
      <c r="CP10" s="219" t="n">
        <v>0</v>
      </c>
      <c r="CQ10" s="522" t="n">
        <v>0</v>
      </c>
      <c r="CR10" s="221" t="inlineStr">
        <is>
          <t>-</t>
        </is>
      </c>
      <c r="CS10" s="219" t="n">
        <v>238</v>
      </c>
      <c r="CT10" s="219" t="n">
        <v>31747483</v>
      </c>
      <c r="CU10" s="522" t="n">
        <v>11033.94346253</v>
      </c>
      <c r="CV10" s="522" t="n">
        <v>10087.95590252</v>
      </c>
      <c r="CW10" s="522" t="n">
        <v>945.987560010006</v>
      </c>
      <c r="CX10" s="522" t="n">
        <v>537666.59754183</v>
      </c>
      <c r="CY10" s="522" t="n">
        <v>535256.97107297</v>
      </c>
      <c r="CZ10" s="219" t="n">
        <v>0</v>
      </c>
      <c r="DA10" s="522" t="n">
        <v>0</v>
      </c>
      <c r="DB10" s="222" t="inlineStr">
        <is>
          <t>-</t>
        </is>
      </c>
      <c r="DC10" s="223" t="n">
        <v>240</v>
      </c>
      <c r="DD10" s="223" t="n">
        <v>31681759</v>
      </c>
      <c r="DE10" s="523" t="n">
        <v>11116.92214208</v>
      </c>
      <c r="DF10" s="523" t="n">
        <v>10074.35754777</v>
      </c>
      <c r="DG10" s="523" t="n">
        <v>1042.56459431</v>
      </c>
      <c r="DH10" s="523" t="n">
        <v>523743.15011643</v>
      </c>
      <c r="DI10" s="523" t="n">
        <v>529376.93834588</v>
      </c>
      <c r="DJ10" s="223" t="n">
        <v>0</v>
      </c>
      <c r="DK10" s="523" t="n">
        <v>0</v>
      </c>
      <c r="DL10" s="222" t="inlineStr">
        <is>
          <t>-</t>
        </is>
      </c>
      <c r="DM10" s="280">
        <f>S10+AC10+AM10+AW10+BG10+BQ10+CA10+CK10+CU10+DE10</f>
        <v/>
      </c>
      <c r="DN10" s="275">
        <f>U10+AE10+AO10+AY10+BI10+BS10+CC10+CM10+CW10+DG10</f>
        <v/>
      </c>
      <c r="DO10" s="222" t="inlineStr">
        <is>
          <t>-</t>
        </is>
      </c>
      <c r="DP10" s="226">
        <f>IFERROR((DE10-CU10)/CU10,"-")</f>
        <v/>
      </c>
      <c r="DQ10" s="226">
        <f>IFERROR((DG10-CW10)/CW10,"-")</f>
        <v/>
      </c>
      <c r="DR10" s="288">
        <f>IFERROR((DH10-CX10)/CX10,"-")</f>
        <v/>
      </c>
      <c r="DS10" s="223" t="n">
        <v>246</v>
      </c>
      <c r="DT10" s="223" t="n">
        <v>31953492</v>
      </c>
      <c r="DU10" s="223" t="n">
        <v>13094.12896744</v>
      </c>
      <c r="DV10" s="223" t="n">
        <v>10106.8432661</v>
      </c>
      <c r="DW10" s="223" t="n">
        <v>2987.28570134001</v>
      </c>
      <c r="DX10" s="223" t="n">
        <v>529804.2018567499</v>
      </c>
      <c r="DY10" s="223" t="n">
        <v>531410.45416687</v>
      </c>
      <c r="DZ10" s="223" t="n">
        <v>0</v>
      </c>
      <c r="EA10" s="223" t="n">
        <v>0</v>
      </c>
      <c r="EB10" s="222" t="inlineStr">
        <is>
          <t>-</t>
        </is>
      </c>
      <c r="EC10" s="280">
        <f>S10+AC10+AM10+AW10+BG10+BQ10+CA10+CK10+CU10+DE10+DU10</f>
        <v/>
      </c>
      <c r="ED10" s="275">
        <f>U10+AE10+AO10+AY10+BI10+BS10+CC10+CM10+CW10+DG10+DW10</f>
        <v/>
      </c>
      <c r="EE10" s="222" t="inlineStr">
        <is>
          <t>-</t>
        </is>
      </c>
      <c r="EF10" s="226">
        <f>IFERROR((DU10-DE10)/DE10,"-")</f>
        <v/>
      </c>
      <c r="EG10" s="226">
        <f>IFERROR((DW10-DG10)/DG10,"-")</f>
        <v/>
      </c>
      <c r="EH10" s="288">
        <f>IFERROR((DX10-DH10)/DH10,"-")</f>
        <v/>
      </c>
      <c r="EI10" s="222" t="inlineStr">
        <is>
          <t>-</t>
        </is>
      </c>
      <c r="EJ10" s="223" t="n">
        <v>250</v>
      </c>
      <c r="EK10" s="223" t="n">
        <v>32127595</v>
      </c>
      <c r="EL10" s="223" t="n">
        <v>13554.20519628</v>
      </c>
      <c r="EM10" s="223" t="n">
        <v>10855.3820617</v>
      </c>
      <c r="EN10" s="223" t="n">
        <v>2698.82313457999</v>
      </c>
      <c r="EO10" s="223" t="n">
        <v>477309.05415654</v>
      </c>
      <c r="EP10" s="223" t="n">
        <v>500854.00930854</v>
      </c>
      <c r="EQ10" s="223" t="n">
        <v>0</v>
      </c>
      <c r="ER10" s="223" t="n">
        <v>0</v>
      </c>
      <c r="ES10" s="222" t="inlineStr">
        <is>
          <t>-</t>
        </is>
      </c>
      <c r="ET10" s="280">
        <f>S10+AC10+AM10+AW10+BG10+BQ10+CA10+CK10+CU10+DE10+DU10+EL10</f>
        <v/>
      </c>
      <c r="EU10" s="275">
        <f>U10+AE10+AO10+AY10+BI10+BS10+CC10+CM10+CW10+DG10+DW10+EN10</f>
        <v/>
      </c>
      <c r="EV10" s="222" t="inlineStr">
        <is>
          <t>-</t>
        </is>
      </c>
      <c r="EW10" s="300">
        <f>IFERROR((EL10-DU10)/DU10,"-")</f>
        <v/>
      </c>
      <c r="EX10" s="293">
        <f>IFERROR((EN10-DW10)/DW10,"-")</f>
        <v/>
      </c>
      <c r="EY10" s="288">
        <f>IFERROR((EO10-DX10)/DX10,"-")</f>
        <v/>
      </c>
    </row>
    <row r="11" hidden="1" outlineLevel="1">
      <c r="A11" s="159" t="inlineStr">
        <is>
          <t>Large Cap Fund</t>
        </is>
      </c>
      <c r="B11" s="160" t="inlineStr">
        <is>
          <t>Growth/Equity Oriented Schemes</t>
        </is>
      </c>
      <c r="C11" s="160" t="inlineStr">
        <is>
          <t>Open ended Schemes</t>
        </is>
      </c>
      <c r="D11" s="160" t="inlineStr">
        <is>
          <t>Equity</t>
        </is>
      </c>
      <c r="E11" s="160" t="inlineStr">
        <is>
          <t>Equity</t>
        </is>
      </c>
      <c r="F11" s="160" t="inlineStr">
        <is>
          <t>Active Equity (incl Hybrid)</t>
        </is>
      </c>
      <c r="G11" s="416" t="n"/>
      <c r="H11" s="416" t="n"/>
      <c r="I11" s="416" t="n"/>
      <c r="J11" s="416" t="n"/>
      <c r="K11" s="416">
        <f>IF(OR(I11="",J11=""),"",I11-J11)</f>
        <v/>
      </c>
      <c r="L11" s="161" t="n">
        <v>359775.39060436</v>
      </c>
      <c r="M11" s="161" t="n">
        <v>348889.451102</v>
      </c>
      <c r="N11" s="416" t="n"/>
      <c r="O11" s="416" t="n"/>
      <c r="P11" s="162" t="inlineStr">
        <is>
          <t>-</t>
        </is>
      </c>
      <c r="Q11" s="219" t="n">
        <v>33</v>
      </c>
      <c r="R11" s="219" t="n">
        <v>16090916</v>
      </c>
      <c r="S11" s="522" t="n">
        <v>5891.4497738</v>
      </c>
      <c r="T11" s="522" t="n">
        <v>3219.98613495</v>
      </c>
      <c r="U11" s="522" t="n">
        <v>2671.46363885</v>
      </c>
      <c r="V11" s="522" t="n">
        <v>374519.71010756</v>
      </c>
      <c r="W11" s="522" t="n">
        <v>361853.45959419</v>
      </c>
      <c r="X11" s="219" t="n">
        <v>0</v>
      </c>
      <c r="Y11" s="522" t="n">
        <v>0</v>
      </c>
      <c r="Z11" s="221" t="inlineStr">
        <is>
          <t>-</t>
        </is>
      </c>
      <c r="AA11" s="219" t="n">
        <v>33</v>
      </c>
      <c r="AB11" s="219" t="n">
        <v>16175181</v>
      </c>
      <c r="AC11" s="522" t="n">
        <v>5240.69904301</v>
      </c>
      <c r="AD11" s="522" t="n">
        <v>3990.22480503</v>
      </c>
      <c r="AE11" s="522" t="n">
        <v>1250.47423798</v>
      </c>
      <c r="AF11" s="522" t="n">
        <v>383666.58564228</v>
      </c>
      <c r="AG11" s="522" t="n">
        <v>380250.63119731</v>
      </c>
      <c r="AH11" s="219" t="n">
        <v>0</v>
      </c>
      <c r="AI11" s="522" t="n">
        <v>0</v>
      </c>
      <c r="AJ11" s="221" t="inlineStr">
        <is>
          <t>-</t>
        </is>
      </c>
      <c r="AK11" s="219" t="n">
        <v>33</v>
      </c>
      <c r="AL11" s="219" t="n">
        <v>16304538</v>
      </c>
      <c r="AM11" s="522" t="n">
        <v>5171.34071952</v>
      </c>
      <c r="AN11" s="522" t="n">
        <v>3477.00887533</v>
      </c>
      <c r="AO11" s="522" t="n">
        <v>1694.33184419</v>
      </c>
      <c r="AP11" s="522" t="n">
        <v>397470.46665678</v>
      </c>
      <c r="AQ11" s="522" t="n">
        <v>389566.40510031</v>
      </c>
      <c r="AR11" s="219" t="n">
        <v>0</v>
      </c>
      <c r="AS11" s="522" t="n">
        <v>0</v>
      </c>
      <c r="AT11" s="221" t="inlineStr">
        <is>
          <t>-</t>
        </is>
      </c>
      <c r="AU11" s="219" t="n">
        <v>33</v>
      </c>
      <c r="AV11" s="219" t="n">
        <v>16444374</v>
      </c>
      <c r="AW11" s="522" t="n">
        <v>5503.66657595</v>
      </c>
      <c r="AX11" s="522" t="n">
        <v>3378.57631349</v>
      </c>
      <c r="AY11" s="522" t="n">
        <v>2125.09026246</v>
      </c>
      <c r="AZ11" s="522" t="n">
        <v>391762.72899624</v>
      </c>
      <c r="BA11" s="522" t="n">
        <v>394905.26883144</v>
      </c>
      <c r="BB11" s="219" t="n">
        <v>0</v>
      </c>
      <c r="BC11" s="522" t="n">
        <v>0</v>
      </c>
      <c r="BD11" s="221" t="inlineStr">
        <is>
          <t>-</t>
        </is>
      </c>
      <c r="BE11" s="219" t="n">
        <v>33</v>
      </c>
      <c r="BF11" s="219" t="n">
        <v>16539476</v>
      </c>
      <c r="BG11" s="522" t="n">
        <v>5475.39808437</v>
      </c>
      <c r="BH11" s="522" t="n">
        <v>2640.51660592</v>
      </c>
      <c r="BI11" s="522" t="n">
        <v>2834.88147845</v>
      </c>
      <c r="BJ11" s="522" t="n">
        <v>389982.59098833</v>
      </c>
      <c r="BK11" s="522" t="n">
        <v>392379.0641337</v>
      </c>
      <c r="BL11" s="219" t="n">
        <v>0</v>
      </c>
      <c r="BM11" s="522" t="n">
        <v>0</v>
      </c>
      <c r="BN11" s="221" t="inlineStr">
        <is>
          <t>-</t>
        </is>
      </c>
      <c r="BO11" s="219" t="n">
        <v>33</v>
      </c>
      <c r="BP11" s="219" t="n">
        <v>16625122</v>
      </c>
      <c r="BQ11" s="522" t="n">
        <v>5576.81873951</v>
      </c>
      <c r="BR11" s="522" t="n">
        <v>3257.77714462</v>
      </c>
      <c r="BS11" s="522" t="n">
        <v>2319.04159489</v>
      </c>
      <c r="BT11" s="522" t="n">
        <v>395093.32180022</v>
      </c>
      <c r="BU11" s="522" t="n">
        <v>399779.69459429</v>
      </c>
      <c r="BV11" s="219" t="n">
        <v>0</v>
      </c>
      <c r="BW11" s="522" t="n">
        <v>0</v>
      </c>
      <c r="BX11" s="221" t="inlineStr">
        <is>
          <t>-</t>
        </is>
      </c>
      <c r="BY11" s="219" t="n">
        <v>33</v>
      </c>
      <c r="BZ11" s="219" t="n">
        <v>16696893</v>
      </c>
      <c r="CA11" s="522" t="n">
        <v>5293.26800171</v>
      </c>
      <c r="CB11" s="522" t="n">
        <v>4321.29601526</v>
      </c>
      <c r="CC11" s="522" t="n">
        <v>971.97198645</v>
      </c>
      <c r="CD11" s="522" t="n">
        <v>410156.51085413</v>
      </c>
      <c r="CE11" s="522" t="n">
        <v>407307.68494173</v>
      </c>
      <c r="CF11" s="219" t="n">
        <v>0</v>
      </c>
      <c r="CG11" s="522" t="n">
        <v>0</v>
      </c>
      <c r="CH11" s="221" t="inlineStr">
        <is>
          <t>-</t>
        </is>
      </c>
      <c r="CI11" s="219" t="n">
        <v>33</v>
      </c>
      <c r="CJ11" s="219" t="n">
        <v>16796845</v>
      </c>
      <c r="CK11" s="522" t="n">
        <v>4942.35690729001</v>
      </c>
      <c r="CL11" s="522" t="n">
        <v>3302.55225693</v>
      </c>
      <c r="CM11" s="522" t="n">
        <v>1639.80465036001</v>
      </c>
      <c r="CN11" s="522" t="n">
        <v>418524.97741656</v>
      </c>
      <c r="CO11" s="522" t="n">
        <v>413988.87952448</v>
      </c>
      <c r="CP11" s="219" t="n">
        <v>0</v>
      </c>
      <c r="CQ11" s="522" t="n">
        <v>0</v>
      </c>
      <c r="CR11" s="221" t="inlineStr">
        <is>
          <t>-</t>
        </is>
      </c>
      <c r="CS11" s="219" t="n">
        <v>33</v>
      </c>
      <c r="CT11" s="219" t="n">
        <v>16870064</v>
      </c>
      <c r="CU11" s="522" t="n">
        <v>5499.60241941</v>
      </c>
      <c r="CV11" s="522" t="n">
        <v>3932.17962294</v>
      </c>
      <c r="CW11" s="522" t="n">
        <v>1567.42279647</v>
      </c>
      <c r="CX11" s="522" t="n">
        <v>418726.65441258</v>
      </c>
      <c r="CY11" s="522" t="n">
        <v>417491.5769211</v>
      </c>
      <c r="CZ11" s="219" t="n">
        <v>0</v>
      </c>
      <c r="DA11" s="522" t="n">
        <v>0</v>
      </c>
      <c r="DB11" s="222" t="inlineStr">
        <is>
          <t>-</t>
        </is>
      </c>
      <c r="DC11" s="223" t="n">
        <v>33</v>
      </c>
      <c r="DD11" s="223" t="n">
        <v>16949451</v>
      </c>
      <c r="DE11" s="523" t="n">
        <v>5523.62901217</v>
      </c>
      <c r="DF11" s="523" t="n">
        <v>3518.65182964</v>
      </c>
      <c r="DG11" s="523" t="n">
        <v>2004.97718253</v>
      </c>
      <c r="DH11" s="523" t="n">
        <v>408303.50130638</v>
      </c>
      <c r="DI11" s="523" t="n">
        <v>413609.66550237</v>
      </c>
      <c r="DJ11" s="223" t="n">
        <v>0</v>
      </c>
      <c r="DK11" s="523" t="n">
        <v>0</v>
      </c>
      <c r="DL11" s="222" t="inlineStr">
        <is>
          <t>-</t>
        </is>
      </c>
      <c r="DM11" s="280">
        <f>S11+AC11+AM11+AW11+BG11+BQ11+CA11+CK11+CU11+DE11</f>
        <v/>
      </c>
      <c r="DN11" s="275">
        <f>U11+AE11+AO11+AY11+BI11+BS11+CC11+CM11+CW11+DG11</f>
        <v/>
      </c>
      <c r="DO11" s="222" t="inlineStr">
        <is>
          <t>-</t>
        </is>
      </c>
      <c r="DP11" s="226">
        <f>IFERROR((DE11-CU11)/CU11,"-")</f>
        <v/>
      </c>
      <c r="DQ11" s="226">
        <f>IFERROR((DG11-CW11)/CW11,"-")</f>
        <v/>
      </c>
      <c r="DR11" s="288">
        <f>IFERROR((DH11-CX11)/CX11,"-")</f>
        <v/>
      </c>
      <c r="DS11" s="223" t="n">
        <v>34</v>
      </c>
      <c r="DT11" s="223" t="n">
        <v>17074655</v>
      </c>
      <c r="DU11" s="223" t="n">
        <v>5537.86924821</v>
      </c>
      <c r="DV11" s="223" t="n">
        <v>3426.19374871</v>
      </c>
      <c r="DW11" s="223" t="n">
        <v>2111.6754995</v>
      </c>
      <c r="DX11" s="223" t="n">
        <v>411231.73730301</v>
      </c>
      <c r="DY11" s="223" t="n">
        <v>415950.81511116</v>
      </c>
      <c r="DZ11" s="223" t="n">
        <v>0</v>
      </c>
      <c r="EA11" s="223" t="n">
        <v>0</v>
      </c>
      <c r="EB11" s="222" t="inlineStr">
        <is>
          <t>-</t>
        </is>
      </c>
      <c r="EC11" s="280">
        <f>S11+AC11+AM11+AW11+BG11+BQ11+CA11+CK11+CU11+DE11+DU11</f>
        <v/>
      </c>
      <c r="ED11" s="275">
        <f>U11+AE11+AO11+AY11+BI11+BS11+CC11+CM11+CW11+DG11+DW11</f>
        <v/>
      </c>
      <c r="EE11" s="222" t="inlineStr">
        <is>
          <t>-</t>
        </is>
      </c>
      <c r="EF11" s="226">
        <f>IFERROR((DU11-DE11)/DE11,"-")</f>
        <v/>
      </c>
      <c r="EG11" s="226">
        <f>IFERROR((DW11-DG11)/DG11,"-")</f>
        <v/>
      </c>
      <c r="EH11" s="288">
        <f>IFERROR((DX11-DH11)/DH11,"-")</f>
        <v/>
      </c>
      <c r="EI11" s="222" t="inlineStr">
        <is>
          <t>-</t>
        </is>
      </c>
      <c r="EJ11" s="223" t="n">
        <v>34</v>
      </c>
      <c r="EK11" s="223" t="n">
        <v>17144363</v>
      </c>
      <c r="EL11" s="223" t="n">
        <v>7209.10268516</v>
      </c>
      <c r="EM11" s="223" t="n">
        <v>4211.26299134</v>
      </c>
      <c r="EN11" s="223" t="n">
        <v>2997.83969381999</v>
      </c>
      <c r="EO11" s="223" t="n">
        <v>366045.48603187</v>
      </c>
      <c r="EP11" s="223" t="n">
        <v>387415.67990354</v>
      </c>
      <c r="EQ11" s="223" t="n">
        <v>0</v>
      </c>
      <c r="ER11" s="223" t="n">
        <v>0</v>
      </c>
      <c r="ES11" s="222" t="inlineStr">
        <is>
          <t>-</t>
        </is>
      </c>
      <c r="ET11" s="280">
        <f>S11+AC11+AM11+AW11+BG11+BQ11+CA11+CK11+CU11+DE11+DU11+EL11</f>
        <v/>
      </c>
      <c r="EU11" s="275">
        <f>U11+AE11+AO11+AY11+BI11+BS11+CC11+CM11+CW11+DG11+DW11+EN11</f>
        <v/>
      </c>
      <c r="EV11" s="222" t="inlineStr">
        <is>
          <t>-</t>
        </is>
      </c>
      <c r="EW11" s="300">
        <f>IFERROR((EL11-DU11)/DU11,"-")</f>
        <v/>
      </c>
      <c r="EX11" s="293">
        <f>IFERROR((EN11-DW11)/DW11,"-")</f>
        <v/>
      </c>
      <c r="EY11" s="288">
        <f>IFERROR((EO11-DX11)/DX11,"-")</f>
        <v/>
      </c>
    </row>
    <row r="12" hidden="1" outlineLevel="1">
      <c r="A12" s="159" t="inlineStr">
        <is>
          <t>Multi Cap Fund</t>
        </is>
      </c>
      <c r="B12" s="160" t="inlineStr">
        <is>
          <t>Growth/Equity Oriented Schemes</t>
        </is>
      </c>
      <c r="C12" s="160" t="inlineStr">
        <is>
          <t>Open ended Schemes</t>
        </is>
      </c>
      <c r="D12" s="160" t="inlineStr">
        <is>
          <t>Equity</t>
        </is>
      </c>
      <c r="E12" s="160" t="inlineStr">
        <is>
          <t>Equity</t>
        </is>
      </c>
      <c r="F12" s="160" t="inlineStr">
        <is>
          <t>Active Equity (incl Hybrid)</t>
        </is>
      </c>
      <c r="G12" s="416" t="n"/>
      <c r="H12" s="416" t="n"/>
      <c r="I12" s="416" t="n"/>
      <c r="J12" s="416" t="n"/>
      <c r="K12" s="416">
        <f>IF(OR(I12="",J12=""),"",I12-J12)</f>
        <v/>
      </c>
      <c r="L12" s="161" t="n">
        <v>175724.35047094</v>
      </c>
      <c r="M12" s="161" t="n">
        <v>169398.90249618</v>
      </c>
      <c r="N12" s="416" t="n"/>
      <c r="O12" s="416" t="n"/>
      <c r="P12" s="162" t="inlineStr">
        <is>
          <t>-</t>
        </is>
      </c>
      <c r="Q12" s="219" t="n">
        <v>30</v>
      </c>
      <c r="R12" s="219" t="n">
        <v>9635087</v>
      </c>
      <c r="S12" s="522" t="n">
        <v>4377.96261201</v>
      </c>
      <c r="T12" s="522" t="n">
        <v>1826.25458725</v>
      </c>
      <c r="U12" s="522" t="n">
        <v>2551.70802476</v>
      </c>
      <c r="V12" s="522" t="n">
        <v>183132.80950848</v>
      </c>
      <c r="W12" s="522" t="n">
        <v>177702.64316186</v>
      </c>
      <c r="X12" s="219" t="n">
        <v>0</v>
      </c>
      <c r="Y12" s="522" t="n">
        <v>0</v>
      </c>
      <c r="Z12" s="221" t="inlineStr">
        <is>
          <t>-</t>
        </is>
      </c>
      <c r="AA12" s="219" t="n">
        <v>31</v>
      </c>
      <c r="AB12" s="219" t="n">
        <v>9826483</v>
      </c>
      <c r="AC12" s="522" t="n">
        <v>5240.15895517</v>
      </c>
      <c r="AD12" s="522" t="n">
        <v>2240.87310144</v>
      </c>
      <c r="AE12" s="522" t="n">
        <v>2999.28585373</v>
      </c>
      <c r="AF12" s="522" t="n">
        <v>195159.76381128</v>
      </c>
      <c r="AG12" s="522" t="n">
        <v>188891.16962398</v>
      </c>
      <c r="AH12" s="219" t="n">
        <v>0</v>
      </c>
      <c r="AI12" s="522" t="n">
        <v>0</v>
      </c>
      <c r="AJ12" s="221" t="inlineStr">
        <is>
          <t>-</t>
        </is>
      </c>
      <c r="AK12" s="219" t="n">
        <v>31</v>
      </c>
      <c r="AL12" s="219" t="n">
        <v>10058599</v>
      </c>
      <c r="AM12" s="522" t="n">
        <v>4717.89814996</v>
      </c>
      <c r="AN12" s="522" t="n">
        <v>1923.69634386</v>
      </c>
      <c r="AO12" s="522" t="n">
        <v>2794.2018061</v>
      </c>
      <c r="AP12" s="522" t="n">
        <v>204689.93958085</v>
      </c>
      <c r="AQ12" s="522" t="n">
        <v>199461.03524393</v>
      </c>
      <c r="AR12" s="219" t="n">
        <v>0</v>
      </c>
      <c r="AS12" s="522" t="n">
        <v>0</v>
      </c>
      <c r="AT12" s="221" t="inlineStr">
        <is>
          <t>-</t>
        </is>
      </c>
      <c r="AU12" s="219" t="n">
        <v>32</v>
      </c>
      <c r="AV12" s="219" t="n">
        <v>10357646</v>
      </c>
      <c r="AW12" s="522" t="n">
        <v>5961.12869999</v>
      </c>
      <c r="AX12" s="522" t="n">
        <v>1970.2899973</v>
      </c>
      <c r="AY12" s="522" t="n">
        <v>3990.83870269</v>
      </c>
      <c r="AZ12" s="522" t="n">
        <v>205281.88905943</v>
      </c>
      <c r="BA12" s="522" t="n">
        <v>205917.39326473</v>
      </c>
      <c r="BB12" s="219" t="n">
        <v>0</v>
      </c>
      <c r="BC12" s="522" t="n">
        <v>0</v>
      </c>
      <c r="BD12" s="221" t="inlineStr">
        <is>
          <t>-</t>
        </is>
      </c>
      <c r="BE12" s="219" t="n">
        <v>32</v>
      </c>
      <c r="BF12" s="219" t="n">
        <v>10582438</v>
      </c>
      <c r="BG12" s="522" t="n">
        <v>4812.78170375</v>
      </c>
      <c r="BH12" s="522" t="n">
        <v>1619.72674704</v>
      </c>
      <c r="BI12" s="522" t="n">
        <v>3193.05495671</v>
      </c>
      <c r="BJ12" s="522" t="n">
        <v>205141.4845769</v>
      </c>
      <c r="BK12" s="522" t="n">
        <v>205535.8131713</v>
      </c>
      <c r="BL12" s="219" t="n">
        <v>0</v>
      </c>
      <c r="BM12" s="522" t="n">
        <v>0</v>
      </c>
      <c r="BN12" s="221" t="inlineStr">
        <is>
          <t>-</t>
        </is>
      </c>
      <c r="BO12" s="219" t="n">
        <v>32</v>
      </c>
      <c r="BP12" s="219" t="n">
        <v>10786468</v>
      </c>
      <c r="BQ12" s="522" t="n">
        <v>5783.80144413</v>
      </c>
      <c r="BR12" s="522" t="n">
        <v>2224.23574369</v>
      </c>
      <c r="BS12" s="522" t="n">
        <v>3559.56570044</v>
      </c>
      <c r="BT12" s="522" t="n">
        <v>210368.98546469</v>
      </c>
      <c r="BU12" s="522" t="n">
        <v>212137.46837497</v>
      </c>
      <c r="BV12" s="219" t="n">
        <v>0</v>
      </c>
      <c r="BW12" s="522" t="n">
        <v>0</v>
      </c>
      <c r="BX12" s="221" t="inlineStr">
        <is>
          <t>-</t>
        </is>
      </c>
      <c r="BY12" s="219" t="n">
        <v>32</v>
      </c>
      <c r="BZ12" s="219" t="n">
        <v>10912552</v>
      </c>
      <c r="CA12" s="522" t="n">
        <v>4903.94117614</v>
      </c>
      <c r="CB12" s="522" t="n">
        <v>2403.50842212</v>
      </c>
      <c r="CC12" s="522" t="n">
        <v>2500.43275402</v>
      </c>
      <c r="CD12" s="522" t="n">
        <v>220254.62921996</v>
      </c>
      <c r="CE12" s="522" t="n">
        <v>217508.31871895</v>
      </c>
      <c r="CF12" s="219" t="n">
        <v>0</v>
      </c>
      <c r="CG12" s="522" t="n">
        <v>0</v>
      </c>
      <c r="CH12" s="221" t="inlineStr">
        <is>
          <t>-</t>
        </is>
      </c>
      <c r="CI12" s="219" t="n">
        <v>32</v>
      </c>
      <c r="CJ12" s="219" t="n">
        <v>11066021</v>
      </c>
      <c r="CK12" s="522" t="n">
        <v>5011.85378116999</v>
      </c>
      <c r="CL12" s="522" t="n">
        <v>2549.008811</v>
      </c>
      <c r="CM12" s="522" t="n">
        <v>2462.84497016999</v>
      </c>
      <c r="CN12" s="522" t="n">
        <v>222749.02802933</v>
      </c>
      <c r="CO12" s="522" t="n">
        <v>221497.61697059</v>
      </c>
      <c r="CP12" s="219" t="n">
        <v>0</v>
      </c>
      <c r="CQ12" s="522" t="n">
        <v>0</v>
      </c>
      <c r="CR12" s="221" t="inlineStr">
        <is>
          <t>-</t>
        </is>
      </c>
      <c r="CS12" s="219" t="n">
        <v>32</v>
      </c>
      <c r="CT12" s="219" t="n">
        <v>11173881</v>
      </c>
      <c r="CU12" s="522" t="n">
        <v>5163.28365373</v>
      </c>
      <c r="CV12" s="522" t="n">
        <v>2908.33033369</v>
      </c>
      <c r="CW12" s="522" t="n">
        <v>2254.95332004</v>
      </c>
      <c r="CX12" s="522" t="n">
        <v>223101.78758391</v>
      </c>
      <c r="CY12" s="522" t="n">
        <v>221480.11918885</v>
      </c>
      <c r="CZ12" s="219" t="n">
        <v>0</v>
      </c>
      <c r="DA12" s="522" t="n">
        <v>0</v>
      </c>
      <c r="DB12" s="222" t="inlineStr">
        <is>
          <t>-</t>
        </is>
      </c>
      <c r="DC12" s="223" t="n">
        <v>32</v>
      </c>
      <c r="DD12" s="223" t="n">
        <v>11272944</v>
      </c>
      <c r="DE12" s="523" t="n">
        <v>5043.04526273</v>
      </c>
      <c r="DF12" s="523" t="n">
        <v>3047.81317405</v>
      </c>
      <c r="DG12" s="523" t="n">
        <v>1995.23208868</v>
      </c>
      <c r="DH12" s="523" t="n">
        <v>216445.38892108</v>
      </c>
      <c r="DI12" s="523" t="n">
        <v>218817.57505425</v>
      </c>
      <c r="DJ12" s="223" t="n">
        <v>0</v>
      </c>
      <c r="DK12" s="523" t="n">
        <v>0</v>
      </c>
      <c r="DL12" s="222" t="inlineStr">
        <is>
          <t>-</t>
        </is>
      </c>
      <c r="DM12" s="280">
        <f>S12+AC12+AM12+AW12+BG12+BQ12+CA12+CK12+CU12+DE12</f>
        <v/>
      </c>
      <c r="DN12" s="275">
        <f>U12+AE12+AO12+AY12+BI12+BS12+CC12+CM12+CW12+DG12</f>
        <v/>
      </c>
      <c r="DO12" s="222" t="inlineStr">
        <is>
          <t>-</t>
        </is>
      </c>
      <c r="DP12" s="226">
        <f>IFERROR((DE12-CU12)/CU12,"-")</f>
        <v/>
      </c>
      <c r="DQ12" s="226">
        <f>IFERROR((DG12-CW12)/CW12,"-")</f>
        <v/>
      </c>
      <c r="DR12" s="288">
        <f>IFERROR((DH12-CX12)/CX12,"-")</f>
        <v/>
      </c>
      <c r="DS12" s="223" t="n">
        <v>32</v>
      </c>
      <c r="DT12" s="223" t="n">
        <v>11374795</v>
      </c>
      <c r="DU12" s="223" t="n">
        <v>4387.92141354</v>
      </c>
      <c r="DV12" s="223" t="n">
        <v>2454.38749466</v>
      </c>
      <c r="DW12" s="223" t="n">
        <v>1933.53391888</v>
      </c>
      <c r="DX12" s="223" t="n">
        <v>221586.09496447</v>
      </c>
      <c r="DY12" s="223" t="n">
        <v>222464.01148812</v>
      </c>
      <c r="DZ12" s="223" t="n">
        <v>0</v>
      </c>
      <c r="EA12" s="223" t="n">
        <v>0</v>
      </c>
      <c r="EB12" s="222" t="inlineStr">
        <is>
          <t>-</t>
        </is>
      </c>
      <c r="EC12" s="280">
        <f>S12+AC12+AM12+AW12+BG12+BQ12+CA12+CK12+CU12+DE12+DU12</f>
        <v/>
      </c>
      <c r="ED12" s="275">
        <f>U12+AE12+AO12+AY12+BI12+BS12+CC12+CM12+CW12+DG12+DW12</f>
        <v/>
      </c>
      <c r="EE12" s="222" t="inlineStr">
        <is>
          <t>-</t>
        </is>
      </c>
      <c r="EF12" s="226">
        <f>IFERROR((DU12-DE12)/DE12,"-")</f>
        <v/>
      </c>
      <c r="EG12" s="226">
        <f>IFERROR((DW12-DG12)/DG12,"-")</f>
        <v/>
      </c>
      <c r="EH12" s="288">
        <f>IFERROR((DX12-DH12)/DH12,"-")</f>
        <v/>
      </c>
      <c r="EI12" s="222" t="inlineStr">
        <is>
          <t>-</t>
        </is>
      </c>
      <c r="EJ12" s="223" t="n">
        <v>32</v>
      </c>
      <c r="EK12" s="223" t="n">
        <v>11482274</v>
      </c>
      <c r="EL12" s="223" t="n">
        <v>5819.87359387</v>
      </c>
      <c r="EM12" s="223" t="n">
        <v>2838.32484765</v>
      </c>
      <c r="EN12" s="223" t="n">
        <v>2981.54874622</v>
      </c>
      <c r="EO12" s="223" t="n">
        <v>200439.13442607</v>
      </c>
      <c r="EP12" s="223" t="n">
        <v>210283.52034407</v>
      </c>
      <c r="EQ12" s="223" t="n">
        <v>0</v>
      </c>
      <c r="ER12" s="223" t="n">
        <v>0</v>
      </c>
      <c r="ES12" s="222" t="inlineStr">
        <is>
          <t>-</t>
        </is>
      </c>
      <c r="ET12" s="280">
        <f>S12+AC12+AM12+AW12+BG12+BQ12+CA12+CK12+CU12+DE12+DU12+EL12</f>
        <v/>
      </c>
      <c r="EU12" s="275">
        <f>U12+AE12+AO12+AY12+BI12+BS12+CC12+CM12+CW12+DG12+DW12+EN12</f>
        <v/>
      </c>
      <c r="EV12" s="222" t="inlineStr">
        <is>
          <t>-</t>
        </is>
      </c>
      <c r="EW12" s="300">
        <f>IFERROR((EL12-DU12)/DU12,"-")</f>
        <v/>
      </c>
      <c r="EX12" s="293">
        <f>IFERROR((EN12-DW12)/DW12,"-")</f>
        <v/>
      </c>
      <c r="EY12" s="288">
        <f>IFERROR((EO12-DX12)/DX12,"-")</f>
        <v/>
      </c>
    </row>
    <row r="13" hidden="1" outlineLevel="1">
      <c r="A13" s="159" t="inlineStr">
        <is>
          <t>Dynamic Asset Allocation/Balanced Advantage Fund</t>
        </is>
      </c>
      <c r="B13" s="160" t="inlineStr">
        <is>
          <t>Hybrid Schemes</t>
        </is>
      </c>
      <c r="C13" s="160" t="inlineStr">
        <is>
          <t>Open ended Schemes</t>
        </is>
      </c>
      <c r="D13" s="160" t="inlineStr">
        <is>
          <t>Equity</t>
        </is>
      </c>
      <c r="E13" s="160" t="inlineStr">
        <is>
          <t>Equity-Hybrid Schemes</t>
        </is>
      </c>
      <c r="F13" s="160" t="inlineStr">
        <is>
          <t>Active Equity (incl Hybrid)</t>
        </is>
      </c>
      <c r="G13" s="416" t="n"/>
      <c r="H13" s="416" t="n"/>
      <c r="I13" s="416" t="n"/>
      <c r="J13" s="416" t="n"/>
      <c r="K13" s="416">
        <f>IF(OR(I13="",J13=""),"",I13-J13)</f>
        <v/>
      </c>
      <c r="L13" s="161" t="n">
        <v>283673.40398094</v>
      </c>
      <c r="M13" s="161" t="n">
        <v>279386.23272845</v>
      </c>
      <c r="N13" s="416" t="n"/>
      <c r="O13" s="416" t="n"/>
      <c r="P13" s="162" t="inlineStr">
        <is>
          <t>-</t>
        </is>
      </c>
      <c r="Q13" s="219" t="n">
        <v>35</v>
      </c>
      <c r="R13" s="219" t="n">
        <v>5252235</v>
      </c>
      <c r="S13" s="522" t="n">
        <v>4010.20151986</v>
      </c>
      <c r="T13" s="522" t="n">
        <v>3128.96771093</v>
      </c>
      <c r="U13" s="522" t="n">
        <v>881.23380893</v>
      </c>
      <c r="V13" s="522" t="n">
        <v>292549.94761397</v>
      </c>
      <c r="W13" s="522" t="n">
        <v>286751.76132995</v>
      </c>
      <c r="X13" s="219" t="n">
        <v>0</v>
      </c>
      <c r="Y13" s="522" t="n">
        <v>0</v>
      </c>
      <c r="Z13" s="221" t="inlineStr">
        <is>
          <t>-</t>
        </is>
      </c>
      <c r="AA13" s="219" t="n">
        <v>35</v>
      </c>
      <c r="AB13" s="219" t="n">
        <v>5288342</v>
      </c>
      <c r="AC13" s="522" t="n">
        <v>4438.87577867</v>
      </c>
      <c r="AD13" s="522" t="n">
        <v>3302.75959616</v>
      </c>
      <c r="AE13" s="522" t="n">
        <v>1136.11618251</v>
      </c>
      <c r="AF13" s="522" t="n">
        <v>299506.75603659</v>
      </c>
      <c r="AG13" s="522" t="n">
        <v>296512.18956491</v>
      </c>
      <c r="AH13" s="219" t="n">
        <v>0</v>
      </c>
      <c r="AI13" s="522" t="n">
        <v>0</v>
      </c>
      <c r="AJ13" s="221" t="inlineStr">
        <is>
          <t>-</t>
        </is>
      </c>
      <c r="AK13" s="219" t="n">
        <v>35</v>
      </c>
      <c r="AL13" s="219" t="n">
        <v>5342869</v>
      </c>
      <c r="AM13" s="522" t="n">
        <v>4913.13809265</v>
      </c>
      <c r="AN13" s="522" t="n">
        <v>3027.60818332</v>
      </c>
      <c r="AO13" s="522" t="n">
        <v>1885.52990933</v>
      </c>
      <c r="AP13" s="522" t="n">
        <v>306648.51376395</v>
      </c>
      <c r="AQ13" s="522" t="n">
        <v>303164.81967027</v>
      </c>
      <c r="AR13" s="219" t="n">
        <v>0</v>
      </c>
      <c r="AS13" s="522" t="n">
        <v>0</v>
      </c>
      <c r="AT13" s="221" t="inlineStr">
        <is>
          <t>-</t>
        </is>
      </c>
      <c r="AU13" s="219" t="n">
        <v>35</v>
      </c>
      <c r="AV13" s="219" t="n">
        <v>5425213</v>
      </c>
      <c r="AW13" s="522" t="n">
        <v>5996.09936958</v>
      </c>
      <c r="AX13" s="522" t="n">
        <v>3384.91178734</v>
      </c>
      <c r="AY13" s="522" t="n">
        <v>2611.18758224</v>
      </c>
      <c r="AZ13" s="522" t="n">
        <v>305086.55245353</v>
      </c>
      <c r="BA13" s="522" t="n">
        <v>307392.81551097</v>
      </c>
      <c r="BB13" s="219" t="n">
        <v>0</v>
      </c>
      <c r="BC13" s="522" t="n">
        <v>0</v>
      </c>
      <c r="BD13" s="221" t="inlineStr">
        <is>
          <t>-</t>
        </is>
      </c>
      <c r="BE13" s="219" t="n">
        <v>35</v>
      </c>
      <c r="BF13" s="219" t="n">
        <v>5474637</v>
      </c>
      <c r="BG13" s="522" t="n">
        <v>4809.95660705</v>
      </c>
      <c r="BH13" s="522" t="n">
        <v>2493.47204157</v>
      </c>
      <c r="BI13" s="522" t="n">
        <v>2316.48456548</v>
      </c>
      <c r="BJ13" s="522" t="n">
        <v>304727.49676332</v>
      </c>
      <c r="BK13" s="522" t="n">
        <v>306186.21109805</v>
      </c>
      <c r="BL13" s="219" t="n">
        <v>0</v>
      </c>
      <c r="BM13" s="522" t="n">
        <v>0</v>
      </c>
      <c r="BN13" s="221" t="inlineStr">
        <is>
          <t>-</t>
        </is>
      </c>
      <c r="BO13" s="219" t="n">
        <v>35</v>
      </c>
      <c r="BP13" s="219" t="n">
        <v>5509198</v>
      </c>
      <c r="BQ13" s="522" t="n">
        <v>5003.98117913</v>
      </c>
      <c r="BR13" s="522" t="n">
        <v>3315.42555612</v>
      </c>
      <c r="BS13" s="522" t="n">
        <v>1688.55562301</v>
      </c>
      <c r="BT13" s="522" t="n">
        <v>309385.03705352</v>
      </c>
      <c r="BU13" s="522" t="n">
        <v>311226.52892934</v>
      </c>
      <c r="BV13" s="219" t="n">
        <v>0</v>
      </c>
      <c r="BW13" s="522" t="n">
        <v>0</v>
      </c>
      <c r="BX13" s="221" t="inlineStr">
        <is>
          <t>-</t>
        </is>
      </c>
      <c r="BY13" s="219" t="n">
        <v>35</v>
      </c>
      <c r="BZ13" s="219" t="n">
        <v>5530506</v>
      </c>
      <c r="CA13" s="522" t="n">
        <v>4233.78009903</v>
      </c>
      <c r="CB13" s="522" t="n">
        <v>3694.12805334</v>
      </c>
      <c r="CC13" s="522" t="n">
        <v>539.652045690003</v>
      </c>
      <c r="CD13" s="522" t="n">
        <v>318121.65810513</v>
      </c>
      <c r="CE13" s="522" t="n">
        <v>316548.76880734</v>
      </c>
      <c r="CF13" s="219" t="n">
        <v>0</v>
      </c>
      <c r="CG13" s="522" t="n">
        <v>0</v>
      </c>
      <c r="CH13" s="221" t="inlineStr">
        <is>
          <t>-</t>
        </is>
      </c>
      <c r="CI13" s="219" t="n">
        <v>35</v>
      </c>
      <c r="CJ13" s="219" t="n">
        <v>5565740</v>
      </c>
      <c r="CK13" s="522" t="n">
        <v>4482.1312459</v>
      </c>
      <c r="CL13" s="522" t="n">
        <v>3072.12703079</v>
      </c>
      <c r="CM13" s="522" t="n">
        <v>1410.00421511</v>
      </c>
      <c r="CN13" s="522" t="n">
        <v>322208.64360129</v>
      </c>
      <c r="CO13" s="522" t="n">
        <v>320995.10429083</v>
      </c>
      <c r="CP13" s="219" t="n">
        <v>0</v>
      </c>
      <c r="CQ13" s="522" t="n">
        <v>0</v>
      </c>
      <c r="CR13" s="221" t="inlineStr">
        <is>
          <t>-</t>
        </is>
      </c>
      <c r="CS13" s="219" t="n">
        <v>35</v>
      </c>
      <c r="CT13" s="219" t="n">
        <v>5595687</v>
      </c>
      <c r="CU13" s="522" t="n">
        <v>4660.78024322</v>
      </c>
      <c r="CV13" s="522" t="n">
        <v>3563.58374918</v>
      </c>
      <c r="CW13" s="522" t="n">
        <v>1097.19649404001</v>
      </c>
      <c r="CX13" s="522" t="n">
        <v>323324.82594314</v>
      </c>
      <c r="CY13" s="522" t="n">
        <v>323093.24563239</v>
      </c>
      <c r="CZ13" s="219" t="n">
        <v>0</v>
      </c>
      <c r="DA13" s="522" t="n">
        <v>0</v>
      </c>
      <c r="DB13" s="222" t="inlineStr">
        <is>
          <t>-</t>
        </is>
      </c>
      <c r="DC13" s="223" t="n">
        <v>35</v>
      </c>
      <c r="DD13" s="223" t="n">
        <v>5624351</v>
      </c>
      <c r="DE13" s="523" t="n">
        <v>5279.51067633</v>
      </c>
      <c r="DF13" s="523" t="n">
        <v>3440.09599684</v>
      </c>
      <c r="DG13" s="523" t="n">
        <v>1839.41467949</v>
      </c>
      <c r="DH13" s="523" t="n">
        <v>319902.63682003</v>
      </c>
      <c r="DI13" s="523" t="n">
        <v>322414.83701184</v>
      </c>
      <c r="DJ13" s="223" t="n">
        <v>0</v>
      </c>
      <c r="DK13" s="523" t="n">
        <v>0</v>
      </c>
      <c r="DL13" s="222" t="inlineStr">
        <is>
          <t>-</t>
        </is>
      </c>
      <c r="DM13" s="280">
        <f>S13+AC13+AM13+AW13+BG13+BQ13+CA13+CK13+CU13+DE13</f>
        <v/>
      </c>
      <c r="DN13" s="275">
        <f>U13+AE13+AO13+AY13+BI13+BS13+CC13+CM13+CW13+DG13</f>
        <v/>
      </c>
      <c r="DO13" s="222" t="inlineStr">
        <is>
          <t>-</t>
        </is>
      </c>
      <c r="DP13" s="226">
        <f>IFERROR((DE13-CU13)/CU13,"-")</f>
        <v/>
      </c>
      <c r="DQ13" s="226">
        <f>IFERROR((DG13-CW13)/CW13,"-")</f>
        <v/>
      </c>
      <c r="DR13" s="288">
        <f>IFERROR((DH13-CX13)/CX13,"-")</f>
        <v/>
      </c>
      <c r="DS13" s="223" t="n">
        <v>36</v>
      </c>
      <c r="DT13" s="223" t="n">
        <v>5670757</v>
      </c>
      <c r="DU13" s="223" t="n">
        <v>4745.21078564</v>
      </c>
      <c r="DV13" s="223" t="n">
        <v>3223.63977797</v>
      </c>
      <c r="DW13" s="223" t="n">
        <v>1521.57100766999</v>
      </c>
      <c r="DX13" s="223" t="n">
        <v>323655.44092959</v>
      </c>
      <c r="DY13" s="223" t="n">
        <v>325355.66783123</v>
      </c>
      <c r="DZ13" s="223" t="n">
        <v>0</v>
      </c>
      <c r="EA13" s="223" t="n">
        <v>0</v>
      </c>
      <c r="EB13" s="222" t="inlineStr">
        <is>
          <t>-</t>
        </is>
      </c>
      <c r="EC13" s="280">
        <f>S13+AC13+AM13+AW13+BG13+BQ13+CA13+CK13+CU13+DE13+DU13</f>
        <v/>
      </c>
      <c r="ED13" s="275">
        <f>U13+AE13+AO13+AY13+BI13+BS13+CC13+CM13+CW13+DG13+DW13</f>
        <v/>
      </c>
      <c r="EE13" s="222" t="inlineStr">
        <is>
          <t>-</t>
        </is>
      </c>
      <c r="EF13" s="226">
        <f>IFERROR((DU13-DE13)/DE13,"-")</f>
        <v/>
      </c>
      <c r="EG13" s="226">
        <f>IFERROR((DW13-DG13)/DG13,"-")</f>
        <v/>
      </c>
      <c r="EH13" s="288">
        <f>IFERROR((DX13-DH13)/DH13,"-")</f>
        <v/>
      </c>
      <c r="EI13" s="222" t="inlineStr">
        <is>
          <t>-</t>
        </is>
      </c>
      <c r="EJ13" s="223" t="n">
        <v>36</v>
      </c>
      <c r="EK13" s="223" t="n">
        <v>5704774</v>
      </c>
      <c r="EL13" s="223" t="n">
        <v>4570.46259581</v>
      </c>
      <c r="EM13" s="223" t="n">
        <v>4852.97601076</v>
      </c>
      <c r="EN13" s="223" t="n">
        <v>-282.513414950001</v>
      </c>
      <c r="EO13" s="223" t="n">
        <v>299019.05319019</v>
      </c>
      <c r="EP13" s="223" t="n">
        <v>311460.77184568</v>
      </c>
      <c r="EQ13" s="223" t="n">
        <v>0</v>
      </c>
      <c r="ER13" s="223" t="n">
        <v>0</v>
      </c>
      <c r="ES13" s="222" t="inlineStr">
        <is>
          <t>-</t>
        </is>
      </c>
      <c r="ET13" s="280">
        <f>S13+AC13+AM13+AW13+BG13+BQ13+CA13+CK13+CU13+DE13+DU13+EL13</f>
        <v/>
      </c>
      <c r="EU13" s="275">
        <f>U13+AE13+AO13+AY13+BI13+BS13+CC13+CM13+CW13+DG13+DW13+EN13</f>
        <v/>
      </c>
      <c r="EV13" s="222" t="inlineStr">
        <is>
          <t>-</t>
        </is>
      </c>
      <c r="EW13" s="300">
        <f>IFERROR((EL13-DU13)/DU13,"-")</f>
        <v/>
      </c>
      <c r="EX13" s="293">
        <f>IFERROR((EN13-DW13)/DW13,"-")</f>
        <v/>
      </c>
      <c r="EY13" s="288">
        <f>IFERROR((EO13-DX13)/DX13,"-")</f>
        <v/>
      </c>
    </row>
    <row r="14" hidden="1" outlineLevel="1">
      <c r="A14" s="159" t="inlineStr">
        <is>
          <t>Balanced Hybrid Fund/Aggressive Hybrid Fund</t>
        </is>
      </c>
      <c r="B14" s="160" t="inlineStr">
        <is>
          <t>Hybrid Schemes</t>
        </is>
      </c>
      <c r="C14" s="160" t="inlineStr">
        <is>
          <t>Open ended Schemes</t>
        </is>
      </c>
      <c r="D14" s="160" t="inlineStr">
        <is>
          <t>Equity</t>
        </is>
      </c>
      <c r="E14" s="160" t="inlineStr">
        <is>
          <t>Equity-Hybrid Schemes</t>
        </is>
      </c>
      <c r="F14" s="160" t="inlineStr">
        <is>
          <t>Active Equity (incl Hybrid)</t>
        </is>
      </c>
      <c r="G14" s="416" t="n"/>
      <c r="H14" s="416" t="n"/>
      <c r="I14" s="416" t="n"/>
      <c r="J14" s="416" t="n"/>
      <c r="K14" s="416">
        <f>IF(OR(I14="",J14=""),"",I14-J14)</f>
        <v/>
      </c>
      <c r="L14" s="161" t="n">
        <v>219203.8564564</v>
      </c>
      <c r="M14" s="161" t="n">
        <v>214953.72593523</v>
      </c>
      <c r="N14" s="416" t="n"/>
      <c r="O14" s="416" t="n"/>
      <c r="P14" s="162" t="inlineStr">
        <is>
          <t>-</t>
        </is>
      </c>
      <c r="Q14" s="219" t="n">
        <v>31</v>
      </c>
      <c r="R14" s="219" t="n">
        <v>5786464</v>
      </c>
      <c r="S14" s="522" t="n">
        <v>2442.8368727</v>
      </c>
      <c r="T14" s="522" t="n">
        <v>2594.30966523</v>
      </c>
      <c r="U14" s="522" t="n">
        <v>-151.47279253</v>
      </c>
      <c r="V14" s="522" t="n">
        <v>226008.03756942</v>
      </c>
      <c r="W14" s="522" t="n">
        <v>221668.36015423</v>
      </c>
      <c r="X14" s="219" t="n">
        <v>1</v>
      </c>
      <c r="Y14" s="522" t="n">
        <v>0</v>
      </c>
      <c r="Z14" s="221" t="inlineStr">
        <is>
          <t>-</t>
        </is>
      </c>
      <c r="AA14" s="219" t="n">
        <v>31</v>
      </c>
      <c r="AB14" s="219" t="n">
        <v>5805601</v>
      </c>
      <c r="AC14" s="522" t="n">
        <v>2625.09258407</v>
      </c>
      <c r="AD14" s="522" t="n">
        <v>2283.70227379</v>
      </c>
      <c r="AE14" s="522" t="n">
        <v>341.39031028</v>
      </c>
      <c r="AF14" s="522" t="n">
        <v>231900.97609916</v>
      </c>
      <c r="AG14" s="522" t="n">
        <v>229986.38955148</v>
      </c>
      <c r="AH14" s="219" t="n">
        <v>1</v>
      </c>
      <c r="AI14" s="522" t="n">
        <v>0</v>
      </c>
      <c r="AJ14" s="221" t="inlineStr">
        <is>
          <t>-</t>
        </is>
      </c>
      <c r="AK14" s="219" t="n">
        <v>31</v>
      </c>
      <c r="AL14" s="219" t="n">
        <v>5847771</v>
      </c>
      <c r="AM14" s="522" t="n">
        <v>3323.39751296</v>
      </c>
      <c r="AN14" s="522" t="n">
        <v>1991.89723487</v>
      </c>
      <c r="AO14" s="522" t="n">
        <v>1331.50027809</v>
      </c>
      <c r="AP14" s="522" t="n">
        <v>238686.35962141</v>
      </c>
      <c r="AQ14" s="522" t="n">
        <v>236080.74234331</v>
      </c>
      <c r="AR14" s="219" t="n">
        <v>1</v>
      </c>
      <c r="AS14" s="522" t="n">
        <v>0</v>
      </c>
      <c r="AT14" s="221" t="inlineStr">
        <is>
          <t>-</t>
        </is>
      </c>
      <c r="AU14" s="219" t="n">
        <v>31</v>
      </c>
      <c r="AV14" s="219" t="n">
        <v>5912528</v>
      </c>
      <c r="AW14" s="522" t="n">
        <v>4305.69448242</v>
      </c>
      <c r="AX14" s="522" t="n">
        <v>1942.13029039</v>
      </c>
      <c r="AY14" s="522" t="n">
        <v>2363.56419203</v>
      </c>
      <c r="AZ14" s="522" t="n">
        <v>237969.21354423</v>
      </c>
      <c r="BA14" s="522" t="n">
        <v>240277.48253689</v>
      </c>
      <c r="BB14" s="219" t="n">
        <v>1</v>
      </c>
      <c r="BC14" s="522" t="n">
        <v>0</v>
      </c>
      <c r="BD14" s="221" t="inlineStr">
        <is>
          <t>-</t>
        </is>
      </c>
      <c r="BE14" s="219" t="n">
        <v>31</v>
      </c>
      <c r="BF14" s="219" t="n">
        <v>5964898</v>
      </c>
      <c r="BG14" s="522" t="n">
        <v>3519.38096432</v>
      </c>
      <c r="BH14" s="522" t="n">
        <v>1648.9854715</v>
      </c>
      <c r="BI14" s="522" t="n">
        <v>1870.39549282</v>
      </c>
      <c r="BJ14" s="522" t="n">
        <v>236817.91054912</v>
      </c>
      <c r="BK14" s="522" t="n">
        <v>238877.01303871</v>
      </c>
      <c r="BL14" s="219" t="n">
        <v>1</v>
      </c>
      <c r="BM14" s="522" t="n">
        <v>0</v>
      </c>
      <c r="BN14" s="221" t="inlineStr">
        <is>
          <t>-</t>
        </is>
      </c>
      <c r="BO14" s="219" t="n">
        <v>31</v>
      </c>
      <c r="BP14" s="219" t="n">
        <v>6011535</v>
      </c>
      <c r="BQ14" s="522" t="n">
        <v>4032.03076061</v>
      </c>
      <c r="BR14" s="522" t="n">
        <v>2018.29650438</v>
      </c>
      <c r="BS14" s="522" t="n">
        <v>2013.73425623</v>
      </c>
      <c r="BT14" s="522" t="n">
        <v>241559.83442069</v>
      </c>
      <c r="BU14" s="522" t="n">
        <v>243393.86207904</v>
      </c>
      <c r="BV14" s="219" t="n">
        <v>1</v>
      </c>
      <c r="BW14" s="522" t="n">
        <v>0</v>
      </c>
      <c r="BX14" s="221" t="inlineStr">
        <is>
          <t>-</t>
        </is>
      </c>
      <c r="BY14" s="219" t="n">
        <v>31</v>
      </c>
      <c r="BZ14" s="219" t="n">
        <v>6044444</v>
      </c>
      <c r="CA14" s="522" t="n">
        <v>3282.78819634</v>
      </c>
      <c r="CB14" s="522" t="n">
        <v>2143.61165575</v>
      </c>
      <c r="CC14" s="522" t="n">
        <v>1139.17654059</v>
      </c>
      <c r="CD14" s="522" t="n">
        <v>250052.41125162</v>
      </c>
      <c r="CE14" s="522" t="n">
        <v>249009.90008138</v>
      </c>
      <c r="CF14" s="219" t="n">
        <v>1</v>
      </c>
      <c r="CG14" s="522" t="n">
        <v>0</v>
      </c>
      <c r="CH14" s="221" t="inlineStr">
        <is>
          <t>-</t>
        </is>
      </c>
      <c r="CI14" s="219" t="n">
        <v>31</v>
      </c>
      <c r="CJ14" s="219" t="n">
        <v>6089957</v>
      </c>
      <c r="CK14" s="522" t="n">
        <v>3551.10029888</v>
      </c>
      <c r="CL14" s="522" t="n">
        <v>2165.76345051</v>
      </c>
      <c r="CM14" s="522" t="n">
        <v>1385.33684837</v>
      </c>
      <c r="CN14" s="522" t="n">
        <v>253121.17780773</v>
      </c>
      <c r="CO14" s="522" t="n">
        <v>252228.23653985</v>
      </c>
      <c r="CP14" s="219" t="n">
        <v>1</v>
      </c>
      <c r="CQ14" s="522" t="n">
        <v>0</v>
      </c>
      <c r="CR14" s="221" t="inlineStr">
        <is>
          <t>-</t>
        </is>
      </c>
      <c r="CS14" s="219" t="n">
        <v>31</v>
      </c>
      <c r="CT14" s="219" t="n">
        <v>6134634</v>
      </c>
      <c r="CU14" s="522" t="n">
        <v>3824.20995433</v>
      </c>
      <c r="CV14" s="522" t="n">
        <v>2310.35074984</v>
      </c>
      <c r="CW14" s="522" t="n">
        <v>1513.85920449</v>
      </c>
      <c r="CX14" s="522" t="n">
        <v>253233.72907447</v>
      </c>
      <c r="CY14" s="522" t="n">
        <v>253602.36232583</v>
      </c>
      <c r="CZ14" s="219" t="n">
        <v>1</v>
      </c>
      <c r="DA14" s="522" t="n">
        <v>0</v>
      </c>
      <c r="DB14" s="222" t="inlineStr">
        <is>
          <t>-</t>
        </is>
      </c>
      <c r="DC14" s="223" t="n">
        <v>31</v>
      </c>
      <c r="DD14" s="223" t="n">
        <v>6177349</v>
      </c>
      <c r="DE14" s="523" t="n">
        <v>3973.7079815</v>
      </c>
      <c r="DF14" s="523" t="n">
        <v>2295.54438738</v>
      </c>
      <c r="DG14" s="523" t="n">
        <v>1678.16359412</v>
      </c>
      <c r="DH14" s="523" t="n">
        <v>249182.02971814</v>
      </c>
      <c r="DI14" s="523" t="n">
        <v>252120.46850725</v>
      </c>
      <c r="DJ14" s="223" t="n">
        <v>1</v>
      </c>
      <c r="DK14" s="523" t="n">
        <v>0</v>
      </c>
      <c r="DL14" s="222" t="inlineStr">
        <is>
          <t>-</t>
        </is>
      </c>
      <c r="DM14" s="280">
        <f>S14+AC14+AM14+AW14+BG14+BQ14+CA14+CK14+CU14+DE14</f>
        <v/>
      </c>
      <c r="DN14" s="275">
        <f>U14+AE14+AO14+AY14+BI14+BS14+CC14+CM14+CW14+DG14</f>
        <v/>
      </c>
      <c r="DO14" s="222" t="inlineStr">
        <is>
          <t>-</t>
        </is>
      </c>
      <c r="DP14" s="226">
        <f>IFERROR((DE14-CU14)/CU14,"-")</f>
        <v/>
      </c>
      <c r="DQ14" s="226">
        <f>IFERROR((DG14-CW14)/CW14,"-")</f>
        <v/>
      </c>
      <c r="DR14" s="288">
        <f>IFERROR((DH14-CX14)/CX14,"-")</f>
        <v/>
      </c>
      <c r="DS14" s="223" t="n">
        <v>31</v>
      </c>
      <c r="DT14" s="223" t="n">
        <v>6219899</v>
      </c>
      <c r="DU14" s="223" t="n">
        <v>3464.7081994</v>
      </c>
      <c r="DV14" s="223" t="n">
        <v>2045.50026908</v>
      </c>
      <c r="DW14" s="223" t="n">
        <v>1419.20793032</v>
      </c>
      <c r="DX14" s="223" t="n">
        <v>252393.85970384</v>
      </c>
      <c r="DY14" s="223" t="n">
        <v>254563.7875616</v>
      </c>
      <c r="DZ14" s="223" t="n">
        <v>1</v>
      </c>
      <c r="EA14" s="223" t="n">
        <v>0</v>
      </c>
      <c r="EB14" s="222" t="inlineStr">
        <is>
          <t>-</t>
        </is>
      </c>
      <c r="EC14" s="280">
        <f>S14+AC14+AM14+AW14+BG14+BQ14+CA14+CK14+CU14+DE14+DU14</f>
        <v/>
      </c>
      <c r="ED14" s="275">
        <f>U14+AE14+AO14+AY14+BI14+BS14+CC14+CM14+CW14+DG14+DW14</f>
        <v/>
      </c>
      <c r="EE14" s="222" t="inlineStr">
        <is>
          <t>-</t>
        </is>
      </c>
      <c r="EF14" s="226">
        <f>IFERROR((DU14-DE14)/DE14,"-")</f>
        <v/>
      </c>
      <c r="EG14" s="226">
        <f>IFERROR((DW14-DG14)/DG14,"-")</f>
        <v/>
      </c>
      <c r="EH14" s="288">
        <f>IFERROR((DX14-DH14)/DH14,"-")</f>
        <v/>
      </c>
      <c r="EI14" s="222" t="inlineStr">
        <is>
          <t>-</t>
        </is>
      </c>
      <c r="EJ14" s="223" t="n">
        <v>31</v>
      </c>
      <c r="EK14" s="223" t="n">
        <v>6254655</v>
      </c>
      <c r="EL14" s="223" t="n">
        <v>3527.21155975</v>
      </c>
      <c r="EM14" s="223" t="n">
        <v>2532.68102592</v>
      </c>
      <c r="EN14" s="223" t="n">
        <v>994.5305338299989</v>
      </c>
      <c r="EO14" s="223" t="n">
        <v>232005.53230242</v>
      </c>
      <c r="EP14" s="223" t="n">
        <v>242445.83251525</v>
      </c>
      <c r="EQ14" s="223" t="n">
        <v>1</v>
      </c>
      <c r="ER14" s="223" t="n">
        <v>0</v>
      </c>
      <c r="ES14" s="222" t="inlineStr">
        <is>
          <t>-</t>
        </is>
      </c>
      <c r="ET14" s="280">
        <f>S14+AC14+AM14+AW14+BG14+BQ14+CA14+CK14+CU14+DE14+DU14+EL14</f>
        <v/>
      </c>
      <c r="EU14" s="275">
        <f>U14+AE14+AO14+AY14+BI14+BS14+CC14+CM14+CW14+DG14+DW14+EN14</f>
        <v/>
      </c>
      <c r="EV14" s="222" t="inlineStr">
        <is>
          <t>-</t>
        </is>
      </c>
      <c r="EW14" s="300">
        <f>IFERROR((EL14-DU14)/DU14,"-")</f>
        <v/>
      </c>
      <c r="EX14" s="293">
        <f>IFERROR((EN14-DW14)/DW14,"-")</f>
        <v/>
      </c>
      <c r="EY14" s="288">
        <f>IFERROR((EO14-DX14)/DX14,"-")</f>
        <v/>
      </c>
    </row>
    <row r="15" hidden="1" outlineLevel="1">
      <c r="A15" s="159" t="inlineStr">
        <is>
          <t>Focused Fund</t>
        </is>
      </c>
      <c r="B15" s="160" t="inlineStr">
        <is>
          <t>Growth/Equity Oriented Schemes</t>
        </is>
      </c>
      <c r="C15" s="160" t="inlineStr">
        <is>
          <t>Open ended Schemes</t>
        </is>
      </c>
      <c r="D15" s="160" t="inlineStr">
        <is>
          <t>Equity</t>
        </is>
      </c>
      <c r="E15" s="160" t="inlineStr">
        <is>
          <t>Equity</t>
        </is>
      </c>
      <c r="F15" s="160" t="inlineStr">
        <is>
          <t>Active Equity (incl Hybrid)</t>
        </is>
      </c>
      <c r="G15" s="416" t="n"/>
      <c r="H15" s="416" t="n"/>
      <c r="I15" s="416" t="n"/>
      <c r="J15" s="416" t="n"/>
      <c r="K15" s="416">
        <f>IF(OR(I15="",J15=""),"",I15-J15)</f>
        <v/>
      </c>
      <c r="L15" s="161" t="n">
        <v>144791.03750303</v>
      </c>
      <c r="M15" s="161" t="n">
        <v>139975.77951952</v>
      </c>
      <c r="N15" s="416" t="n"/>
      <c r="O15" s="416" t="n"/>
      <c r="P15" s="162" t="inlineStr">
        <is>
          <t>-</t>
        </is>
      </c>
      <c r="Q15" s="219" t="n">
        <v>28</v>
      </c>
      <c r="R15" s="219" t="n">
        <v>5233413</v>
      </c>
      <c r="S15" s="522" t="n">
        <v>2409.02744066</v>
      </c>
      <c r="T15" s="522" t="n">
        <v>1524.26992064</v>
      </c>
      <c r="U15" s="522" t="n">
        <v>884.75752002</v>
      </c>
      <c r="V15" s="522" t="n">
        <v>150223.04519614</v>
      </c>
      <c r="W15" s="522" t="n">
        <v>145808.93101857</v>
      </c>
      <c r="X15" s="219" t="n">
        <v>0</v>
      </c>
      <c r="Y15" s="522" t="n">
        <v>0</v>
      </c>
      <c r="Z15" s="221" t="inlineStr">
        <is>
          <t>-</t>
        </is>
      </c>
      <c r="AA15" s="219" t="n">
        <v>28</v>
      </c>
      <c r="AB15" s="219" t="n">
        <v>5246530</v>
      </c>
      <c r="AC15" s="522" t="n">
        <v>2715.78077563</v>
      </c>
      <c r="AD15" s="522" t="n">
        <v>1768.60162613</v>
      </c>
      <c r="AE15" s="522" t="n">
        <v>947.1791495</v>
      </c>
      <c r="AF15" s="522" t="n">
        <v>155870.43706572</v>
      </c>
      <c r="AG15" s="522" t="n">
        <v>153127.92285559</v>
      </c>
      <c r="AH15" s="219" t="n">
        <v>0</v>
      </c>
      <c r="AI15" s="522" t="n">
        <v>0</v>
      </c>
      <c r="AJ15" s="221" t="inlineStr">
        <is>
          <t>-</t>
        </is>
      </c>
      <c r="AK15" s="219" t="n">
        <v>28</v>
      </c>
      <c r="AL15" s="219" t="n">
        <v>5270077</v>
      </c>
      <c r="AM15" s="522" t="n">
        <v>2338.90515081</v>
      </c>
      <c r="AN15" s="522" t="n">
        <v>1373.85873529</v>
      </c>
      <c r="AO15" s="522" t="n">
        <v>965.04641552</v>
      </c>
      <c r="AP15" s="522" t="n">
        <v>162172.56565809</v>
      </c>
      <c r="AQ15" s="522" t="n">
        <v>158520.26016677</v>
      </c>
      <c r="AR15" s="219" t="n">
        <v>0</v>
      </c>
      <c r="AS15" s="522" t="n">
        <v>0</v>
      </c>
      <c r="AT15" s="221" t="inlineStr">
        <is>
          <t>-</t>
        </is>
      </c>
      <c r="AU15" s="219" t="n">
        <v>28</v>
      </c>
      <c r="AV15" s="219" t="n">
        <v>5298700</v>
      </c>
      <c r="AW15" s="522" t="n">
        <v>2981.68520324</v>
      </c>
      <c r="AX15" s="522" t="n">
        <v>1375.7235319</v>
      </c>
      <c r="AY15" s="522" t="n">
        <v>1605.96167134</v>
      </c>
      <c r="AZ15" s="522" t="n">
        <v>160567.17803635</v>
      </c>
      <c r="BA15" s="522" t="n">
        <v>161580.84632317</v>
      </c>
      <c r="BB15" s="219" t="n">
        <v>0</v>
      </c>
      <c r="BC15" s="522" t="n">
        <v>0</v>
      </c>
      <c r="BD15" s="221" t="inlineStr">
        <is>
          <t>-</t>
        </is>
      </c>
      <c r="BE15" s="219" t="n">
        <v>28</v>
      </c>
      <c r="BF15" s="219" t="n">
        <v>5325168</v>
      </c>
      <c r="BG15" s="522" t="n">
        <v>2315.89845774</v>
      </c>
      <c r="BH15" s="522" t="n">
        <v>1160.71970081</v>
      </c>
      <c r="BI15" s="522" t="n">
        <v>1155.17875693</v>
      </c>
      <c r="BJ15" s="522" t="n">
        <v>159952.07218752</v>
      </c>
      <c r="BK15" s="522" t="n">
        <v>160556.69104017</v>
      </c>
      <c r="BL15" s="219" t="n">
        <v>0</v>
      </c>
      <c r="BM15" s="522" t="n">
        <v>0</v>
      </c>
      <c r="BN15" s="221" t="inlineStr">
        <is>
          <t>-</t>
        </is>
      </c>
      <c r="BO15" s="219" t="n">
        <v>28</v>
      </c>
      <c r="BP15" s="219" t="n">
        <v>5346169</v>
      </c>
      <c r="BQ15" s="522" t="n">
        <v>2866.80324882</v>
      </c>
      <c r="BR15" s="522" t="n">
        <v>1459.57573342</v>
      </c>
      <c r="BS15" s="522" t="n">
        <v>1407.2275154</v>
      </c>
      <c r="BT15" s="522" t="n">
        <v>162968.7516274</v>
      </c>
      <c r="BU15" s="522" t="n">
        <v>164734.31961488</v>
      </c>
      <c r="BV15" s="219" t="n">
        <v>0</v>
      </c>
      <c r="BW15" s="522" t="n">
        <v>0</v>
      </c>
      <c r="BX15" s="221" t="inlineStr">
        <is>
          <t>-</t>
        </is>
      </c>
      <c r="BY15" s="219" t="n">
        <v>28</v>
      </c>
      <c r="BZ15" s="219" t="n">
        <v>5359834</v>
      </c>
      <c r="CA15" s="522" t="n">
        <v>2538.69326611</v>
      </c>
      <c r="CB15" s="522" t="n">
        <v>1599.63494681</v>
      </c>
      <c r="CC15" s="522" t="n">
        <v>939.0583193</v>
      </c>
      <c r="CD15" s="522" t="n">
        <v>170127.72426614</v>
      </c>
      <c r="CE15" s="522" t="n">
        <v>168387.19951814</v>
      </c>
      <c r="CF15" s="219" t="n">
        <v>0</v>
      </c>
      <c r="CG15" s="522" t="n">
        <v>0</v>
      </c>
      <c r="CH15" s="221" t="inlineStr">
        <is>
          <t>-</t>
        </is>
      </c>
      <c r="CI15" s="219" t="n">
        <v>28</v>
      </c>
      <c r="CJ15" s="219" t="n">
        <v>5386533</v>
      </c>
      <c r="CK15" s="522" t="n">
        <v>3575.76479854</v>
      </c>
      <c r="CL15" s="522" t="n">
        <v>1536.03010595</v>
      </c>
      <c r="CM15" s="522" t="n">
        <v>2039.73469259</v>
      </c>
      <c r="CN15" s="522" t="n">
        <v>174618.42302678</v>
      </c>
      <c r="CO15" s="522" t="n">
        <v>172377.75740525</v>
      </c>
      <c r="CP15" s="219" t="n">
        <v>0</v>
      </c>
      <c r="CQ15" s="522" t="n">
        <v>0</v>
      </c>
      <c r="CR15" s="221" t="inlineStr">
        <is>
          <t>-</t>
        </is>
      </c>
      <c r="CS15" s="219" t="n">
        <v>28</v>
      </c>
      <c r="CT15" s="219" t="n">
        <v>5415223</v>
      </c>
      <c r="CU15" s="522" t="n">
        <v>2720.23358424</v>
      </c>
      <c r="CV15" s="522" t="n">
        <v>1663.40887104</v>
      </c>
      <c r="CW15" s="522" t="n">
        <v>1056.8247132</v>
      </c>
      <c r="CX15" s="522" t="n">
        <v>174834.13304965</v>
      </c>
      <c r="CY15" s="522" t="n">
        <v>174196.74026539</v>
      </c>
      <c r="CZ15" s="219" t="n">
        <v>0</v>
      </c>
      <c r="DA15" s="522" t="n">
        <v>0</v>
      </c>
      <c r="DB15" s="222" t="inlineStr">
        <is>
          <t>-</t>
        </is>
      </c>
      <c r="DC15" s="223" t="n">
        <v>28</v>
      </c>
      <c r="DD15" s="223" t="n">
        <v>5450285</v>
      </c>
      <c r="DE15" s="523" t="n">
        <v>3280.79899009</v>
      </c>
      <c r="DF15" s="523" t="n">
        <v>1723.8434719</v>
      </c>
      <c r="DG15" s="523" t="n">
        <v>1556.95551819</v>
      </c>
      <c r="DH15" s="523" t="n">
        <v>171535.16248851</v>
      </c>
      <c r="DI15" s="523" t="n">
        <v>173290.06214351</v>
      </c>
      <c r="DJ15" s="223" t="n">
        <v>0</v>
      </c>
      <c r="DK15" s="523" t="n">
        <v>0</v>
      </c>
      <c r="DL15" s="222" t="inlineStr">
        <is>
          <t>-</t>
        </is>
      </c>
      <c r="DM15" s="280">
        <f>S15+AC15+AM15+AW15+BG15+BQ15+CA15+CK15+CU15+DE15</f>
        <v/>
      </c>
      <c r="DN15" s="275">
        <f>U15+AE15+AO15+AY15+BI15+BS15+CC15+CM15+CW15+DG15</f>
        <v/>
      </c>
      <c r="DO15" s="222" t="inlineStr">
        <is>
          <t>-</t>
        </is>
      </c>
      <c r="DP15" s="226">
        <f>IFERROR((DE15-CU15)/CU15,"-")</f>
        <v/>
      </c>
      <c r="DQ15" s="226">
        <f>IFERROR((DG15-CW15)/CW15,"-")</f>
        <v/>
      </c>
      <c r="DR15" s="288">
        <f>IFERROR((DH15-CX15)/CX15,"-")</f>
        <v/>
      </c>
      <c r="DS15" s="223" t="n">
        <v>28</v>
      </c>
      <c r="DT15" s="223" t="n">
        <v>5487816</v>
      </c>
      <c r="DU15" s="223" t="n">
        <v>2467.1430643</v>
      </c>
      <c r="DV15" s="223" t="n">
        <v>1566.4257292</v>
      </c>
      <c r="DW15" s="223" t="n">
        <v>900.7173351000019</v>
      </c>
      <c r="DX15" s="223" t="n">
        <v>172879.66270767</v>
      </c>
      <c r="DY15" s="223" t="n">
        <v>174581.19074295</v>
      </c>
      <c r="DZ15" s="223" t="n">
        <v>0</v>
      </c>
      <c r="EA15" s="223" t="n">
        <v>0</v>
      </c>
      <c r="EB15" s="222" t="inlineStr">
        <is>
          <t>-</t>
        </is>
      </c>
      <c r="EC15" s="280">
        <f>S15+AC15+AM15+AW15+BG15+BQ15+CA15+CK15+CU15+DE15+DU15</f>
        <v/>
      </c>
      <c r="ED15" s="275">
        <f>U15+AE15+AO15+AY15+BI15+BS15+CC15+CM15+CW15+DG15+DW15</f>
        <v/>
      </c>
      <c r="EE15" s="222" t="inlineStr">
        <is>
          <t>-</t>
        </is>
      </c>
      <c r="EF15" s="226">
        <f>IFERROR((DU15-DE15)/DE15,"-")</f>
        <v/>
      </c>
      <c r="EG15" s="226">
        <f>IFERROR((DW15-DG15)/DG15,"-")</f>
        <v/>
      </c>
      <c r="EH15" s="288">
        <f>IFERROR((DX15-DH15)/DH15,"-")</f>
        <v/>
      </c>
      <c r="EI15" s="222" t="inlineStr">
        <is>
          <t>-</t>
        </is>
      </c>
      <c r="EJ15" s="223" t="n">
        <v>28</v>
      </c>
      <c r="EK15" s="223" t="n">
        <v>5514885</v>
      </c>
      <c r="EL15" s="223" t="n">
        <v>4371.45591355</v>
      </c>
      <c r="EM15" s="223" t="n">
        <v>1946.87014086</v>
      </c>
      <c r="EN15" s="223" t="n">
        <v>2424.58577269</v>
      </c>
      <c r="EO15" s="223" t="n">
        <v>155861.22150173</v>
      </c>
      <c r="EP15" s="223" t="n">
        <v>163751.30238908</v>
      </c>
      <c r="EQ15" s="223" t="n">
        <v>0</v>
      </c>
      <c r="ER15" s="223" t="n">
        <v>0</v>
      </c>
      <c r="ES15" s="222" t="inlineStr">
        <is>
          <t>-</t>
        </is>
      </c>
      <c r="ET15" s="280">
        <f>S15+AC15+AM15+AW15+BG15+BQ15+CA15+CK15+CU15+DE15+DU15+EL15</f>
        <v/>
      </c>
      <c r="EU15" s="275">
        <f>U15+AE15+AO15+AY15+BI15+BS15+CC15+CM15+CW15+DG15+DW15+EN15</f>
        <v/>
      </c>
      <c r="EV15" s="222" t="inlineStr">
        <is>
          <t>-</t>
        </is>
      </c>
      <c r="EW15" s="300">
        <f>IFERROR((EL15-DU15)/DU15,"-")</f>
        <v/>
      </c>
      <c r="EX15" s="293">
        <f>IFERROR((EN15-DW15)/DW15,"-")</f>
        <v/>
      </c>
      <c r="EY15" s="288">
        <f>IFERROR((EO15-DX15)/DX15,"-")</f>
        <v/>
      </c>
    </row>
    <row r="16" hidden="1" outlineLevel="1">
      <c r="A16" s="159" t="inlineStr">
        <is>
          <t>Value Fund/Contra Fund</t>
        </is>
      </c>
      <c r="B16" s="160" t="inlineStr">
        <is>
          <t>Growth/Equity Oriented Schemes</t>
        </is>
      </c>
      <c r="C16" s="160" t="inlineStr">
        <is>
          <t>Open ended Schemes</t>
        </is>
      </c>
      <c r="D16" s="160" t="inlineStr">
        <is>
          <t>Equity</t>
        </is>
      </c>
      <c r="E16" s="160" t="inlineStr">
        <is>
          <t>Equity</t>
        </is>
      </c>
      <c r="F16" s="160" t="inlineStr">
        <is>
          <t>Active Equity (incl Hybrid)</t>
        </is>
      </c>
      <c r="G16" s="416" t="n"/>
      <c r="H16" s="416" t="n"/>
      <c r="I16" s="416" t="n"/>
      <c r="J16" s="416" t="n"/>
      <c r="K16" s="416">
        <f>IF(OR(I16="",J16=""),"",I16-J16)</f>
        <v/>
      </c>
      <c r="L16" s="161" t="n">
        <v>183906.06511938</v>
      </c>
      <c r="M16" s="161" t="n">
        <v>178490.5724868</v>
      </c>
      <c r="N16" s="416" t="n"/>
      <c r="O16" s="416" t="n"/>
      <c r="P16" s="162" t="inlineStr">
        <is>
          <t>-</t>
        </is>
      </c>
      <c r="Q16" s="219" t="n">
        <v>24</v>
      </c>
      <c r="R16" s="219" t="n">
        <v>8307959</v>
      </c>
      <c r="S16" s="522" t="n">
        <v>2713.71376602</v>
      </c>
      <c r="T16" s="522" t="n">
        <v>1640.5000126</v>
      </c>
      <c r="U16" s="522" t="n">
        <v>1073.21375342</v>
      </c>
      <c r="V16" s="522" t="n">
        <v>190856.60220347</v>
      </c>
      <c r="W16" s="522" t="n">
        <v>184757.14555628</v>
      </c>
      <c r="X16" s="219" t="n">
        <v>0</v>
      </c>
      <c r="Y16" s="522" t="n">
        <v>0</v>
      </c>
      <c r="Z16" s="221" t="inlineStr">
        <is>
          <t>-</t>
        </is>
      </c>
      <c r="AA16" s="219" t="n">
        <v>24</v>
      </c>
      <c r="AB16" s="219" t="n">
        <v>8368668</v>
      </c>
      <c r="AC16" s="522" t="n">
        <v>2812.71004811</v>
      </c>
      <c r="AD16" s="522" t="n">
        <v>2904.98957969</v>
      </c>
      <c r="AE16" s="522" t="n">
        <v>-92.2795315799995</v>
      </c>
      <c r="AF16" s="522" t="n">
        <v>196339.39359886</v>
      </c>
      <c r="AG16" s="522" t="n">
        <v>193702.93213011</v>
      </c>
      <c r="AH16" s="219" t="n">
        <v>0</v>
      </c>
      <c r="AI16" s="522" t="n">
        <v>0</v>
      </c>
      <c r="AJ16" s="221" t="inlineStr">
        <is>
          <t>-</t>
        </is>
      </c>
      <c r="AK16" s="219" t="n">
        <v>24</v>
      </c>
      <c r="AL16" s="219" t="n">
        <v>8450603</v>
      </c>
      <c r="AM16" s="522" t="n">
        <v>2803.58165284</v>
      </c>
      <c r="AN16" s="522" t="n">
        <v>1644.14250533</v>
      </c>
      <c r="AO16" s="522" t="n">
        <v>1159.43914751</v>
      </c>
      <c r="AP16" s="522" t="n">
        <v>203756.28392224</v>
      </c>
      <c r="AQ16" s="522" t="n">
        <v>199511.25331412</v>
      </c>
      <c r="AR16" s="219" t="n">
        <v>0</v>
      </c>
      <c r="AS16" s="522" t="n">
        <v>0</v>
      </c>
      <c r="AT16" s="221" t="inlineStr">
        <is>
          <t>-</t>
        </is>
      </c>
      <c r="AU16" s="219" t="n">
        <v>24</v>
      </c>
      <c r="AV16" s="219" t="n">
        <v>8547004</v>
      </c>
      <c r="AW16" s="522" t="n">
        <v>3135.283685</v>
      </c>
      <c r="AX16" s="522" t="n">
        <v>1665.27603676</v>
      </c>
      <c r="AY16" s="522" t="n">
        <v>1470.00764824</v>
      </c>
      <c r="AZ16" s="522" t="n">
        <v>201203.7874304</v>
      </c>
      <c r="BA16" s="522" t="n">
        <v>203431.47962057</v>
      </c>
      <c r="BB16" s="219" t="n">
        <v>0</v>
      </c>
      <c r="BC16" s="522" t="n">
        <v>0</v>
      </c>
      <c r="BD16" s="221" t="inlineStr">
        <is>
          <t>-</t>
        </is>
      </c>
      <c r="BE16" s="219" t="n">
        <v>24</v>
      </c>
      <c r="BF16" s="219" t="n">
        <v>8612986</v>
      </c>
      <c r="BG16" s="522" t="n">
        <v>2576.5061277</v>
      </c>
      <c r="BH16" s="522" t="n">
        <v>1435.47494324</v>
      </c>
      <c r="BI16" s="522" t="n">
        <v>1141.03118446</v>
      </c>
      <c r="BJ16" s="522" t="n">
        <v>198969.55748005</v>
      </c>
      <c r="BK16" s="522" t="n">
        <v>200275.62927067</v>
      </c>
      <c r="BL16" s="219" t="n">
        <v>0</v>
      </c>
      <c r="BM16" s="522" t="n">
        <v>0</v>
      </c>
      <c r="BN16" s="221" t="inlineStr">
        <is>
          <t>-</t>
        </is>
      </c>
      <c r="BO16" s="219" t="n">
        <v>25</v>
      </c>
      <c r="BP16" s="219" t="n">
        <v>8785142</v>
      </c>
      <c r="BQ16" s="522" t="n">
        <v>4033.78578024</v>
      </c>
      <c r="BR16" s="522" t="n">
        <v>1925.85475296</v>
      </c>
      <c r="BS16" s="522" t="n">
        <v>2107.93102728</v>
      </c>
      <c r="BT16" s="522" t="n">
        <v>204298.57642296</v>
      </c>
      <c r="BU16" s="522" t="n">
        <v>205770.81304821</v>
      </c>
      <c r="BV16" s="219" t="n">
        <v>0</v>
      </c>
      <c r="BW16" s="522" t="n">
        <v>0</v>
      </c>
      <c r="BX16" s="221" t="inlineStr">
        <is>
          <t>-</t>
        </is>
      </c>
      <c r="BY16" s="219" t="n">
        <v>25</v>
      </c>
      <c r="BZ16" s="219" t="n">
        <v>8788244</v>
      </c>
      <c r="CA16" s="522" t="n">
        <v>2590.67191402</v>
      </c>
      <c r="CB16" s="522" t="n">
        <v>2222.28211492</v>
      </c>
      <c r="CC16" s="522" t="n">
        <v>368.389799099999</v>
      </c>
      <c r="CD16" s="522" t="n">
        <v>213021.3496557</v>
      </c>
      <c r="CE16" s="522" t="n">
        <v>210507.56854408</v>
      </c>
      <c r="CF16" s="219" t="n">
        <v>0</v>
      </c>
      <c r="CG16" s="522" t="n">
        <v>0</v>
      </c>
      <c r="CH16" s="221" t="inlineStr">
        <is>
          <t>-</t>
        </is>
      </c>
      <c r="CI16" s="219" t="n">
        <v>25</v>
      </c>
      <c r="CJ16" s="219" t="n">
        <v>8830956</v>
      </c>
      <c r="CK16" s="522" t="n">
        <v>3215.10804965</v>
      </c>
      <c r="CL16" s="522" t="n">
        <v>1995.66394969</v>
      </c>
      <c r="CM16" s="522" t="n">
        <v>1219.44409996</v>
      </c>
      <c r="CN16" s="522" t="n">
        <v>217555.4410851</v>
      </c>
      <c r="CO16" s="522" t="n">
        <v>215017.29110953</v>
      </c>
      <c r="CP16" s="219" t="n">
        <v>0</v>
      </c>
      <c r="CQ16" s="522" t="n">
        <v>0</v>
      </c>
      <c r="CR16" s="221" t="inlineStr">
        <is>
          <t>-</t>
        </is>
      </c>
      <c r="CS16" s="219" t="n">
        <v>25</v>
      </c>
      <c r="CT16" s="219" t="n">
        <v>8857029</v>
      </c>
      <c r="CU16" s="522" t="n">
        <v>3444.83847821</v>
      </c>
      <c r="CV16" s="522" t="n">
        <v>2356.32817527</v>
      </c>
      <c r="CW16" s="522" t="n">
        <v>1088.51030294</v>
      </c>
      <c r="CX16" s="522" t="n">
        <v>219127.72184818</v>
      </c>
      <c r="CY16" s="522" t="n">
        <v>217176.2043353</v>
      </c>
      <c r="CZ16" s="219" t="n">
        <v>0</v>
      </c>
      <c r="DA16" s="522" t="n">
        <v>0</v>
      </c>
      <c r="DB16" s="222" t="inlineStr">
        <is>
          <t>-</t>
        </is>
      </c>
      <c r="DC16" s="223" t="n">
        <v>25</v>
      </c>
      <c r="DD16" s="223" t="n">
        <v>8885986</v>
      </c>
      <c r="DE16" s="523" t="n">
        <v>3054.7943744</v>
      </c>
      <c r="DF16" s="523" t="n">
        <v>2061.90684535</v>
      </c>
      <c r="DG16" s="523" t="n">
        <v>992.88752905</v>
      </c>
      <c r="DH16" s="523" t="n">
        <v>214214.78468865</v>
      </c>
      <c r="DI16" s="523" t="n">
        <v>215977.28429607</v>
      </c>
      <c r="DJ16" s="223" t="n">
        <v>0</v>
      </c>
      <c r="DK16" s="523" t="n">
        <v>0</v>
      </c>
      <c r="DL16" s="222" t="inlineStr">
        <is>
          <t>-</t>
        </is>
      </c>
      <c r="DM16" s="280">
        <f>S16+AC16+AM16+AW16+BG16+BQ16+CA16+CK16+CU16+DE16</f>
        <v/>
      </c>
      <c r="DN16" s="275">
        <f>U16+AE16+AO16+AY16+BI16+BS16+CC16+CM16+CW16+DG16</f>
        <v/>
      </c>
      <c r="DO16" s="222" t="inlineStr">
        <is>
          <t>-</t>
        </is>
      </c>
      <c r="DP16" s="226">
        <f>IFERROR((DE16-CU16)/CU16,"-")</f>
        <v/>
      </c>
      <c r="DQ16" s="226">
        <f>IFERROR((DG16-CW16)/CW16,"-")</f>
        <v/>
      </c>
      <c r="DR16" s="288">
        <f>IFERROR((DH16-CX16)/CX16,"-")</f>
        <v/>
      </c>
      <c r="DS16" s="223" t="n">
        <v>25</v>
      </c>
      <c r="DT16" s="223" t="n">
        <v>8927937</v>
      </c>
      <c r="DU16" s="223" t="n">
        <v>2566.1783259</v>
      </c>
      <c r="DV16" s="223" t="n">
        <v>1839.11237818</v>
      </c>
      <c r="DW16" s="223" t="n">
        <v>727.065947719999</v>
      </c>
      <c r="DX16" s="223" t="n">
        <v>215264.76476065</v>
      </c>
      <c r="DY16" s="223" t="n">
        <v>216730.33144998</v>
      </c>
      <c r="DZ16" s="223" t="n">
        <v>0</v>
      </c>
      <c r="EA16" s="223" t="n">
        <v>0</v>
      </c>
      <c r="EB16" s="222" t="inlineStr">
        <is>
          <t>-</t>
        </is>
      </c>
      <c r="EC16" s="280">
        <f>S16+AC16+AM16+AW16+BG16+BQ16+CA16+CK16+CU16+DE16+DU16</f>
        <v/>
      </c>
      <c r="ED16" s="275">
        <f>U16+AE16+AO16+AY16+BI16+BS16+CC16+CM16+CW16+DG16+DW16</f>
        <v/>
      </c>
      <c r="EE16" s="222" t="inlineStr">
        <is>
          <t>-</t>
        </is>
      </c>
      <c r="EF16" s="226">
        <f>IFERROR((DU16-DE16)/DE16,"-")</f>
        <v/>
      </c>
      <c r="EG16" s="226">
        <f>IFERROR((DW16-DG16)/DG16,"-")</f>
        <v/>
      </c>
      <c r="EH16" s="288">
        <f>IFERROR((DX16-DH16)/DH16,"-")</f>
        <v/>
      </c>
      <c r="EI16" s="222" t="inlineStr">
        <is>
          <t>-</t>
        </is>
      </c>
      <c r="EJ16" s="223" t="n">
        <v>25</v>
      </c>
      <c r="EK16" s="223" t="n">
        <v>8965112</v>
      </c>
      <c r="EL16" s="223" t="n">
        <v>4281.04692747</v>
      </c>
      <c r="EM16" s="223" t="n">
        <v>2125.49322257</v>
      </c>
      <c r="EN16" s="223" t="n">
        <v>2155.5537049</v>
      </c>
      <c r="EO16" s="223" t="n">
        <v>193985.75578195</v>
      </c>
      <c r="EP16" s="223" t="n">
        <v>203829.54567599</v>
      </c>
      <c r="EQ16" s="223" t="n">
        <v>0</v>
      </c>
      <c r="ER16" s="223" t="n">
        <v>0</v>
      </c>
      <c r="ES16" s="222" t="inlineStr">
        <is>
          <t>-</t>
        </is>
      </c>
      <c r="ET16" s="280">
        <f>S16+AC16+AM16+AW16+BG16+BQ16+CA16+CK16+CU16+DE16+DU16+EL16</f>
        <v/>
      </c>
      <c r="EU16" s="275">
        <f>U16+AE16+AO16+AY16+BI16+BS16+CC16+CM16+CW16+DG16+DW16+EN16</f>
        <v/>
      </c>
      <c r="EV16" s="222" t="inlineStr">
        <is>
          <t>-</t>
        </is>
      </c>
      <c r="EW16" s="300">
        <f>IFERROR((EL16-DU16)/DU16,"-")</f>
        <v/>
      </c>
      <c r="EX16" s="293">
        <f>IFERROR((EN16-DW16)/DW16,"-")</f>
        <v/>
      </c>
      <c r="EY16" s="288">
        <f>IFERROR((EO16-DX16)/DX16,"-")</f>
        <v/>
      </c>
    </row>
    <row r="17" hidden="1" outlineLevel="1">
      <c r="A17" s="159" t="inlineStr">
        <is>
          <t>Childrens Fund</t>
        </is>
      </c>
      <c r="B17" s="160" t="inlineStr">
        <is>
          <t>Solution Oriented Schemes</t>
        </is>
      </c>
      <c r="C17" s="160" t="inlineStr">
        <is>
          <t>Open ended Schemes</t>
        </is>
      </c>
      <c r="D17" s="160" t="inlineStr">
        <is>
          <t>Equity</t>
        </is>
      </c>
      <c r="E17" s="160" t="inlineStr">
        <is>
          <t>Equity</t>
        </is>
      </c>
      <c r="F17" s="160" t="inlineStr">
        <is>
          <t>Active Equity (incl Hybrid)</t>
        </is>
      </c>
      <c r="G17" s="416" t="n"/>
      <c r="H17" s="416" t="n"/>
      <c r="I17" s="416" t="n"/>
      <c r="J17" s="416" t="n"/>
      <c r="K17" s="416">
        <f>IF(OR(I17="",J17=""),"",I17-J17)</f>
        <v/>
      </c>
      <c r="L17" s="161" t="n">
        <v>22077.51044131</v>
      </c>
      <c r="M17" s="161" t="n">
        <v>21510.81981227</v>
      </c>
      <c r="N17" s="416" t="n"/>
      <c r="O17" s="416" t="n"/>
      <c r="P17" s="162" t="inlineStr">
        <is>
          <t>-</t>
        </is>
      </c>
      <c r="Q17" s="219" t="n">
        <v>12</v>
      </c>
      <c r="R17" s="219" t="n">
        <v>3084694</v>
      </c>
      <c r="S17" s="522" t="n">
        <v>188.0674771</v>
      </c>
      <c r="T17" s="522" t="n">
        <v>58.17380093</v>
      </c>
      <c r="U17" s="522" t="n">
        <v>129.89367617</v>
      </c>
      <c r="V17" s="522" t="n">
        <v>22686.10244157</v>
      </c>
      <c r="W17" s="522" t="n">
        <v>22235.04925119</v>
      </c>
      <c r="X17" s="219" t="n">
        <v>0</v>
      </c>
      <c r="Y17" s="522" t="n">
        <v>0</v>
      </c>
      <c r="Z17" s="221" t="inlineStr">
        <is>
          <t>-</t>
        </is>
      </c>
      <c r="AA17" s="219" t="n">
        <v>12</v>
      </c>
      <c r="AB17" s="219" t="n">
        <v>3093038</v>
      </c>
      <c r="AC17" s="522" t="n">
        <v>192.32983709</v>
      </c>
      <c r="AD17" s="522" t="n">
        <v>67.91381436</v>
      </c>
      <c r="AE17" s="522" t="n">
        <v>124.41602273</v>
      </c>
      <c r="AF17" s="522" t="n">
        <v>23523.85217774</v>
      </c>
      <c r="AG17" s="522" t="n">
        <v>23161.28473655</v>
      </c>
      <c r="AH17" s="219" t="n">
        <v>0</v>
      </c>
      <c r="AI17" s="522" t="n">
        <v>0</v>
      </c>
      <c r="AJ17" s="221" t="inlineStr">
        <is>
          <t>-</t>
        </is>
      </c>
      <c r="AK17" s="219" t="n">
        <v>12</v>
      </c>
      <c r="AL17" s="219" t="n">
        <v>3103506</v>
      </c>
      <c r="AM17" s="522" t="n">
        <v>206.54642601</v>
      </c>
      <c r="AN17" s="522" t="n">
        <v>78.52162102</v>
      </c>
      <c r="AO17" s="522" t="n">
        <v>128.02480499</v>
      </c>
      <c r="AP17" s="522" t="n">
        <v>24174.5573652</v>
      </c>
      <c r="AQ17" s="522" t="n">
        <v>23790.14690509</v>
      </c>
      <c r="AR17" s="219" t="n">
        <v>0</v>
      </c>
      <c r="AS17" s="522" t="n">
        <v>0</v>
      </c>
      <c r="AT17" s="221" t="inlineStr">
        <is>
          <t>-</t>
        </is>
      </c>
      <c r="AU17" s="219" t="n">
        <v>12</v>
      </c>
      <c r="AV17" s="219" t="n">
        <v>3117371</v>
      </c>
      <c r="AW17" s="522" t="n">
        <v>245.87798831</v>
      </c>
      <c r="AX17" s="522" t="n">
        <v>82.1905441</v>
      </c>
      <c r="AY17" s="522" t="n">
        <v>163.68744421</v>
      </c>
      <c r="AZ17" s="522" t="n">
        <v>24138.40785882</v>
      </c>
      <c r="BA17" s="522" t="n">
        <v>24283.23114404</v>
      </c>
      <c r="BB17" s="219" t="n">
        <v>0</v>
      </c>
      <c r="BC17" s="522" t="n">
        <v>0</v>
      </c>
      <c r="BD17" s="221" t="inlineStr">
        <is>
          <t>-</t>
        </is>
      </c>
      <c r="BE17" s="219" t="n">
        <v>12</v>
      </c>
      <c r="BF17" s="219" t="n">
        <v>3130503</v>
      </c>
      <c r="BG17" s="522" t="n">
        <v>241.97477131</v>
      </c>
      <c r="BH17" s="522" t="n">
        <v>56.33644502</v>
      </c>
      <c r="BI17" s="522" t="n">
        <v>185.63832629</v>
      </c>
      <c r="BJ17" s="522" t="n">
        <v>23924.5750218</v>
      </c>
      <c r="BK17" s="522" t="n">
        <v>24055.3184535</v>
      </c>
      <c r="BL17" s="219" t="n">
        <v>0</v>
      </c>
      <c r="BM17" s="522" t="n">
        <v>0</v>
      </c>
      <c r="BN17" s="221" t="inlineStr">
        <is>
          <t>-</t>
        </is>
      </c>
      <c r="BO17" s="219" t="n">
        <v>12</v>
      </c>
      <c r="BP17" s="219" t="n">
        <v>3144415</v>
      </c>
      <c r="BQ17" s="522" t="n">
        <v>255.41370773</v>
      </c>
      <c r="BR17" s="522" t="n">
        <v>66.05160565</v>
      </c>
      <c r="BS17" s="522" t="n">
        <v>189.36210208</v>
      </c>
      <c r="BT17" s="522" t="n">
        <v>24327.78924193</v>
      </c>
      <c r="BU17" s="522" t="n">
        <v>24510.65592534</v>
      </c>
      <c r="BV17" s="219" t="n">
        <v>0</v>
      </c>
      <c r="BW17" s="522" t="n">
        <v>0</v>
      </c>
      <c r="BX17" s="221" t="inlineStr">
        <is>
          <t>-</t>
        </is>
      </c>
      <c r="BY17" s="219" t="n">
        <v>12</v>
      </c>
      <c r="BZ17" s="219" t="n">
        <v>3155666</v>
      </c>
      <c r="CA17" s="522" t="n">
        <v>236.96109271</v>
      </c>
      <c r="CB17" s="522" t="n">
        <v>79.97061617</v>
      </c>
      <c r="CC17" s="522" t="n">
        <v>156.99047654</v>
      </c>
      <c r="CD17" s="522" t="n">
        <v>25213.26683201</v>
      </c>
      <c r="CE17" s="522" t="n">
        <v>24944.0795322</v>
      </c>
      <c r="CF17" s="219" t="n">
        <v>0</v>
      </c>
      <c r="CG17" s="522" t="n">
        <v>0</v>
      </c>
      <c r="CH17" s="221" t="inlineStr">
        <is>
          <t>-</t>
        </is>
      </c>
      <c r="CI17" s="219" t="n">
        <v>12</v>
      </c>
      <c r="CJ17" s="219" t="n">
        <v>3171929</v>
      </c>
      <c r="CK17" s="522" t="n">
        <v>283.45317252</v>
      </c>
      <c r="CL17" s="522" t="n">
        <v>69.8084066600001</v>
      </c>
      <c r="CM17" s="522" t="n">
        <v>213.64476586</v>
      </c>
      <c r="CN17" s="522" t="n">
        <v>25675.48897993</v>
      </c>
      <c r="CO17" s="522" t="n">
        <v>25440.81232151</v>
      </c>
      <c r="CP17" s="219" t="n">
        <v>0</v>
      </c>
      <c r="CQ17" s="522" t="n">
        <v>0</v>
      </c>
      <c r="CR17" s="221" t="inlineStr">
        <is>
          <t>-</t>
        </is>
      </c>
      <c r="CS17" s="219" t="n">
        <v>12</v>
      </c>
      <c r="CT17" s="219" t="n">
        <v>3191201</v>
      </c>
      <c r="CU17" s="522" t="n">
        <v>302.72179743</v>
      </c>
      <c r="CV17" s="522" t="n">
        <v>78.3922074</v>
      </c>
      <c r="CW17" s="522" t="n">
        <v>224.32959003</v>
      </c>
      <c r="CX17" s="522" t="n">
        <v>25626.163155</v>
      </c>
      <c r="CY17" s="522" t="n">
        <v>25571.76571083</v>
      </c>
      <c r="CZ17" s="219" t="n">
        <v>0</v>
      </c>
      <c r="DA17" s="522" t="n">
        <v>0</v>
      </c>
      <c r="DB17" s="222" t="inlineStr">
        <is>
          <t>-</t>
        </is>
      </c>
      <c r="DC17" s="223" t="n">
        <v>12</v>
      </c>
      <c r="DD17" s="223" t="n">
        <v>3212128</v>
      </c>
      <c r="DE17" s="523" t="n">
        <v>309.12658818</v>
      </c>
      <c r="DF17" s="523" t="n">
        <v>71.8939698099999</v>
      </c>
      <c r="DG17" s="523" t="n">
        <v>237.23261837</v>
      </c>
      <c r="DH17" s="523" t="n">
        <v>25230.05351667</v>
      </c>
      <c r="DI17" s="523" t="n">
        <v>25380.15080634</v>
      </c>
      <c r="DJ17" s="223" t="n">
        <v>0</v>
      </c>
      <c r="DK17" s="523" t="n">
        <v>0</v>
      </c>
      <c r="DL17" s="222" t="inlineStr">
        <is>
          <t>-</t>
        </is>
      </c>
      <c r="DM17" s="280">
        <f>S17+AC17+AM17+AW17+BG17+BQ17+CA17+CK17+CU17+DE17</f>
        <v/>
      </c>
      <c r="DN17" s="275">
        <f>U17+AE17+AO17+AY17+BI17+BS17+CC17+CM17+CW17+DG17</f>
        <v/>
      </c>
      <c r="DO17" s="222" t="inlineStr">
        <is>
          <t>-</t>
        </is>
      </c>
      <c r="DP17" s="226">
        <f>IFERROR((DE17-CU17)/CU17,"-")</f>
        <v/>
      </c>
      <c r="DQ17" s="226">
        <f>IFERROR((DG17-CW17)/CW17,"-")</f>
        <v/>
      </c>
      <c r="DR17" s="288">
        <f>IFERROR((DH17-CX17)/CX17,"-")</f>
        <v/>
      </c>
      <c r="DS17" s="223" t="n">
        <v>12</v>
      </c>
      <c r="DT17" s="223" t="n">
        <v>3229968</v>
      </c>
      <c r="DU17" s="223" t="n">
        <v>285.08460974</v>
      </c>
      <c r="DV17" s="223" t="n">
        <v>56.3511418200001</v>
      </c>
      <c r="DW17" s="223" t="n">
        <v>228.73346792</v>
      </c>
      <c r="DX17" s="223" t="n">
        <v>25434.38080021</v>
      </c>
      <c r="DY17" s="223" t="n">
        <v>25557.8117735</v>
      </c>
      <c r="DZ17" s="223" t="n">
        <v>0</v>
      </c>
      <c r="EA17" s="223" t="n">
        <v>0</v>
      </c>
      <c r="EB17" s="222" t="inlineStr">
        <is>
          <t>-</t>
        </is>
      </c>
      <c r="EC17" s="280">
        <f>S17+AC17+AM17+AW17+BG17+BQ17+CA17+CK17+CU17+DE17+DU17</f>
        <v/>
      </c>
      <c r="ED17" s="275">
        <f>U17+AE17+AO17+AY17+BI17+BS17+CC17+CM17+CW17+DG17+DW17</f>
        <v/>
      </c>
      <c r="EE17" s="222" t="inlineStr">
        <is>
          <t>-</t>
        </is>
      </c>
      <c r="EF17" s="226">
        <f>IFERROR((DU17-DE17)/DE17,"-")</f>
        <v/>
      </c>
      <c r="EG17" s="226">
        <f>IFERROR((DW17-DG17)/DG17,"-")</f>
        <v/>
      </c>
      <c r="EH17" s="288">
        <f>IFERROR((DX17-DH17)/DH17,"-")</f>
        <v/>
      </c>
      <c r="EI17" s="222" t="inlineStr">
        <is>
          <t>-</t>
        </is>
      </c>
      <c r="EJ17" s="223" t="n">
        <v>12</v>
      </c>
      <c r="EK17" s="223" t="n">
        <v>3243254</v>
      </c>
      <c r="EL17" s="223" t="n">
        <v>281.88089501</v>
      </c>
      <c r="EM17" s="223" t="n">
        <v>54.27775179</v>
      </c>
      <c r="EN17" s="223" t="n">
        <v>227.60314322</v>
      </c>
      <c r="EO17" s="223" t="n">
        <v>23650.11287976</v>
      </c>
      <c r="EP17" s="223" t="n">
        <v>24492.14307461</v>
      </c>
      <c r="EQ17" s="223" t="n">
        <v>0</v>
      </c>
      <c r="ER17" s="223" t="n">
        <v>0</v>
      </c>
      <c r="ES17" s="222" t="inlineStr">
        <is>
          <t>-</t>
        </is>
      </c>
      <c r="ET17" s="280">
        <f>S17+AC17+AM17+AW17+BG17+BQ17+CA17+CK17+CU17+DE17+DU17+EL17</f>
        <v/>
      </c>
      <c r="EU17" s="275">
        <f>U17+AE17+AO17+AY17+BI17+BS17+CC17+CM17+CW17+DG17+DW17+EN17</f>
        <v/>
      </c>
      <c r="EV17" s="222" t="inlineStr">
        <is>
          <t>-</t>
        </is>
      </c>
      <c r="EW17" s="300">
        <f>IFERROR((EL17-DU17)/DU17,"-")</f>
        <v/>
      </c>
      <c r="EX17" s="293">
        <f>IFERROR((EN17-DW17)/DW17,"-")</f>
        <v/>
      </c>
      <c r="EY17" s="288">
        <f>IFERROR((EO17-DX17)/DX17,"-")</f>
        <v/>
      </c>
    </row>
    <row r="18" hidden="1" outlineLevel="1">
      <c r="A18" s="159" t="inlineStr">
        <is>
          <t>Dividend Yield Fund</t>
        </is>
      </c>
      <c r="B18" s="160" t="inlineStr">
        <is>
          <t>Growth/Equity Oriented Schemes</t>
        </is>
      </c>
      <c r="C18" s="160" t="inlineStr">
        <is>
          <t>Open ended Schemes</t>
        </is>
      </c>
      <c r="D18" s="160" t="inlineStr">
        <is>
          <t>Equity</t>
        </is>
      </c>
      <c r="E18" s="160" t="inlineStr">
        <is>
          <t>Equity</t>
        </is>
      </c>
      <c r="F18" s="160" t="inlineStr">
        <is>
          <t>Active Equity (incl Hybrid)</t>
        </is>
      </c>
      <c r="G18" s="416" t="n"/>
      <c r="H18" s="416" t="n"/>
      <c r="I18" s="416" t="n"/>
      <c r="J18" s="416" t="n"/>
      <c r="K18" s="416">
        <f>IF(OR(I18="",J18=""),"",I18-J18)</f>
        <v/>
      </c>
      <c r="L18" s="161" t="n">
        <v>30588.92758491</v>
      </c>
      <c r="M18" s="161" t="n">
        <v>29703.9001679</v>
      </c>
      <c r="N18" s="416" t="n"/>
      <c r="O18" s="416" t="n"/>
      <c r="P18" s="162" t="inlineStr">
        <is>
          <t>-</t>
        </is>
      </c>
      <c r="Q18" s="219" t="n">
        <v>10</v>
      </c>
      <c r="R18" s="219" t="n">
        <v>1200423</v>
      </c>
      <c r="S18" s="522" t="n">
        <v>374.6097972</v>
      </c>
      <c r="T18" s="522" t="n">
        <v>323.14180957</v>
      </c>
      <c r="U18" s="522" t="n">
        <v>51.46798763</v>
      </c>
      <c r="V18" s="522" t="n">
        <v>31332.91187034</v>
      </c>
      <c r="W18" s="522" t="n">
        <v>30501.59496974</v>
      </c>
      <c r="X18" s="219" t="n">
        <v>0</v>
      </c>
      <c r="Y18" s="522" t="n">
        <v>0</v>
      </c>
      <c r="Z18" s="221" t="inlineStr">
        <is>
          <t>-</t>
        </is>
      </c>
      <c r="AA18" s="219" t="n">
        <v>10</v>
      </c>
      <c r="AB18" s="219" t="n">
        <v>1200267</v>
      </c>
      <c r="AC18" s="522" t="n">
        <v>369.64900783</v>
      </c>
      <c r="AD18" s="522" t="n">
        <v>390.46696899</v>
      </c>
      <c r="AE18" s="522" t="n">
        <v>-20.81796116</v>
      </c>
      <c r="AF18" s="522" t="n">
        <v>32177.1442975</v>
      </c>
      <c r="AG18" s="522" t="n">
        <v>31766.5802173</v>
      </c>
      <c r="AH18" s="219" t="n">
        <v>0</v>
      </c>
      <c r="AI18" s="522" t="n">
        <v>0</v>
      </c>
      <c r="AJ18" s="221" t="inlineStr">
        <is>
          <t>-</t>
        </is>
      </c>
      <c r="AK18" s="219" t="n">
        <v>10</v>
      </c>
      <c r="AL18" s="219" t="n">
        <v>1202199</v>
      </c>
      <c r="AM18" s="522" t="n">
        <v>385.37556016</v>
      </c>
      <c r="AN18" s="522" t="n">
        <v>339.82827554</v>
      </c>
      <c r="AO18" s="522" t="n">
        <v>45.5472846199999</v>
      </c>
      <c r="AP18" s="522" t="n">
        <v>33161.75421453</v>
      </c>
      <c r="AQ18" s="522" t="n">
        <v>32586.64957052</v>
      </c>
      <c r="AR18" s="219" t="n">
        <v>0</v>
      </c>
      <c r="AS18" s="522" t="n">
        <v>0</v>
      </c>
      <c r="AT18" s="221" t="inlineStr">
        <is>
          <t>-</t>
        </is>
      </c>
      <c r="AU18" s="219" t="n">
        <v>10</v>
      </c>
      <c r="AV18" s="219" t="n">
        <v>1204368</v>
      </c>
      <c r="AW18" s="522" t="n">
        <v>481.56155617</v>
      </c>
      <c r="AX18" s="522" t="n">
        <v>384.90880007</v>
      </c>
      <c r="AY18" s="522" t="n">
        <v>96.6527561000003</v>
      </c>
      <c r="AZ18" s="522" t="n">
        <v>32558.58368422</v>
      </c>
      <c r="BA18" s="522" t="n">
        <v>32991.9764609</v>
      </c>
      <c r="BB18" s="219" t="n">
        <v>0</v>
      </c>
      <c r="BC18" s="522" t="n">
        <v>0</v>
      </c>
      <c r="BD18" s="221" t="inlineStr">
        <is>
          <t>-</t>
        </is>
      </c>
      <c r="BE18" s="219" t="n">
        <v>10</v>
      </c>
      <c r="BF18" s="219" t="n">
        <v>1205305</v>
      </c>
      <c r="BG18" s="522" t="n">
        <v>301.51411219</v>
      </c>
      <c r="BH18" s="522" t="n">
        <v>476.20100412</v>
      </c>
      <c r="BI18" s="522" t="n">
        <v>-174.68689193</v>
      </c>
      <c r="BJ18" s="522" t="n">
        <v>31985.92360784</v>
      </c>
      <c r="BK18" s="522" t="n">
        <v>32231.62898637</v>
      </c>
      <c r="BL18" s="219" t="n">
        <v>0</v>
      </c>
      <c r="BM18" s="522" t="n">
        <v>0</v>
      </c>
      <c r="BN18" s="221" t="inlineStr">
        <is>
          <t>-</t>
        </is>
      </c>
      <c r="BO18" s="219" t="n">
        <v>10</v>
      </c>
      <c r="BP18" s="219" t="n">
        <v>1201716</v>
      </c>
      <c r="BQ18" s="522" t="n">
        <v>437.84596012</v>
      </c>
      <c r="BR18" s="522" t="n">
        <v>605.62971496</v>
      </c>
      <c r="BS18" s="522" t="n">
        <v>-167.78375484</v>
      </c>
      <c r="BT18" s="522" t="n">
        <v>32240.97963037</v>
      </c>
      <c r="BU18" s="522" t="n">
        <v>32554.17204279</v>
      </c>
      <c r="BV18" s="219" t="n">
        <v>0</v>
      </c>
      <c r="BW18" s="522" t="n">
        <v>0</v>
      </c>
      <c r="BX18" s="221" t="inlineStr">
        <is>
          <t>-</t>
        </is>
      </c>
      <c r="BY18" s="219" t="n">
        <v>10</v>
      </c>
      <c r="BZ18" s="219" t="n">
        <v>1194639</v>
      </c>
      <c r="CA18" s="522" t="n">
        <v>295.59052543</v>
      </c>
      <c r="CB18" s="522" t="n">
        <v>474.54709956</v>
      </c>
      <c r="CC18" s="522" t="n">
        <v>-178.95657413</v>
      </c>
      <c r="CD18" s="522" t="n">
        <v>33210.96177919</v>
      </c>
      <c r="CE18" s="522" t="n">
        <v>32993.51305214</v>
      </c>
      <c r="CF18" s="219" t="n">
        <v>0</v>
      </c>
      <c r="CG18" s="522" t="n">
        <v>0</v>
      </c>
      <c r="CH18" s="221" t="inlineStr">
        <is>
          <t>-</t>
        </is>
      </c>
      <c r="CI18" s="219" t="n">
        <v>10</v>
      </c>
      <c r="CJ18" s="219" t="n">
        <v>1190781</v>
      </c>
      <c r="CK18" s="522" t="n">
        <v>302.16430925</v>
      </c>
      <c r="CL18" s="522" t="n">
        <v>579.90346933</v>
      </c>
      <c r="CM18" s="522" t="n">
        <v>-277.73916008</v>
      </c>
      <c r="CN18" s="522" t="n">
        <v>33075.76035698</v>
      </c>
      <c r="CO18" s="522" t="n">
        <v>33066.85498909</v>
      </c>
      <c r="CP18" s="219" t="n">
        <v>0</v>
      </c>
      <c r="CQ18" s="522" t="n">
        <v>0</v>
      </c>
      <c r="CR18" s="221" t="inlineStr">
        <is>
          <t>-</t>
        </is>
      </c>
      <c r="CS18" s="219" t="n">
        <v>10</v>
      </c>
      <c r="CT18" s="219" t="n">
        <v>1185004</v>
      </c>
      <c r="CU18" s="522" t="n">
        <v>299.86400206</v>
      </c>
      <c r="CV18" s="522" t="n">
        <v>554.181808209999</v>
      </c>
      <c r="CW18" s="522" t="n">
        <v>-254.317806149999</v>
      </c>
      <c r="CX18" s="522" t="n">
        <v>32862.76368478</v>
      </c>
      <c r="CY18" s="522" t="n">
        <v>32791.6081592</v>
      </c>
      <c r="CZ18" s="219" t="n">
        <v>0</v>
      </c>
      <c r="DA18" s="522" t="n">
        <v>0</v>
      </c>
      <c r="DB18" s="222" t="inlineStr">
        <is>
          <t>-</t>
        </is>
      </c>
      <c r="DC18" s="223" t="n">
        <v>11</v>
      </c>
      <c r="DD18" s="223" t="n">
        <v>1202510</v>
      </c>
      <c r="DE18" s="523" t="n">
        <v>524.74233234</v>
      </c>
      <c r="DF18" s="523" t="n">
        <v>476.9138552</v>
      </c>
      <c r="DG18" s="523" t="n">
        <v>47.8284771399995</v>
      </c>
      <c r="DH18" s="523" t="n">
        <v>32451.32794667</v>
      </c>
      <c r="DI18" s="523" t="n">
        <v>32480.44907899</v>
      </c>
      <c r="DJ18" s="223" t="n">
        <v>0</v>
      </c>
      <c r="DK18" s="523" t="n">
        <v>0</v>
      </c>
      <c r="DL18" s="222" t="inlineStr">
        <is>
          <t>-</t>
        </is>
      </c>
      <c r="DM18" s="280">
        <f>S18+AC18+AM18+AW18+BG18+BQ18+CA18+CK18+CU18+DE18</f>
        <v/>
      </c>
      <c r="DN18" s="275">
        <f>U18+AE18+AO18+AY18+BI18+BS18+CC18+CM18+CW18+DG18</f>
        <v/>
      </c>
      <c r="DO18" s="222" t="inlineStr">
        <is>
          <t>-</t>
        </is>
      </c>
      <c r="DP18" s="226">
        <f>IFERROR((DE18-CU18)/CU18,"-")</f>
        <v/>
      </c>
      <c r="DQ18" s="226">
        <f>IFERROR((DG18-CW18)/CW18,"-")</f>
        <v/>
      </c>
      <c r="DR18" s="288">
        <f>IFERROR((DH18-CX18)/CX18,"-")</f>
        <v/>
      </c>
      <c r="DS18" s="223" t="n">
        <v>11</v>
      </c>
      <c r="DT18" s="223" t="n">
        <v>1202537</v>
      </c>
      <c r="DU18" s="223" t="n">
        <v>395.08155954</v>
      </c>
      <c r="DV18" s="223" t="n">
        <v>373.85870037</v>
      </c>
      <c r="DW18" s="223" t="n">
        <v>21.2228591699995</v>
      </c>
      <c r="DX18" s="223" t="n">
        <v>32643.01954515</v>
      </c>
      <c r="DY18" s="223" t="n">
        <v>32788.54569326</v>
      </c>
      <c r="DZ18" s="223" t="n">
        <v>0</v>
      </c>
      <c r="EA18" s="223" t="n">
        <v>0</v>
      </c>
      <c r="EB18" s="222" t="inlineStr">
        <is>
          <t>-</t>
        </is>
      </c>
      <c r="EC18" s="280">
        <f>S18+AC18+AM18+AW18+BG18+BQ18+CA18+CK18+CU18+DE18+DU18</f>
        <v/>
      </c>
      <c r="ED18" s="275">
        <f>U18+AE18+AO18+AY18+BI18+BS18+CC18+CM18+CW18+DG18+DW18</f>
        <v/>
      </c>
      <c r="EE18" s="222" t="inlineStr">
        <is>
          <t>-</t>
        </is>
      </c>
      <c r="EF18" s="226">
        <f>IFERROR((DU18-DE18)/DE18,"-")</f>
        <v/>
      </c>
      <c r="EG18" s="226">
        <f>IFERROR((DW18-DG18)/DG18,"-")</f>
        <v/>
      </c>
      <c r="EH18" s="288">
        <f>IFERROR((DX18-DH18)/DH18,"-")</f>
        <v/>
      </c>
      <c r="EI18" s="222" t="inlineStr">
        <is>
          <t>-</t>
        </is>
      </c>
      <c r="EJ18" s="223" t="n">
        <v>11</v>
      </c>
      <c r="EK18" s="223" t="n">
        <v>1202408</v>
      </c>
      <c r="EL18" s="223" t="n">
        <v>340.8779362</v>
      </c>
      <c r="EM18" s="223" t="n">
        <v>400.091172449999</v>
      </c>
      <c r="EN18" s="223" t="n">
        <v>-59.2132362499988</v>
      </c>
      <c r="EO18" s="223" t="n">
        <v>29022.69307886</v>
      </c>
      <c r="EP18" s="223" t="n">
        <v>30604.35419595</v>
      </c>
      <c r="EQ18" s="223" t="n">
        <v>0</v>
      </c>
      <c r="ER18" s="223" t="n">
        <v>0</v>
      </c>
      <c r="ES18" s="222" t="inlineStr">
        <is>
          <t>-</t>
        </is>
      </c>
      <c r="ET18" s="280">
        <f>S18+AC18+AM18+AW18+BG18+BQ18+CA18+CK18+CU18+DE18+DU18+EL18</f>
        <v/>
      </c>
      <c r="EU18" s="275">
        <f>U18+AE18+AO18+AY18+BI18+BS18+CC18+CM18+CW18+DG18+DW18+EN18</f>
        <v/>
      </c>
      <c r="EV18" s="222" t="inlineStr">
        <is>
          <t>-</t>
        </is>
      </c>
      <c r="EW18" s="300">
        <f>IFERROR((EL18-DU18)/DU18,"-")</f>
        <v/>
      </c>
      <c r="EX18" s="293">
        <f>IFERROR((EN18-DW18)/DW18,"-")</f>
        <v/>
      </c>
      <c r="EY18" s="288">
        <f>IFERROR((EO18-DX18)/DX18,"-")</f>
        <v/>
      </c>
    </row>
    <row r="19" hidden="1" outlineLevel="1">
      <c r="A19" s="159" t="inlineStr">
        <is>
          <t>Retirement Fund</t>
        </is>
      </c>
      <c r="B19" s="160" t="inlineStr">
        <is>
          <t>Solution Oriented Schemes</t>
        </is>
      </c>
      <c r="C19" s="160" t="inlineStr">
        <is>
          <t>Open ended Schemes</t>
        </is>
      </c>
      <c r="D19" s="160" t="inlineStr">
        <is>
          <t>Equity</t>
        </is>
      </c>
      <c r="E19" s="160" t="inlineStr">
        <is>
          <t>Equity</t>
        </is>
      </c>
      <c r="F19" s="160" t="inlineStr">
        <is>
          <t>Active Equity (incl Hybrid)</t>
        </is>
      </c>
      <c r="G19" s="416" t="n"/>
      <c r="H19" s="416" t="n"/>
      <c r="I19" s="416" t="n"/>
      <c r="J19" s="416" t="n"/>
      <c r="K19" s="416">
        <f>IF(OR(I19="",J19=""),"",I19-J19)</f>
        <v/>
      </c>
      <c r="L19" s="161" t="n">
        <v>29104.49821802</v>
      </c>
      <c r="M19" s="161" t="n">
        <v>28388.19481321</v>
      </c>
      <c r="N19" s="416" t="n"/>
      <c r="O19" s="416" t="n"/>
      <c r="P19" s="162" t="inlineStr">
        <is>
          <t>-</t>
        </is>
      </c>
      <c r="Q19" s="219" t="n">
        <v>29</v>
      </c>
      <c r="R19" s="219" t="n">
        <v>2999887</v>
      </c>
      <c r="S19" s="522" t="n">
        <v>254.96061386</v>
      </c>
      <c r="T19" s="522" t="n">
        <v>178.95675274</v>
      </c>
      <c r="U19" s="522" t="n">
        <v>76.00386112</v>
      </c>
      <c r="V19" s="522" t="n">
        <v>29996.2074238</v>
      </c>
      <c r="W19" s="522" t="n">
        <v>29245.2622979</v>
      </c>
      <c r="X19" s="219" t="n">
        <v>0</v>
      </c>
      <c r="Y19" s="522" t="n">
        <v>0</v>
      </c>
      <c r="Z19" s="221" t="inlineStr">
        <is>
          <t>-</t>
        </is>
      </c>
      <c r="AA19" s="219" t="n">
        <v>29</v>
      </c>
      <c r="AB19" s="219" t="n">
        <v>3003234</v>
      </c>
      <c r="AC19" s="522" t="n">
        <v>251.43797408</v>
      </c>
      <c r="AD19" s="522" t="n">
        <v>198.52860463</v>
      </c>
      <c r="AE19" s="522" t="n">
        <v>52.9093694500001</v>
      </c>
      <c r="AF19" s="522" t="n">
        <v>31006.98156368</v>
      </c>
      <c r="AG19" s="522" t="n">
        <v>30588.37175671</v>
      </c>
      <c r="AH19" s="219" t="n">
        <v>0</v>
      </c>
      <c r="AI19" s="522" t="n">
        <v>0</v>
      </c>
      <c r="AJ19" s="221" t="inlineStr">
        <is>
          <t>-</t>
        </is>
      </c>
      <c r="AK19" s="219" t="n">
        <v>29</v>
      </c>
      <c r="AL19" s="219" t="n">
        <v>3009203</v>
      </c>
      <c r="AM19" s="522" t="n">
        <v>271.58924686</v>
      </c>
      <c r="AN19" s="522" t="n">
        <v>193.11502427</v>
      </c>
      <c r="AO19" s="522" t="n">
        <v>78.4742225899999</v>
      </c>
      <c r="AP19" s="522" t="n">
        <v>31973.26483048</v>
      </c>
      <c r="AQ19" s="522" t="n">
        <v>31446.29259718</v>
      </c>
      <c r="AR19" s="219" t="n">
        <v>0</v>
      </c>
      <c r="AS19" s="522" t="n">
        <v>0</v>
      </c>
      <c r="AT19" s="221" t="inlineStr">
        <is>
          <t>-</t>
        </is>
      </c>
      <c r="AU19" s="219" t="n">
        <v>29</v>
      </c>
      <c r="AV19" s="219" t="n">
        <v>3016170</v>
      </c>
      <c r="AW19" s="522" t="n">
        <v>316.29630371</v>
      </c>
      <c r="AX19" s="522" t="n">
        <v>197.39610628</v>
      </c>
      <c r="AY19" s="522" t="n">
        <v>118.90019743</v>
      </c>
      <c r="AZ19" s="522" t="n">
        <v>31415.74661142</v>
      </c>
      <c r="BA19" s="522" t="n">
        <v>31812.87332464</v>
      </c>
      <c r="BB19" s="219" t="n">
        <v>0</v>
      </c>
      <c r="BC19" s="522" t="n">
        <v>0</v>
      </c>
      <c r="BD19" s="221" t="inlineStr">
        <is>
          <t>-</t>
        </is>
      </c>
      <c r="BE19" s="219" t="n">
        <v>29</v>
      </c>
      <c r="BF19" s="219" t="n">
        <v>3022062</v>
      </c>
      <c r="BG19" s="522" t="n">
        <v>274.7205739</v>
      </c>
      <c r="BH19" s="522" t="n">
        <v>140.24965792</v>
      </c>
      <c r="BI19" s="522" t="n">
        <v>134.47091598</v>
      </c>
      <c r="BJ19" s="522" t="n">
        <v>31058.4351055</v>
      </c>
      <c r="BK19" s="522" t="n">
        <v>31359.24221839</v>
      </c>
      <c r="BL19" s="219" t="n">
        <v>0</v>
      </c>
      <c r="BM19" s="522" t="n">
        <v>0</v>
      </c>
      <c r="BN19" s="221" t="inlineStr">
        <is>
          <t>-</t>
        </is>
      </c>
      <c r="BO19" s="219" t="n">
        <v>29</v>
      </c>
      <c r="BP19" s="219" t="n">
        <v>3027172</v>
      </c>
      <c r="BQ19" s="522" t="n">
        <v>291.37090552</v>
      </c>
      <c r="BR19" s="522" t="n">
        <v>194.55247765</v>
      </c>
      <c r="BS19" s="522" t="n">
        <v>96.81842787000031</v>
      </c>
      <c r="BT19" s="522" t="n">
        <v>31454.41516288</v>
      </c>
      <c r="BU19" s="522" t="n">
        <v>31800.74340252</v>
      </c>
      <c r="BV19" s="219" t="n">
        <v>0</v>
      </c>
      <c r="BW19" s="522" t="n">
        <v>0</v>
      </c>
      <c r="BX19" s="221" t="inlineStr">
        <is>
          <t>-</t>
        </is>
      </c>
      <c r="BY19" s="219" t="n">
        <v>29</v>
      </c>
      <c r="BZ19" s="219" t="n">
        <v>3032112</v>
      </c>
      <c r="CA19" s="522" t="n">
        <v>274.53561349</v>
      </c>
      <c r="CB19" s="522" t="n">
        <v>170.50776878</v>
      </c>
      <c r="CC19" s="522" t="n">
        <v>104.02784471</v>
      </c>
      <c r="CD19" s="522" t="n">
        <v>32512.29817342</v>
      </c>
      <c r="CE19" s="522" t="n">
        <v>32307.95825214</v>
      </c>
      <c r="CF19" s="219" t="n">
        <v>0</v>
      </c>
      <c r="CG19" s="522" t="n">
        <v>0</v>
      </c>
      <c r="CH19" s="221" t="inlineStr">
        <is>
          <t>-</t>
        </is>
      </c>
      <c r="CI19" s="219" t="n">
        <v>29</v>
      </c>
      <c r="CJ19" s="219" t="n">
        <v>3037674</v>
      </c>
      <c r="CK19" s="522" t="n">
        <v>268.39014058</v>
      </c>
      <c r="CL19" s="522" t="n">
        <v>162.00462272</v>
      </c>
      <c r="CM19" s="522" t="n">
        <v>106.38551786</v>
      </c>
      <c r="CN19" s="522" t="n">
        <v>32835.3327408</v>
      </c>
      <c r="CO19" s="522" t="n">
        <v>32694.49063389</v>
      </c>
      <c r="CP19" s="219" t="n">
        <v>0</v>
      </c>
      <c r="CQ19" s="522" t="n">
        <v>0</v>
      </c>
      <c r="CR19" s="221" t="inlineStr">
        <is>
          <t>-</t>
        </is>
      </c>
      <c r="CS19" s="219" t="n">
        <v>29</v>
      </c>
      <c r="CT19" s="219" t="n">
        <v>3042915</v>
      </c>
      <c r="CU19" s="522" t="n">
        <v>299.8941114</v>
      </c>
      <c r="CV19" s="522" t="n">
        <v>178.8978223</v>
      </c>
      <c r="CW19" s="522" t="n">
        <v>120.9962891</v>
      </c>
      <c r="CX19" s="522" t="n">
        <v>32828.50598059</v>
      </c>
      <c r="CY19" s="522" t="n">
        <v>32711.55552021</v>
      </c>
      <c r="CZ19" s="219" t="n">
        <v>0</v>
      </c>
      <c r="DA19" s="522" t="n">
        <v>0</v>
      </c>
      <c r="DB19" s="222" t="inlineStr">
        <is>
          <t>-</t>
        </is>
      </c>
      <c r="DC19" s="223" t="n">
        <v>29</v>
      </c>
      <c r="DD19" s="223" t="n">
        <v>3049871</v>
      </c>
      <c r="DE19" s="523" t="n">
        <v>279.23072788</v>
      </c>
      <c r="DF19" s="523" t="n">
        <v>174.71369077</v>
      </c>
      <c r="DG19" s="523" t="n">
        <v>104.51703711</v>
      </c>
      <c r="DH19" s="523" t="n">
        <v>32044.11324269</v>
      </c>
      <c r="DI19" s="523" t="n">
        <v>32448.64347446</v>
      </c>
      <c r="DJ19" s="223" t="n">
        <v>0</v>
      </c>
      <c r="DK19" s="523" t="n">
        <v>0</v>
      </c>
      <c r="DL19" s="222" t="inlineStr">
        <is>
          <t>-</t>
        </is>
      </c>
      <c r="DM19" s="280">
        <f>S19+AC19+AM19+AW19+BG19+BQ19+CA19+CK19+CU19+DE19</f>
        <v/>
      </c>
      <c r="DN19" s="275">
        <f>U19+AE19+AO19+AY19+BI19+BS19+CC19+CM19+CW19+DG19</f>
        <v/>
      </c>
      <c r="DO19" s="222" t="inlineStr">
        <is>
          <t>-</t>
        </is>
      </c>
      <c r="DP19" s="226">
        <f>IFERROR((DE19-CU19)/CU19,"-")</f>
        <v/>
      </c>
      <c r="DQ19" s="226">
        <f>IFERROR((DG19-CW19)/CW19,"-")</f>
        <v/>
      </c>
      <c r="DR19" s="288">
        <f>IFERROR((DH19-CX19)/CX19,"-")</f>
        <v/>
      </c>
      <c r="DS19" s="223" t="n">
        <v>29</v>
      </c>
      <c r="DT19" s="223" t="n">
        <v>3055597</v>
      </c>
      <c r="DU19" s="223" t="n">
        <v>293.78622218</v>
      </c>
      <c r="DV19" s="223" t="n">
        <v>275.41608913</v>
      </c>
      <c r="DW19" s="223" t="n">
        <v>18.3701330499996</v>
      </c>
      <c r="DX19" s="223" t="n">
        <v>32229.11399135</v>
      </c>
      <c r="DY19" s="223" t="n">
        <v>32619.67499676</v>
      </c>
      <c r="DZ19" s="223" t="n">
        <v>0</v>
      </c>
      <c r="EA19" s="223" t="n">
        <v>0</v>
      </c>
      <c r="EB19" s="222" t="inlineStr">
        <is>
          <t>-</t>
        </is>
      </c>
      <c r="EC19" s="280">
        <f>S19+AC19+AM19+AW19+BG19+BQ19+CA19+CK19+CU19+DE19+DU19</f>
        <v/>
      </c>
      <c r="ED19" s="275">
        <f>U19+AE19+AO19+AY19+BI19+BS19+CC19+CM19+CW19+DG19+DW19</f>
        <v/>
      </c>
      <c r="EE19" s="222" t="inlineStr">
        <is>
          <t>-</t>
        </is>
      </c>
      <c r="EF19" s="226">
        <f>IFERROR((DU19-DE19)/DE19,"-")</f>
        <v/>
      </c>
      <c r="EG19" s="226">
        <f>IFERROR((DW19-DG19)/DG19,"-")</f>
        <v/>
      </c>
      <c r="EH19" s="288">
        <f>IFERROR((DX19-DH19)/DH19,"-")</f>
        <v/>
      </c>
      <c r="EI19" s="222" t="inlineStr">
        <is>
          <t>-</t>
        </is>
      </c>
      <c r="EJ19" s="223" t="n">
        <v>29</v>
      </c>
      <c r="EK19" s="223" t="n">
        <v>3059924</v>
      </c>
      <c r="EL19" s="223" t="n">
        <v>252.81951767</v>
      </c>
      <c r="EM19" s="223" t="n">
        <v>224.12635517</v>
      </c>
      <c r="EN19" s="223" t="n">
        <v>28.6931625000002</v>
      </c>
      <c r="EO19" s="223" t="n">
        <v>29275.01265496</v>
      </c>
      <c r="EP19" s="223" t="n">
        <v>30709.12030048</v>
      </c>
      <c r="EQ19" s="223" t="n">
        <v>0</v>
      </c>
      <c r="ER19" s="223" t="n">
        <v>0</v>
      </c>
      <c r="ES19" s="222" t="inlineStr">
        <is>
          <t>-</t>
        </is>
      </c>
      <c r="ET19" s="280">
        <f>S19+AC19+AM19+AW19+BG19+BQ19+CA19+CK19+CU19+DE19+DU19+EL19</f>
        <v/>
      </c>
      <c r="EU19" s="275">
        <f>U19+AE19+AO19+AY19+BI19+BS19+CC19+CM19+CW19+DG19+DW19+EN19</f>
        <v/>
      </c>
      <c r="EV19" s="222" t="inlineStr">
        <is>
          <t>-</t>
        </is>
      </c>
      <c r="EW19" s="300">
        <f>IFERROR((EL19-DU19)/DU19,"-")</f>
        <v/>
      </c>
      <c r="EX19" s="293">
        <f>IFERROR((EN19-DW19)/DW19,"-")</f>
        <v/>
      </c>
      <c r="EY19" s="288">
        <f>IFERROR((EO19-DX19)/DX19,"-")</f>
        <v/>
      </c>
    </row>
    <row r="20" hidden="1" outlineLevel="1">
      <c r="A20" s="159" t="inlineStr">
        <is>
          <t>Other Equity Schemes</t>
        </is>
      </c>
      <c r="B20" s="160" t="inlineStr">
        <is>
          <t>Growth/Equity Oriented Schemes</t>
        </is>
      </c>
      <c r="C20" s="160" t="inlineStr">
        <is>
          <t>Close Ended Schemes</t>
        </is>
      </c>
      <c r="D20" s="160" t="inlineStr">
        <is>
          <t>Equity</t>
        </is>
      </c>
      <c r="E20" s="160" t="inlineStr">
        <is>
          <t>Equity</t>
        </is>
      </c>
      <c r="F20" s="160" t="inlineStr">
        <is>
          <t>Active Equity (incl Hybrid)</t>
        </is>
      </c>
      <c r="G20" s="416" t="n"/>
      <c r="H20" s="416" t="n"/>
      <c r="I20" s="416" t="n"/>
      <c r="J20" s="416" t="n"/>
      <c r="K20" s="416">
        <f>IF(OR(I20="",J20=""),"",I20-J20)</f>
        <v/>
      </c>
      <c r="L20" s="161" t="n">
        <v>0</v>
      </c>
      <c r="M20" s="161" t="n">
        <v>0</v>
      </c>
      <c r="N20" s="416" t="n"/>
      <c r="O20" s="416" t="n"/>
      <c r="P20" s="162" t="inlineStr">
        <is>
          <t>-</t>
        </is>
      </c>
      <c r="Q20" s="219" t="n">
        <v>0</v>
      </c>
      <c r="R20" s="219" t="n">
        <v>0</v>
      </c>
      <c r="S20" s="522" t="n">
        <v>0</v>
      </c>
      <c r="T20" s="522" t="n">
        <v>0</v>
      </c>
      <c r="U20" s="522" t="n">
        <v>0</v>
      </c>
      <c r="V20" s="522" t="n">
        <v>0</v>
      </c>
      <c r="W20" s="522" t="n">
        <v>0</v>
      </c>
      <c r="X20" s="219" t="n">
        <v>0</v>
      </c>
      <c r="Y20" s="522" t="n">
        <v>0</v>
      </c>
      <c r="Z20" s="221" t="inlineStr">
        <is>
          <t>-</t>
        </is>
      </c>
      <c r="AA20" s="219" t="n">
        <v>0</v>
      </c>
      <c r="AB20" s="219" t="n">
        <v>0</v>
      </c>
      <c r="AC20" s="522" t="n">
        <v>0</v>
      </c>
      <c r="AD20" s="522" t="n">
        <v>0</v>
      </c>
      <c r="AE20" s="522" t="n">
        <v>0</v>
      </c>
      <c r="AF20" s="522" t="n">
        <v>0</v>
      </c>
      <c r="AG20" s="522" t="n">
        <v>0</v>
      </c>
      <c r="AH20" s="219" t="n">
        <v>0</v>
      </c>
      <c r="AI20" s="522" t="n">
        <v>0</v>
      </c>
      <c r="AJ20" s="221" t="inlineStr">
        <is>
          <t>-</t>
        </is>
      </c>
      <c r="AK20" s="219" t="n">
        <v>0</v>
      </c>
      <c r="AL20" s="219" t="n">
        <v>0</v>
      </c>
      <c r="AM20" s="522" t="n">
        <v>0</v>
      </c>
      <c r="AN20" s="522" t="n">
        <v>0</v>
      </c>
      <c r="AO20" s="522" t="n">
        <v>0</v>
      </c>
      <c r="AP20" s="522" t="n">
        <v>0</v>
      </c>
      <c r="AQ20" s="522" t="n">
        <v>0</v>
      </c>
      <c r="AR20" s="219" t="n">
        <v>0</v>
      </c>
      <c r="AS20" s="522" t="n">
        <v>0</v>
      </c>
      <c r="AT20" s="221" t="inlineStr">
        <is>
          <t>-</t>
        </is>
      </c>
      <c r="AU20" s="219" t="n">
        <v>0</v>
      </c>
      <c r="AV20" s="219" t="n">
        <v>0</v>
      </c>
      <c r="AW20" s="522" t="n">
        <v>0</v>
      </c>
      <c r="AX20" s="522" t="n">
        <v>0</v>
      </c>
      <c r="AY20" s="522" t="n">
        <v>0</v>
      </c>
      <c r="AZ20" s="522" t="n">
        <v>0</v>
      </c>
      <c r="BA20" s="522" t="n">
        <v>0</v>
      </c>
      <c r="BB20" s="219" t="n">
        <v>0</v>
      </c>
      <c r="BC20" s="522" t="n">
        <v>0</v>
      </c>
      <c r="BD20" s="221" t="inlineStr">
        <is>
          <t>-</t>
        </is>
      </c>
      <c r="BE20" s="219" t="n">
        <v>0</v>
      </c>
      <c r="BF20" s="219" t="n">
        <v>0</v>
      </c>
      <c r="BG20" s="522" t="n">
        <v>0</v>
      </c>
      <c r="BH20" s="522" t="n">
        <v>0</v>
      </c>
      <c r="BI20" s="522" t="n">
        <v>0</v>
      </c>
      <c r="BJ20" s="522" t="n">
        <v>0</v>
      </c>
      <c r="BK20" s="522" t="n">
        <v>0</v>
      </c>
      <c r="BL20" s="219" t="n">
        <v>0</v>
      </c>
      <c r="BM20" s="522" t="n">
        <v>0</v>
      </c>
      <c r="BN20" s="221" t="inlineStr">
        <is>
          <t>-</t>
        </is>
      </c>
      <c r="BO20" s="219" t="n">
        <v>0</v>
      </c>
      <c r="BP20" s="219" t="n">
        <v>0</v>
      </c>
      <c r="BQ20" s="522" t="n">
        <v>0</v>
      </c>
      <c r="BR20" s="522" t="n">
        <v>0</v>
      </c>
      <c r="BS20" s="522" t="n">
        <v>0</v>
      </c>
      <c r="BT20" s="522" t="n">
        <v>0</v>
      </c>
      <c r="BU20" s="522" t="n">
        <v>0</v>
      </c>
      <c r="BV20" s="219" t="n">
        <v>0</v>
      </c>
      <c r="BW20" s="522" t="n">
        <v>0</v>
      </c>
      <c r="BX20" s="221" t="inlineStr">
        <is>
          <t>-</t>
        </is>
      </c>
      <c r="BY20" s="219" t="n">
        <v>0</v>
      </c>
      <c r="BZ20" s="219" t="n">
        <v>0</v>
      </c>
      <c r="CA20" s="522" t="n">
        <v>0</v>
      </c>
      <c r="CB20" s="522" t="n">
        <v>0</v>
      </c>
      <c r="CC20" s="522" t="n">
        <v>0</v>
      </c>
      <c r="CD20" s="522" t="n">
        <v>0</v>
      </c>
      <c r="CE20" s="522" t="n">
        <v>0</v>
      </c>
      <c r="CF20" s="219" t="n">
        <v>0</v>
      </c>
      <c r="CG20" s="522" t="n">
        <v>0</v>
      </c>
      <c r="CH20" s="221" t="inlineStr">
        <is>
          <t>-</t>
        </is>
      </c>
      <c r="CI20" s="219" t="n">
        <v>0</v>
      </c>
      <c r="CJ20" s="219" t="n">
        <v>0</v>
      </c>
      <c r="CK20" s="522" t="n">
        <v>0</v>
      </c>
      <c r="CL20" s="522" t="n">
        <v>0</v>
      </c>
      <c r="CM20" s="522" t="n">
        <v>0</v>
      </c>
      <c r="CN20" s="522" t="n">
        <v>0</v>
      </c>
      <c r="CO20" s="522" t="n">
        <v>0</v>
      </c>
      <c r="CP20" s="219" t="n">
        <v>0</v>
      </c>
      <c r="CQ20" s="522" t="n">
        <v>0</v>
      </c>
      <c r="CR20" s="221" t="inlineStr">
        <is>
          <t>-</t>
        </is>
      </c>
      <c r="CS20" s="219" t="n">
        <v>0</v>
      </c>
      <c r="CT20" s="219" t="n">
        <v>0</v>
      </c>
      <c r="CU20" s="522" t="n">
        <v>0</v>
      </c>
      <c r="CV20" s="522" t="n">
        <v>0</v>
      </c>
      <c r="CW20" s="522" t="n">
        <v>0</v>
      </c>
      <c r="CX20" s="522" t="n">
        <v>0</v>
      </c>
      <c r="CY20" s="522" t="n">
        <v>0</v>
      </c>
      <c r="CZ20" s="219" t="n">
        <v>0</v>
      </c>
      <c r="DA20" s="522" t="n">
        <v>0</v>
      </c>
      <c r="DB20" s="222" t="inlineStr">
        <is>
          <t>-</t>
        </is>
      </c>
      <c r="DC20" s="223" t="n">
        <v>0</v>
      </c>
      <c r="DD20" s="223" t="n">
        <v>0</v>
      </c>
      <c r="DE20" s="523" t="n">
        <v>0</v>
      </c>
      <c r="DF20" s="523" t="n">
        <v>0</v>
      </c>
      <c r="DG20" s="523" t="n">
        <v>0</v>
      </c>
      <c r="DH20" s="523" t="n">
        <v>0</v>
      </c>
      <c r="DI20" s="523" t="n">
        <v>0</v>
      </c>
      <c r="DJ20" s="223" t="n">
        <v>0</v>
      </c>
      <c r="DK20" s="523" t="n">
        <v>0</v>
      </c>
      <c r="DL20" s="222" t="inlineStr">
        <is>
          <t>-</t>
        </is>
      </c>
      <c r="DM20" s="280">
        <f>S20+AC20+AM20+AW20+BG20+BQ20+CA20+CK20+CU20+DE20</f>
        <v/>
      </c>
      <c r="DN20" s="275">
        <f>U20+AE20+AO20+AY20+BI20+BS20+CC20+CM20+CW20+DG20</f>
        <v/>
      </c>
      <c r="DO20" s="222" t="inlineStr">
        <is>
          <t>-</t>
        </is>
      </c>
      <c r="DP20" s="226" t="inlineStr">
        <is>
          <t>-</t>
        </is>
      </c>
      <c r="DQ20" s="226" t="inlineStr">
        <is>
          <t>-</t>
        </is>
      </c>
      <c r="DR20" s="288" t="inlineStr">
        <is>
          <t>-</t>
        </is>
      </c>
      <c r="DS20" s="223" t="n">
        <v>0</v>
      </c>
      <c r="DT20" s="223" t="n">
        <v>0</v>
      </c>
      <c r="DU20" s="223" t="n">
        <v>0</v>
      </c>
      <c r="DV20" s="223" t="n">
        <v>0</v>
      </c>
      <c r="DW20" s="223" t="n">
        <v>0</v>
      </c>
      <c r="DX20" s="223" t="n">
        <v>0</v>
      </c>
      <c r="DY20" s="223" t="n">
        <v>0</v>
      </c>
      <c r="DZ20" s="223" t="n">
        <v>0</v>
      </c>
      <c r="EA20" s="223" t="n">
        <v>0</v>
      </c>
      <c r="EB20" s="222" t="inlineStr">
        <is>
          <t>-</t>
        </is>
      </c>
      <c r="EC20" s="280">
        <f>S20+AC20+AM20+AW20+BG20+BQ20+CA20+CK20+CU20+DE20+DU20</f>
        <v/>
      </c>
      <c r="ED20" s="275">
        <f>U20+AE20+AO20+AY20+BI20+BS20+CC20+CM20+CW20+DG20+DW20</f>
        <v/>
      </c>
      <c r="EE20" s="222" t="inlineStr">
        <is>
          <t>-</t>
        </is>
      </c>
      <c r="EF20" s="226">
        <f>IFERROR((DU20-DE20)/DE20,"-")</f>
        <v/>
      </c>
      <c r="EG20" s="226">
        <f>IFERROR((DW20-DG20)/DG20,"-")</f>
        <v/>
      </c>
      <c r="EH20" s="288">
        <f>IFERROR((DX20-DH20)/DH20,"-")</f>
        <v/>
      </c>
      <c r="EI20" s="222" t="inlineStr">
        <is>
          <t>-</t>
        </is>
      </c>
      <c r="EJ20" s="223" t="n">
        <v>0</v>
      </c>
      <c r="EK20" s="223" t="n">
        <v>0</v>
      </c>
      <c r="EL20" s="223" t="n">
        <v>0</v>
      </c>
      <c r="EM20" s="223" t="n">
        <v>0</v>
      </c>
      <c r="EN20" s="223" t="n">
        <v>0</v>
      </c>
      <c r="EO20" s="223" t="n">
        <v>0</v>
      </c>
      <c r="EP20" s="223" t="n">
        <v>0</v>
      </c>
      <c r="EQ20" s="223" t="n">
        <v>0</v>
      </c>
      <c r="ER20" s="223" t="n">
        <v>0</v>
      </c>
      <c r="ES20" s="222" t="inlineStr">
        <is>
          <t>-</t>
        </is>
      </c>
      <c r="ET20" s="280">
        <f>S20+AC20+AM20+AW20+BG20+BQ20+CA20+CK20+CU20+DE20+DU20+EL20</f>
        <v/>
      </c>
      <c r="EU20" s="275">
        <f>U20+AE20+AO20+AY20+BI20+BS20+CC20+CM20+CW20+DG20+DW20+EN20</f>
        <v/>
      </c>
      <c r="EV20" s="222" t="inlineStr">
        <is>
          <t>-</t>
        </is>
      </c>
      <c r="EW20" s="300">
        <f>IFERROR((EL20-DU20)/DU20,"-")</f>
        <v/>
      </c>
      <c r="EX20" s="293">
        <f>IFERROR((EN20-DW20)/DW20,"-")</f>
        <v/>
      </c>
      <c r="EY20" s="288">
        <f>IFERROR((EO20-DX20)/DX20,"-")</f>
        <v/>
      </c>
    </row>
    <row r="21" hidden="1" outlineLevel="1">
      <c r="A21" s="159" t="inlineStr">
        <is>
          <t>Other Schemes</t>
        </is>
      </c>
      <c r="B21" s="160" t="inlineStr">
        <is>
          <t>Other Schemes</t>
        </is>
      </c>
      <c r="C21" s="160" t="inlineStr">
        <is>
          <t>Close Ended Schemes</t>
        </is>
      </c>
      <c r="D21" s="160" t="inlineStr">
        <is>
          <t>Equity</t>
        </is>
      </c>
      <c r="E21" s="160" t="inlineStr">
        <is>
          <t>Equity</t>
        </is>
      </c>
      <c r="F21" s="160" t="inlineStr">
        <is>
          <t>Active Equity (incl Hybrid)</t>
        </is>
      </c>
      <c r="G21" s="416" t="n"/>
      <c r="H21" s="416" t="n"/>
      <c r="I21" s="416" t="n"/>
      <c r="J21" s="416" t="n"/>
      <c r="K21" s="416">
        <f>IF(OR(I21="",J21=""),"",I21-J21)</f>
        <v/>
      </c>
      <c r="L21" s="161" t="n">
        <v>0</v>
      </c>
      <c r="M21" s="161" t="n">
        <v>0</v>
      </c>
      <c r="N21" s="416" t="n"/>
      <c r="O21" s="416" t="n"/>
      <c r="P21" s="162" t="inlineStr">
        <is>
          <t>-</t>
        </is>
      </c>
      <c r="Q21" s="219" t="n">
        <v>0</v>
      </c>
      <c r="R21" s="219" t="n">
        <v>0</v>
      </c>
      <c r="S21" s="522" t="n">
        <v>0</v>
      </c>
      <c r="T21" s="522" t="n">
        <v>0</v>
      </c>
      <c r="U21" s="522" t="n">
        <v>0</v>
      </c>
      <c r="V21" s="522" t="n">
        <v>0</v>
      </c>
      <c r="W21" s="522" t="n">
        <v>0</v>
      </c>
      <c r="X21" s="219" t="n">
        <v>0</v>
      </c>
      <c r="Y21" s="522" t="n">
        <v>0</v>
      </c>
      <c r="Z21" s="221" t="inlineStr">
        <is>
          <t>-</t>
        </is>
      </c>
      <c r="AA21" s="219" t="n">
        <v>0</v>
      </c>
      <c r="AB21" s="219" t="n">
        <v>0</v>
      </c>
      <c r="AC21" s="522" t="n">
        <v>0</v>
      </c>
      <c r="AD21" s="522" t="n">
        <v>0</v>
      </c>
      <c r="AE21" s="522" t="n">
        <v>0</v>
      </c>
      <c r="AF21" s="522" t="n">
        <v>0</v>
      </c>
      <c r="AG21" s="522" t="n">
        <v>0</v>
      </c>
      <c r="AH21" s="219" t="n">
        <v>0</v>
      </c>
      <c r="AI21" s="522" t="n">
        <v>0</v>
      </c>
      <c r="AJ21" s="221" t="inlineStr">
        <is>
          <t>-</t>
        </is>
      </c>
      <c r="AK21" s="219" t="n">
        <v>0</v>
      </c>
      <c r="AL21" s="219" t="n">
        <v>0</v>
      </c>
      <c r="AM21" s="522" t="n">
        <v>0</v>
      </c>
      <c r="AN21" s="522" t="n">
        <v>0</v>
      </c>
      <c r="AO21" s="522" t="n">
        <v>0</v>
      </c>
      <c r="AP21" s="522" t="n">
        <v>0</v>
      </c>
      <c r="AQ21" s="522" t="n">
        <v>0</v>
      </c>
      <c r="AR21" s="219" t="n">
        <v>0</v>
      </c>
      <c r="AS21" s="522" t="n">
        <v>0</v>
      </c>
      <c r="AT21" s="221" t="inlineStr">
        <is>
          <t>-</t>
        </is>
      </c>
      <c r="AU21" s="219" t="n">
        <v>0</v>
      </c>
      <c r="AV21" s="219" t="n">
        <v>0</v>
      </c>
      <c r="AW21" s="522" t="n">
        <v>0</v>
      </c>
      <c r="AX21" s="522" t="n">
        <v>0</v>
      </c>
      <c r="AY21" s="522" t="n">
        <v>0</v>
      </c>
      <c r="AZ21" s="522" t="n">
        <v>0</v>
      </c>
      <c r="BA21" s="522" t="n">
        <v>0</v>
      </c>
      <c r="BB21" s="219" t="n">
        <v>0</v>
      </c>
      <c r="BC21" s="522" t="n">
        <v>0</v>
      </c>
      <c r="BD21" s="221" t="inlineStr">
        <is>
          <t>-</t>
        </is>
      </c>
      <c r="BE21" s="219" t="n">
        <v>0</v>
      </c>
      <c r="BF21" s="219" t="n">
        <v>0</v>
      </c>
      <c r="BG21" s="522" t="n">
        <v>0</v>
      </c>
      <c r="BH21" s="522" t="n">
        <v>0</v>
      </c>
      <c r="BI21" s="522" t="n">
        <v>0</v>
      </c>
      <c r="BJ21" s="522" t="n">
        <v>0</v>
      </c>
      <c r="BK21" s="522" t="n">
        <v>0</v>
      </c>
      <c r="BL21" s="219" t="n">
        <v>0</v>
      </c>
      <c r="BM21" s="522" t="n">
        <v>0</v>
      </c>
      <c r="BN21" s="221" t="inlineStr">
        <is>
          <t>-</t>
        </is>
      </c>
      <c r="BO21" s="219" t="n">
        <v>0</v>
      </c>
      <c r="BP21" s="219" t="n">
        <v>0</v>
      </c>
      <c r="BQ21" s="522" t="n">
        <v>0</v>
      </c>
      <c r="BR21" s="522" t="n">
        <v>0</v>
      </c>
      <c r="BS21" s="522" t="n">
        <v>0</v>
      </c>
      <c r="BT21" s="522" t="n">
        <v>0</v>
      </c>
      <c r="BU21" s="522" t="n">
        <v>0</v>
      </c>
      <c r="BV21" s="219" t="n">
        <v>0</v>
      </c>
      <c r="BW21" s="522" t="n">
        <v>0</v>
      </c>
      <c r="BX21" s="221" t="inlineStr">
        <is>
          <t>-</t>
        </is>
      </c>
      <c r="BY21" s="219" t="n">
        <v>0</v>
      </c>
      <c r="BZ21" s="219" t="n">
        <v>0</v>
      </c>
      <c r="CA21" s="522" t="n">
        <v>0</v>
      </c>
      <c r="CB21" s="522" t="n">
        <v>0</v>
      </c>
      <c r="CC21" s="522" t="n">
        <v>0</v>
      </c>
      <c r="CD21" s="522" t="n">
        <v>0</v>
      </c>
      <c r="CE21" s="522" t="n">
        <v>0</v>
      </c>
      <c r="CF21" s="219" t="n">
        <v>0</v>
      </c>
      <c r="CG21" s="522" t="n">
        <v>0</v>
      </c>
      <c r="CH21" s="221" t="inlineStr">
        <is>
          <t>-</t>
        </is>
      </c>
      <c r="CI21" s="219" t="n">
        <v>0</v>
      </c>
      <c r="CJ21" s="219" t="n">
        <v>0</v>
      </c>
      <c r="CK21" s="522" t="n">
        <v>0</v>
      </c>
      <c r="CL21" s="522" t="n">
        <v>0</v>
      </c>
      <c r="CM21" s="522" t="n">
        <v>0</v>
      </c>
      <c r="CN21" s="522" t="n">
        <v>0</v>
      </c>
      <c r="CO21" s="522" t="n">
        <v>0</v>
      </c>
      <c r="CP21" s="219" t="n">
        <v>0</v>
      </c>
      <c r="CQ21" s="522" t="n">
        <v>0</v>
      </c>
      <c r="CR21" s="221" t="inlineStr">
        <is>
          <t>-</t>
        </is>
      </c>
      <c r="CS21" s="219" t="n">
        <v>0</v>
      </c>
      <c r="CT21" s="219" t="n">
        <v>0</v>
      </c>
      <c r="CU21" s="522" t="n">
        <v>0</v>
      </c>
      <c r="CV21" s="522" t="n">
        <v>0</v>
      </c>
      <c r="CW21" s="522" t="n">
        <v>0</v>
      </c>
      <c r="CX21" s="522" t="n">
        <v>0</v>
      </c>
      <c r="CY21" s="522" t="n">
        <v>0</v>
      </c>
      <c r="CZ21" s="219" t="n">
        <v>0</v>
      </c>
      <c r="DA21" s="522" t="n">
        <v>0</v>
      </c>
      <c r="DB21" s="222" t="inlineStr">
        <is>
          <t>-</t>
        </is>
      </c>
      <c r="DC21" s="223" t="n">
        <v>0</v>
      </c>
      <c r="DD21" s="223" t="n">
        <v>0</v>
      </c>
      <c r="DE21" s="523" t="n">
        <v>0</v>
      </c>
      <c r="DF21" s="523" t="n">
        <v>0</v>
      </c>
      <c r="DG21" s="523" t="n">
        <v>0</v>
      </c>
      <c r="DH21" s="523" t="n">
        <v>0</v>
      </c>
      <c r="DI21" s="523" t="n">
        <v>0</v>
      </c>
      <c r="DJ21" s="223" t="n">
        <v>0</v>
      </c>
      <c r="DK21" s="523" t="n">
        <v>0</v>
      </c>
      <c r="DL21" s="222" t="inlineStr">
        <is>
          <t>-</t>
        </is>
      </c>
      <c r="DM21" s="280">
        <f>S21+AC21+AM21+AW21+BG21+BQ21+CA21+CK21+CU21+DE21</f>
        <v/>
      </c>
      <c r="DN21" s="275">
        <f>U21+AE21+AO21+AY21+BI21+BS21+CC21+CM21+CW21+DG21</f>
        <v/>
      </c>
      <c r="DO21" s="222" t="inlineStr">
        <is>
          <t>-</t>
        </is>
      </c>
      <c r="DP21" s="226" t="n">
        <v>0</v>
      </c>
      <c r="DQ21" s="226" t="n">
        <v>0</v>
      </c>
      <c r="DR21" s="288" t="n">
        <v>0</v>
      </c>
      <c r="DS21" s="223" t="n">
        <v>0</v>
      </c>
      <c r="DT21" s="223" t="n">
        <v>0</v>
      </c>
      <c r="DU21" s="223" t="n">
        <v>0</v>
      </c>
      <c r="DV21" s="223" t="n">
        <v>0</v>
      </c>
      <c r="DW21" s="223" t="n">
        <v>0</v>
      </c>
      <c r="DX21" s="223" t="n">
        <v>0</v>
      </c>
      <c r="DY21" s="223" t="n">
        <v>0</v>
      </c>
      <c r="DZ21" s="223" t="n">
        <v>0</v>
      </c>
      <c r="EA21" s="223" t="n">
        <v>0</v>
      </c>
      <c r="EB21" s="222" t="inlineStr">
        <is>
          <t>-</t>
        </is>
      </c>
      <c r="EC21" s="280">
        <f>S21+AC21+AM21+AW21+BG21+BQ21+CA21+CK21+CU21+DE21+DU21</f>
        <v/>
      </c>
      <c r="ED21" s="275">
        <f>U21+AE21+AO21+AY21+BI21+BS21+CC21+CM21+CW21+DG21+DW21</f>
        <v/>
      </c>
      <c r="EE21" s="222" t="inlineStr">
        <is>
          <t>-</t>
        </is>
      </c>
      <c r="EF21" s="226">
        <f>IFERROR((DU21-DE21)/DE21,"-")</f>
        <v/>
      </c>
      <c r="EG21" s="226">
        <f>IFERROR((DW21-DG21)/DG21,"-")</f>
        <v/>
      </c>
      <c r="EH21" s="288">
        <f>IFERROR((DX21-DH21)/DH21,"-")</f>
        <v/>
      </c>
      <c r="EI21" s="222" t="inlineStr">
        <is>
          <t>-</t>
        </is>
      </c>
      <c r="EJ21" s="223" t="n">
        <v>0</v>
      </c>
      <c r="EK21" s="223" t="n">
        <v>0</v>
      </c>
      <c r="EL21" s="223" t="n">
        <v>0</v>
      </c>
      <c r="EM21" s="223" t="n">
        <v>0</v>
      </c>
      <c r="EN21" s="223" t="n">
        <v>0</v>
      </c>
      <c r="EO21" s="223" t="n">
        <v>0</v>
      </c>
      <c r="EP21" s="223" t="n">
        <v>0</v>
      </c>
      <c r="EQ21" s="223" t="n">
        <v>0</v>
      </c>
      <c r="ER21" s="223" t="n">
        <v>0</v>
      </c>
      <c r="ES21" s="222" t="inlineStr">
        <is>
          <t>-</t>
        </is>
      </c>
      <c r="ET21" s="280">
        <f>S21+AC21+AM21+AW21+BG21+BQ21+CA21+CK21+CU21+DE21+DU21+EL21</f>
        <v/>
      </c>
      <c r="EU21" s="275">
        <f>U21+AE21+AO21+AY21+BI21+BS21+CC21+CM21+CW21+DG21+DW21+EN21</f>
        <v/>
      </c>
      <c r="EV21" s="222" t="inlineStr">
        <is>
          <t>-</t>
        </is>
      </c>
      <c r="EW21" s="300">
        <f>IFERROR((EL21-DU21)/DU21,"-")</f>
        <v/>
      </c>
      <c r="EX21" s="293">
        <f>IFERROR((EN21-DW21)/DW21,"-")</f>
        <v/>
      </c>
      <c r="EY21" s="288">
        <f>IFERROR((EO21-DX21)/DX21,"-")</f>
        <v/>
      </c>
    </row>
    <row r="22" hidden="1" outlineLevel="1">
      <c r="A22" s="159" t="inlineStr">
        <is>
          <t>Other Schemes</t>
        </is>
      </c>
      <c r="B22" s="160" t="inlineStr">
        <is>
          <t>Interval Schemes</t>
        </is>
      </c>
      <c r="C22" s="160" t="inlineStr">
        <is>
          <t>-</t>
        </is>
      </c>
      <c r="D22" s="160" t="inlineStr">
        <is>
          <t>-</t>
        </is>
      </c>
      <c r="E22" s="160" t="inlineStr">
        <is>
          <t>-</t>
        </is>
      </c>
      <c r="F22" s="160" t="inlineStr">
        <is>
          <t>Active Equity (incl Hybrid)</t>
        </is>
      </c>
      <c r="G22" s="416" t="n"/>
      <c r="H22" s="416" t="n"/>
      <c r="I22" s="416" t="n"/>
      <c r="J22" s="416" t="n"/>
      <c r="K22" s="416">
        <f>IF(OR(I22="",J22=""),"",I22-J22)</f>
        <v/>
      </c>
      <c r="L22" s="161" t="n">
        <v>0</v>
      </c>
      <c r="M22" s="161" t="n">
        <v>0</v>
      </c>
      <c r="N22" s="416" t="n"/>
      <c r="O22" s="416" t="n"/>
      <c r="P22" s="162" t="inlineStr">
        <is>
          <t>-</t>
        </is>
      </c>
      <c r="Q22" s="219" t="n">
        <v>0</v>
      </c>
      <c r="R22" s="219" t="n">
        <v>0</v>
      </c>
      <c r="S22" s="522" t="n">
        <v>0</v>
      </c>
      <c r="T22" s="522" t="n">
        <v>0</v>
      </c>
      <c r="U22" s="522" t="n">
        <v>0</v>
      </c>
      <c r="V22" s="522" t="n">
        <v>0</v>
      </c>
      <c r="W22" s="522" t="n">
        <v>0</v>
      </c>
      <c r="X22" s="219" t="n">
        <v>0</v>
      </c>
      <c r="Y22" s="522" t="n">
        <v>0</v>
      </c>
      <c r="Z22" s="221" t="inlineStr">
        <is>
          <t>-</t>
        </is>
      </c>
      <c r="AA22" s="219" t="n">
        <v>0</v>
      </c>
      <c r="AB22" s="219" t="n">
        <v>0</v>
      </c>
      <c r="AC22" s="522" t="n">
        <v>0</v>
      </c>
      <c r="AD22" s="522" t="n">
        <v>0</v>
      </c>
      <c r="AE22" s="522" t="n">
        <v>0</v>
      </c>
      <c r="AF22" s="522" t="n">
        <v>0</v>
      </c>
      <c r="AG22" s="522" t="n">
        <v>0</v>
      </c>
      <c r="AH22" s="219" t="n">
        <v>0</v>
      </c>
      <c r="AI22" s="522" t="n">
        <v>0</v>
      </c>
      <c r="AJ22" s="221" t="inlineStr">
        <is>
          <t>-</t>
        </is>
      </c>
      <c r="AK22" s="219" t="n">
        <v>0</v>
      </c>
      <c r="AL22" s="219" t="n">
        <v>0</v>
      </c>
      <c r="AM22" s="522" t="n">
        <v>0</v>
      </c>
      <c r="AN22" s="522" t="n">
        <v>0</v>
      </c>
      <c r="AO22" s="522" t="n">
        <v>0</v>
      </c>
      <c r="AP22" s="522" t="n">
        <v>0</v>
      </c>
      <c r="AQ22" s="522" t="n">
        <v>0</v>
      </c>
      <c r="AR22" s="219" t="n">
        <v>0</v>
      </c>
      <c r="AS22" s="522" t="n">
        <v>0</v>
      </c>
      <c r="AT22" s="221" t="inlineStr">
        <is>
          <t>-</t>
        </is>
      </c>
      <c r="AU22" s="219" t="n">
        <v>0</v>
      </c>
      <c r="AV22" s="219" t="n">
        <v>0</v>
      </c>
      <c r="AW22" s="522" t="n">
        <v>0</v>
      </c>
      <c r="AX22" s="522" t="n">
        <v>0</v>
      </c>
      <c r="AY22" s="522" t="n">
        <v>0</v>
      </c>
      <c r="AZ22" s="522" t="n">
        <v>0</v>
      </c>
      <c r="BA22" s="522" t="n">
        <v>0</v>
      </c>
      <c r="BB22" s="219" t="n">
        <v>0</v>
      </c>
      <c r="BC22" s="522" t="n">
        <v>0</v>
      </c>
      <c r="BD22" s="221" t="inlineStr">
        <is>
          <t>-</t>
        </is>
      </c>
      <c r="BE22" s="219" t="n">
        <v>0</v>
      </c>
      <c r="BF22" s="219" t="n">
        <v>0</v>
      </c>
      <c r="BG22" s="522" t="n">
        <v>0</v>
      </c>
      <c r="BH22" s="522" t="n">
        <v>0</v>
      </c>
      <c r="BI22" s="522" t="n">
        <v>0</v>
      </c>
      <c r="BJ22" s="522" t="n">
        <v>0</v>
      </c>
      <c r="BK22" s="522" t="n">
        <v>0</v>
      </c>
      <c r="BL22" s="219" t="n">
        <v>0</v>
      </c>
      <c r="BM22" s="522" t="n">
        <v>0</v>
      </c>
      <c r="BN22" s="221" t="inlineStr">
        <is>
          <t>-</t>
        </is>
      </c>
      <c r="BO22" s="219" t="n">
        <v>0</v>
      </c>
      <c r="BP22" s="219" t="n">
        <v>0</v>
      </c>
      <c r="BQ22" s="522" t="n">
        <v>0</v>
      </c>
      <c r="BR22" s="522" t="n">
        <v>0</v>
      </c>
      <c r="BS22" s="522" t="n">
        <v>0</v>
      </c>
      <c r="BT22" s="522" t="n">
        <v>0</v>
      </c>
      <c r="BU22" s="522" t="n">
        <v>0</v>
      </c>
      <c r="BV22" s="219" t="n">
        <v>0</v>
      </c>
      <c r="BW22" s="522" t="n">
        <v>0</v>
      </c>
      <c r="BX22" s="221" t="inlineStr">
        <is>
          <t>-</t>
        </is>
      </c>
      <c r="BY22" s="219" t="n">
        <v>0</v>
      </c>
      <c r="BZ22" s="219" t="n">
        <v>0</v>
      </c>
      <c r="CA22" s="522" t="n">
        <v>0</v>
      </c>
      <c r="CB22" s="522" t="n">
        <v>0</v>
      </c>
      <c r="CC22" s="522" t="n">
        <v>0</v>
      </c>
      <c r="CD22" s="522" t="n">
        <v>0</v>
      </c>
      <c r="CE22" s="522" t="n">
        <v>0</v>
      </c>
      <c r="CF22" s="219" t="n">
        <v>0</v>
      </c>
      <c r="CG22" s="522" t="n">
        <v>0</v>
      </c>
      <c r="CH22" s="221" t="inlineStr">
        <is>
          <t>-</t>
        </is>
      </c>
      <c r="CI22" s="219" t="n">
        <v>0</v>
      </c>
      <c r="CJ22" s="219" t="n">
        <v>0</v>
      </c>
      <c r="CK22" s="522" t="n">
        <v>0</v>
      </c>
      <c r="CL22" s="522" t="n">
        <v>0</v>
      </c>
      <c r="CM22" s="522" t="n">
        <v>0</v>
      </c>
      <c r="CN22" s="522" t="n">
        <v>0</v>
      </c>
      <c r="CO22" s="522" t="n">
        <v>0</v>
      </c>
      <c r="CP22" s="219" t="n">
        <v>0</v>
      </c>
      <c r="CQ22" s="522" t="n">
        <v>0</v>
      </c>
      <c r="CR22" s="221" t="inlineStr">
        <is>
          <t>-</t>
        </is>
      </c>
      <c r="CS22" s="219" t="n">
        <v>0</v>
      </c>
      <c r="CT22" s="219" t="n">
        <v>0</v>
      </c>
      <c r="CU22" s="522" t="n">
        <v>0</v>
      </c>
      <c r="CV22" s="522" t="n">
        <v>0</v>
      </c>
      <c r="CW22" s="522" t="n">
        <v>0</v>
      </c>
      <c r="CX22" s="522" t="n">
        <v>0</v>
      </c>
      <c r="CY22" s="522" t="n">
        <v>0</v>
      </c>
      <c r="CZ22" s="219" t="n">
        <v>0</v>
      </c>
      <c r="DA22" s="522" t="n">
        <v>0</v>
      </c>
      <c r="DB22" s="222" t="inlineStr">
        <is>
          <t>-</t>
        </is>
      </c>
      <c r="DC22" s="223" t="n">
        <v>0</v>
      </c>
      <c r="DD22" s="223" t="n">
        <v>0</v>
      </c>
      <c r="DE22" s="523" t="n">
        <v>0</v>
      </c>
      <c r="DF22" s="523" t="n">
        <v>0</v>
      </c>
      <c r="DG22" s="523" t="n">
        <v>0</v>
      </c>
      <c r="DH22" s="523" t="n">
        <v>0</v>
      </c>
      <c r="DI22" s="523" t="n">
        <v>0</v>
      </c>
      <c r="DJ22" s="223" t="n">
        <v>0</v>
      </c>
      <c r="DK22" s="523" t="n">
        <v>0</v>
      </c>
      <c r="DL22" s="222" t="inlineStr">
        <is>
          <t>-</t>
        </is>
      </c>
      <c r="DM22" s="280">
        <f>S22+AC22+AM22+AW22+BG22+BQ22+CA22+CK22+CU22+DE22</f>
        <v/>
      </c>
      <c r="DN22" s="275">
        <f>U22+AE22+AO22+AY22+BI22+BS22+CC22+CM22+CW22+DG22</f>
        <v/>
      </c>
      <c r="DO22" s="222" t="inlineStr">
        <is>
          <t>-</t>
        </is>
      </c>
      <c r="DP22" s="226" t="n">
        <v>0</v>
      </c>
      <c r="DQ22" s="226" t="n">
        <v>0</v>
      </c>
      <c r="DR22" s="288" t="n">
        <v>0</v>
      </c>
      <c r="DS22" s="223" t="n">
        <v>0</v>
      </c>
      <c r="DT22" s="223" t="n">
        <v>0</v>
      </c>
      <c r="DU22" s="223" t="n">
        <v>0</v>
      </c>
      <c r="DV22" s="223" t="n">
        <v>0</v>
      </c>
      <c r="DW22" s="223" t="n">
        <v>0</v>
      </c>
      <c r="DX22" s="223" t="n">
        <v>0</v>
      </c>
      <c r="DY22" s="223" t="n">
        <v>0</v>
      </c>
      <c r="DZ22" s="223" t="n">
        <v>0</v>
      </c>
      <c r="EA22" s="223" t="n">
        <v>0</v>
      </c>
      <c r="EB22" s="222" t="inlineStr">
        <is>
          <t>-</t>
        </is>
      </c>
      <c r="EC22" s="280">
        <f>S22+AC22+AM22+AW22+BG22+BQ22+CA22+CK22+CU22+DE22+DU22</f>
        <v/>
      </c>
      <c r="ED22" s="275">
        <f>U22+AE22+AO22+AY22+BI22+BS22+CC22+CM22+CW22+DG22+DW22</f>
        <v/>
      </c>
      <c r="EE22" s="222" t="inlineStr">
        <is>
          <t>-</t>
        </is>
      </c>
      <c r="EF22" s="226">
        <f>IFERROR((DU22-DE22)/DE22,"-")</f>
        <v/>
      </c>
      <c r="EG22" s="226">
        <f>IFERROR((DW22-DG22)/DG22,"-")</f>
        <v/>
      </c>
      <c r="EH22" s="288">
        <f>IFERROR((DX22-DH22)/DH22,"-")</f>
        <v/>
      </c>
      <c r="EI22" s="222" t="inlineStr">
        <is>
          <t>-</t>
        </is>
      </c>
      <c r="EJ22" s="223" t="n">
        <v>0</v>
      </c>
      <c r="EK22" s="223" t="n">
        <v>0</v>
      </c>
      <c r="EL22" s="223" t="n">
        <v>0</v>
      </c>
      <c r="EM22" s="223" t="n">
        <v>0</v>
      </c>
      <c r="EN22" s="223" t="n">
        <v>0</v>
      </c>
      <c r="EO22" s="223" t="n">
        <v>0</v>
      </c>
      <c r="EP22" s="223" t="n">
        <v>0</v>
      </c>
      <c r="EQ22" s="223" t="n">
        <v>0</v>
      </c>
      <c r="ER22" s="223" t="n">
        <v>0</v>
      </c>
      <c r="ES22" s="222" t="inlineStr">
        <is>
          <t>-</t>
        </is>
      </c>
      <c r="ET22" s="280">
        <f>S22+AC22+AM22+AW22+BG22+BQ22+CA22+CK22+CU22+DE22+DU22+EL22</f>
        <v/>
      </c>
      <c r="EU22" s="275">
        <f>U22+AE22+AO22+AY22+BI22+BS22+CC22+CM22+CW22+DG22+DW22+EN22</f>
        <v/>
      </c>
      <c r="EV22" s="222" t="inlineStr">
        <is>
          <t>-</t>
        </is>
      </c>
      <c r="EW22" s="300">
        <f>IFERROR((EL22-DU22)/DU22,"-")</f>
        <v/>
      </c>
      <c r="EX22" s="293">
        <f>IFERROR((EN22-DW22)/DW22,"-")</f>
        <v/>
      </c>
      <c r="EY22" s="288">
        <f>IFERROR((EO22-DX22)/DX22,"-")</f>
        <v/>
      </c>
    </row>
    <row r="23" hidden="1" outlineLevel="1">
      <c r="A23" s="159" t="inlineStr">
        <is>
          <t>ELSS-Close Ended</t>
        </is>
      </c>
      <c r="B23" s="160" t="inlineStr">
        <is>
          <t>Growth/Equity Oriented Schemes</t>
        </is>
      </c>
      <c r="C23" s="160" t="inlineStr">
        <is>
          <t>Close Ended Schemes</t>
        </is>
      </c>
      <c r="D23" s="160" t="inlineStr">
        <is>
          <t>Equity</t>
        </is>
      </c>
      <c r="E23" s="160" t="inlineStr">
        <is>
          <t>Equity</t>
        </is>
      </c>
      <c r="F23" s="160" t="inlineStr">
        <is>
          <t>Active Equity (incl Hybrid)</t>
        </is>
      </c>
      <c r="G23" s="416" t="n"/>
      <c r="H23" s="416" t="n"/>
      <c r="I23" s="416" t="n"/>
      <c r="J23" s="416" t="n"/>
      <c r="K23" s="416">
        <f>IF(OR(I23="",J23=""),"",I23-J23)</f>
        <v/>
      </c>
      <c r="L23" s="161" t="n">
        <v>4034.52047105</v>
      </c>
      <c r="M23" s="161" t="n">
        <v>3977.88973982</v>
      </c>
      <c r="N23" s="416" t="n"/>
      <c r="O23" s="416" t="n"/>
      <c r="P23" s="162" t="inlineStr">
        <is>
          <t>-</t>
        </is>
      </c>
      <c r="Q23" s="219" t="n">
        <v>15</v>
      </c>
      <c r="R23" s="219" t="n">
        <v>258637</v>
      </c>
      <c r="S23" s="522" t="n">
        <v>0</v>
      </c>
      <c r="T23" s="522" t="n">
        <v>15.59950497</v>
      </c>
      <c r="U23" s="522" t="n">
        <v>-15.59950497</v>
      </c>
      <c r="V23" s="522" t="n">
        <v>4174.27769669</v>
      </c>
      <c r="W23" s="522" t="n">
        <v>4052.95072268</v>
      </c>
      <c r="X23" s="219" t="n">
        <v>0</v>
      </c>
      <c r="Y23" s="522" t="n">
        <v>0</v>
      </c>
      <c r="Z23" s="221" t="inlineStr">
        <is>
          <t>-</t>
        </is>
      </c>
      <c r="AA23" s="219" t="n">
        <v>15</v>
      </c>
      <c r="AB23" s="219" t="n">
        <v>257771</v>
      </c>
      <c r="AC23" s="522" t="n">
        <v>0</v>
      </c>
      <c r="AD23" s="522" t="n">
        <v>18.56376859</v>
      </c>
      <c r="AE23" s="522" t="n">
        <v>-18.56376859</v>
      </c>
      <c r="AF23" s="522" t="n">
        <v>4272.93528475</v>
      </c>
      <c r="AG23" s="522" t="n">
        <v>4227.20016899</v>
      </c>
      <c r="AH23" s="219" t="n">
        <v>0</v>
      </c>
      <c r="AI23" s="522" t="n">
        <v>0</v>
      </c>
      <c r="AJ23" s="221" t="inlineStr">
        <is>
          <t>-</t>
        </is>
      </c>
      <c r="AK23" s="219" t="n">
        <v>15</v>
      </c>
      <c r="AL23" s="219" t="n">
        <v>256846</v>
      </c>
      <c r="AM23" s="522" t="n">
        <v>0</v>
      </c>
      <c r="AN23" s="522" t="n">
        <v>19.11820733</v>
      </c>
      <c r="AO23" s="522" t="n">
        <v>-19.11820733</v>
      </c>
      <c r="AP23" s="522" t="n">
        <v>4398.63994305</v>
      </c>
      <c r="AQ23" s="522" t="n">
        <v>4324.40884125</v>
      </c>
      <c r="AR23" s="219" t="n">
        <v>0</v>
      </c>
      <c r="AS23" s="522" t="n">
        <v>0</v>
      </c>
      <c r="AT23" s="221" t="inlineStr">
        <is>
          <t>-</t>
        </is>
      </c>
      <c r="AU23" s="219" t="n">
        <v>15</v>
      </c>
      <c r="AV23" s="219" t="n">
        <v>255907</v>
      </c>
      <c r="AW23" s="522" t="n">
        <v>0</v>
      </c>
      <c r="AX23" s="522" t="n">
        <v>29.72439492</v>
      </c>
      <c r="AY23" s="522" t="n">
        <v>-29.72439492</v>
      </c>
      <c r="AZ23" s="522" t="n">
        <v>4275.53242953</v>
      </c>
      <c r="BA23" s="522" t="n">
        <v>4342.10802603</v>
      </c>
      <c r="BB23" s="219" t="n">
        <v>0</v>
      </c>
      <c r="BC23" s="522" t="n">
        <v>0</v>
      </c>
      <c r="BD23" s="221" t="inlineStr">
        <is>
          <t>-</t>
        </is>
      </c>
      <c r="BE23" s="219" t="n">
        <v>15</v>
      </c>
      <c r="BF23" s="219" t="n">
        <v>255243</v>
      </c>
      <c r="BG23" s="522" t="n">
        <v>0</v>
      </c>
      <c r="BH23" s="522" t="n">
        <v>13.04429965</v>
      </c>
      <c r="BI23" s="522" t="n">
        <v>-13.04429965</v>
      </c>
      <c r="BJ23" s="522" t="n">
        <v>4219.15559474</v>
      </c>
      <c r="BK23" s="522" t="n">
        <v>4244.9541176</v>
      </c>
      <c r="BL23" s="219" t="n">
        <v>0</v>
      </c>
      <c r="BM23" s="522" t="n">
        <v>0</v>
      </c>
      <c r="BN23" s="221" t="inlineStr">
        <is>
          <t>-</t>
        </is>
      </c>
      <c r="BO23" s="219" t="n">
        <v>15</v>
      </c>
      <c r="BP23" s="219" t="n">
        <v>254488</v>
      </c>
      <c r="BQ23" s="522" t="n">
        <v>0</v>
      </c>
      <c r="BR23" s="522" t="n">
        <v>16.9167851</v>
      </c>
      <c r="BS23" s="522" t="n">
        <v>-16.9167851</v>
      </c>
      <c r="BT23" s="522" t="n">
        <v>4230.78224108</v>
      </c>
      <c r="BU23" s="522" t="n">
        <v>4297.06785736</v>
      </c>
      <c r="BV23" s="219" t="n">
        <v>0</v>
      </c>
      <c r="BW23" s="522" t="n">
        <v>0</v>
      </c>
      <c r="BX23" s="221" t="inlineStr">
        <is>
          <t>-</t>
        </is>
      </c>
      <c r="BY23" s="219" t="n">
        <v>15</v>
      </c>
      <c r="BZ23" s="219" t="n">
        <v>253748</v>
      </c>
      <c r="CA23" s="522" t="n">
        <v>0</v>
      </c>
      <c r="CB23" s="522" t="n">
        <v>18.71692779</v>
      </c>
      <c r="CC23" s="522" t="n">
        <v>-18.71692779</v>
      </c>
      <c r="CD23" s="522" t="n">
        <v>4346.99072433</v>
      </c>
      <c r="CE23" s="522" t="n">
        <v>4332.37772443</v>
      </c>
      <c r="CF23" s="219" t="n">
        <v>0</v>
      </c>
      <c r="CG23" s="522" t="n">
        <v>0</v>
      </c>
      <c r="CH23" s="221" t="inlineStr">
        <is>
          <t>-</t>
        </is>
      </c>
      <c r="CI23" s="219" t="n">
        <v>15</v>
      </c>
      <c r="CJ23" s="219" t="n">
        <v>252978</v>
      </c>
      <c r="CK23" s="522" t="n">
        <v>0</v>
      </c>
      <c r="CL23" s="522" t="n">
        <v>17.43727756</v>
      </c>
      <c r="CM23" s="522" t="n">
        <v>-17.43727756</v>
      </c>
      <c r="CN23" s="522" t="n">
        <v>4370.84697197</v>
      </c>
      <c r="CO23" s="522" t="n">
        <v>4347.75997224</v>
      </c>
      <c r="CP23" s="219" t="n">
        <v>0</v>
      </c>
      <c r="CQ23" s="522" t="n">
        <v>0</v>
      </c>
      <c r="CR23" s="221" t="inlineStr">
        <is>
          <t>-</t>
        </is>
      </c>
      <c r="CS23" s="219" t="n">
        <v>15</v>
      </c>
      <c r="CT23" s="219" t="n">
        <v>252071</v>
      </c>
      <c r="CU23" s="522" t="n">
        <v>0</v>
      </c>
      <c r="CV23" s="522" t="n">
        <v>19.2519785</v>
      </c>
      <c r="CW23" s="522" t="n">
        <v>-19.2519785</v>
      </c>
      <c r="CX23" s="522" t="n">
        <v>4342.88181702</v>
      </c>
      <c r="CY23" s="522" t="n">
        <v>4334.93113556</v>
      </c>
      <c r="CZ23" s="219" t="n">
        <v>0</v>
      </c>
      <c r="DA23" s="522" t="n">
        <v>0</v>
      </c>
      <c r="DB23" s="222" t="inlineStr">
        <is>
          <t>-</t>
        </is>
      </c>
      <c r="DC23" s="223" t="n">
        <v>15</v>
      </c>
      <c r="DD23" s="223" t="n">
        <v>251406</v>
      </c>
      <c r="DE23" s="523" t="n">
        <v>0</v>
      </c>
      <c r="DF23" s="523" t="n">
        <v>15.42499496</v>
      </c>
      <c r="DG23" s="523" t="n">
        <v>-15.42499496</v>
      </c>
      <c r="DH23" s="523" t="n">
        <v>4196.2202252</v>
      </c>
      <c r="DI23" s="523" t="n">
        <v>4258.50841021</v>
      </c>
      <c r="DJ23" s="223" t="n">
        <v>0</v>
      </c>
      <c r="DK23" s="523" t="n">
        <v>0</v>
      </c>
      <c r="DL23" s="222" t="inlineStr">
        <is>
          <t>-</t>
        </is>
      </c>
      <c r="DM23" s="280">
        <f>S23+AC23+AM23+AW23+BG23+BQ23+CA23+CK23+CU23+DE23</f>
        <v/>
      </c>
      <c r="DN23" s="275">
        <f>U23+AE23+AO23+AY23+BI23+BS23+CC23+CM23+CW23+DG23</f>
        <v/>
      </c>
      <c r="DO23" s="222" t="inlineStr">
        <is>
          <t>-</t>
        </is>
      </c>
      <c r="DP23" s="226" t="n">
        <v>0</v>
      </c>
      <c r="DQ23" s="226">
        <f>IFERROR((DG23-CW23)/CW23,"-")</f>
        <v/>
      </c>
      <c r="DR23" s="288">
        <f>IFERROR((DH23-CX23)/CX23,"-")</f>
        <v/>
      </c>
      <c r="DS23" s="223" t="n">
        <v>15</v>
      </c>
      <c r="DT23" s="223" t="n">
        <v>250763</v>
      </c>
      <c r="DU23" s="223" t="n">
        <v>0</v>
      </c>
      <c r="DV23" s="223" t="n">
        <v>12.83644734</v>
      </c>
      <c r="DW23" s="223" t="n">
        <v>-12.83644734</v>
      </c>
      <c r="DX23" s="223" t="n">
        <v>4153.95103196</v>
      </c>
      <c r="DY23" s="223" t="n">
        <v>4220.39956638</v>
      </c>
      <c r="DZ23" s="223" t="n">
        <v>0</v>
      </c>
      <c r="EA23" s="223" t="n">
        <v>0</v>
      </c>
      <c r="EB23" s="222" t="inlineStr">
        <is>
          <t>-</t>
        </is>
      </c>
      <c r="EC23" s="280">
        <f>S23+AC23+AM23+AW23+BG23+BQ23+CA23+CK23+CU23+DE23+DU23</f>
        <v/>
      </c>
      <c r="ED23" s="275">
        <f>U23+AE23+AO23+AY23+BI23+BS23+CC23+CM23+CW23+DG23+DW23</f>
        <v/>
      </c>
      <c r="EE23" s="222" t="inlineStr">
        <is>
          <t>-</t>
        </is>
      </c>
      <c r="EF23" s="226">
        <f>IFERROR((DU23-DE23)/DE23,"-")</f>
        <v/>
      </c>
      <c r="EG23" s="226">
        <f>IFERROR((DW23-DG23)/DG23,"-")</f>
        <v/>
      </c>
      <c r="EH23" s="288">
        <f>IFERROR((DX23-DH23)/DH23,"-")</f>
        <v/>
      </c>
      <c r="EI23" s="222" t="inlineStr">
        <is>
          <t>-</t>
        </is>
      </c>
      <c r="EJ23" s="223" t="n">
        <v>13</v>
      </c>
      <c r="EK23" s="223" t="n">
        <v>247165</v>
      </c>
      <c r="EL23" s="223" t="n">
        <v>0</v>
      </c>
      <c r="EM23" s="223" t="n">
        <v>84.29400919</v>
      </c>
      <c r="EN23" s="223" t="n">
        <v>-84.29400919</v>
      </c>
      <c r="EO23" s="223" t="n">
        <v>3558.35657228</v>
      </c>
      <c r="EP23" s="223" t="n">
        <v>3868.16075451</v>
      </c>
      <c r="EQ23" s="223" t="inlineStr">
        <is>
          <t>-</t>
        </is>
      </c>
      <c r="ER23" s="223" t="inlineStr">
        <is>
          <t>-</t>
        </is>
      </c>
      <c r="ES23" s="222" t="inlineStr">
        <is>
          <t>-</t>
        </is>
      </c>
      <c r="ET23" s="280">
        <f>S23+AC23+AM23+AW23+BG23+BQ23+CA23+CK23+CU23+DE23+DU23+EL23</f>
        <v/>
      </c>
      <c r="EU23" s="275">
        <f>U23+AE23+AO23+AY23+BI23+BS23+CC23+CM23+CW23+DG23+DW23+EN23</f>
        <v/>
      </c>
      <c r="EV23" s="222" t="inlineStr">
        <is>
          <t>-</t>
        </is>
      </c>
      <c r="EW23" s="300">
        <f>IFERROR((EL23-DU23)/DU23,"-")</f>
        <v/>
      </c>
      <c r="EX23" s="293">
        <f>IFERROR((EN23-DW23)/DW23,"-")</f>
        <v/>
      </c>
      <c r="EY23" s="288">
        <f>IFERROR((EO23-DX23)/DX23,"-")</f>
        <v/>
      </c>
    </row>
    <row r="24" hidden="1" outlineLevel="1">
      <c r="A24" s="181" t="inlineStr">
        <is>
          <t>ELSS</t>
        </is>
      </c>
      <c r="B24" s="182" t="inlineStr">
        <is>
          <t>Growth/Equity Oriented Schemes</t>
        </is>
      </c>
      <c r="C24" s="182" t="inlineStr">
        <is>
          <t>Open ended Schemes</t>
        </is>
      </c>
      <c r="D24" s="182" t="inlineStr">
        <is>
          <t>Equity</t>
        </is>
      </c>
      <c r="E24" s="182" t="inlineStr">
        <is>
          <t>Equity</t>
        </is>
      </c>
      <c r="F24" s="182" t="inlineStr">
        <is>
          <t>Active Equity (incl Hybrid)</t>
        </is>
      </c>
      <c r="G24" s="421" t="n"/>
      <c r="H24" s="421" t="n"/>
      <c r="I24" s="421" t="n"/>
      <c r="J24" s="421" t="n"/>
      <c r="K24" s="421">
        <f>IF(OR(I24="",J24=""),"",I24-J24)</f>
        <v/>
      </c>
      <c r="L24" s="183" t="n">
        <v>232245.47352176</v>
      </c>
      <c r="M24" s="183" t="n">
        <v>225225.53399371</v>
      </c>
      <c r="N24" s="421" t="n"/>
      <c r="O24" s="421" t="n"/>
      <c r="P24" s="184" t="inlineStr">
        <is>
          <t>-</t>
        </is>
      </c>
      <c r="Q24" s="232" t="n">
        <v>43</v>
      </c>
      <c r="R24" s="232" t="n">
        <v>16974967</v>
      </c>
      <c r="S24" s="528" t="n">
        <v>1642.78456575</v>
      </c>
      <c r="T24" s="528" t="n">
        <v>2014.78414113</v>
      </c>
      <c r="U24" s="528" t="n">
        <v>-371.99957538</v>
      </c>
      <c r="V24" s="528" t="n">
        <v>239050.61797095</v>
      </c>
      <c r="W24" s="528" t="n">
        <v>232312.33257764</v>
      </c>
      <c r="X24" s="232" t="n">
        <v>0</v>
      </c>
      <c r="Y24" s="528" t="n">
        <v>0</v>
      </c>
      <c r="Z24" s="234" t="inlineStr">
        <is>
          <t>-</t>
        </is>
      </c>
      <c r="AA24" s="232" t="n">
        <v>43</v>
      </c>
      <c r="AB24" s="232" t="n">
        <v>16919934</v>
      </c>
      <c r="AC24" s="528" t="n">
        <v>1443.58951561</v>
      </c>
      <c r="AD24" s="528" t="n">
        <v>2121.69519732</v>
      </c>
      <c r="AE24" s="528" t="n">
        <v>-678.10568171</v>
      </c>
      <c r="AF24" s="528" t="n">
        <v>246293.04875092</v>
      </c>
      <c r="AG24" s="528" t="n">
        <v>242700.54945635</v>
      </c>
      <c r="AH24" s="232" t="n">
        <v>0</v>
      </c>
      <c r="AI24" s="528" t="n">
        <v>0</v>
      </c>
      <c r="AJ24" s="234" t="inlineStr">
        <is>
          <t>-</t>
        </is>
      </c>
      <c r="AK24" s="232" t="n">
        <v>43</v>
      </c>
      <c r="AL24" s="232" t="n">
        <v>16894182</v>
      </c>
      <c r="AM24" s="528" t="n">
        <v>1553.64328641</v>
      </c>
      <c r="AN24" s="528" t="n">
        <v>2109.75540392</v>
      </c>
      <c r="AO24" s="528" t="n">
        <v>-556.11211751</v>
      </c>
      <c r="AP24" s="528" t="n">
        <v>253585.36145215</v>
      </c>
      <c r="AQ24" s="528" t="n">
        <v>249033.12964922</v>
      </c>
      <c r="AR24" s="232" t="n">
        <v>0</v>
      </c>
      <c r="AS24" s="528" t="n">
        <v>0</v>
      </c>
      <c r="AT24" s="234" t="inlineStr">
        <is>
          <t>-</t>
        </is>
      </c>
      <c r="AU24" s="232" t="n">
        <v>43</v>
      </c>
      <c r="AV24" s="232" t="n">
        <v>16873721</v>
      </c>
      <c r="AW24" s="528" t="n">
        <v>1662.73946106</v>
      </c>
      <c r="AX24" s="528" t="n">
        <v>2030.92329017</v>
      </c>
      <c r="AY24" s="528" t="n">
        <v>-368.183829109999</v>
      </c>
      <c r="AZ24" s="528" t="n">
        <v>248202.51751418</v>
      </c>
      <c r="BA24" s="528" t="n">
        <v>251295.46809794</v>
      </c>
      <c r="BB24" s="232" t="n">
        <v>0</v>
      </c>
      <c r="BC24" s="528" t="n">
        <v>0</v>
      </c>
      <c r="BD24" s="234" t="inlineStr">
        <is>
          <t>-</t>
        </is>
      </c>
      <c r="BE24" s="232" t="n">
        <v>43</v>
      </c>
      <c r="BF24" s="232" t="n">
        <v>16859956</v>
      </c>
      <c r="BG24" s="528" t="n">
        <v>1522.40709039</v>
      </c>
      <c r="BH24" s="528" t="n">
        <v>1463.25314019</v>
      </c>
      <c r="BI24" s="528" t="n">
        <v>59.1539501999987</v>
      </c>
      <c r="BJ24" s="528" t="n">
        <v>243981.85512636</v>
      </c>
      <c r="BK24" s="528" t="n">
        <v>246466.97808493</v>
      </c>
      <c r="BL24" s="232" t="n">
        <v>0</v>
      </c>
      <c r="BM24" s="528" t="n">
        <v>0</v>
      </c>
      <c r="BN24" s="234" t="inlineStr">
        <is>
          <t>-</t>
        </is>
      </c>
      <c r="BO24" s="232" t="n">
        <v>42</v>
      </c>
      <c r="BP24" s="232" t="n">
        <v>16690290</v>
      </c>
      <c r="BQ24" s="528" t="n">
        <v>1554.06147555</v>
      </c>
      <c r="BR24" s="528" t="n">
        <v>1861.98514569</v>
      </c>
      <c r="BS24" s="528" t="n">
        <v>-307.92367014</v>
      </c>
      <c r="BT24" s="528" t="n">
        <v>244774.58314408</v>
      </c>
      <c r="BU24" s="528" t="n">
        <v>248332.09422744</v>
      </c>
      <c r="BV24" s="232" t="n">
        <v>0</v>
      </c>
      <c r="BW24" s="528" t="n">
        <v>0</v>
      </c>
      <c r="BX24" s="234" t="inlineStr">
        <is>
          <t>-</t>
        </is>
      </c>
      <c r="BY24" s="232" t="n">
        <v>42</v>
      </c>
      <c r="BZ24" s="232" t="n">
        <v>16644818</v>
      </c>
      <c r="CA24" s="528" t="n">
        <v>1376.30365988</v>
      </c>
      <c r="CB24" s="528" t="n">
        <v>2041.96044137</v>
      </c>
      <c r="CC24" s="528" t="n">
        <v>-665.656781489999</v>
      </c>
      <c r="CD24" s="528" t="n">
        <v>253264.08520251</v>
      </c>
      <c r="CE24" s="528" t="n">
        <v>251624.33816865</v>
      </c>
      <c r="CF24" s="232" t="n">
        <v>0</v>
      </c>
      <c r="CG24" s="528" t="n">
        <v>0</v>
      </c>
      <c r="CH24" s="234" t="inlineStr">
        <is>
          <t>-</t>
        </is>
      </c>
      <c r="CI24" s="232" t="n">
        <v>42</v>
      </c>
      <c r="CJ24" s="232" t="n">
        <v>16604897</v>
      </c>
      <c r="CK24" s="528" t="n">
        <v>1337.41564218</v>
      </c>
      <c r="CL24" s="528" t="n">
        <v>1907.58508131</v>
      </c>
      <c r="CM24" s="528" t="n">
        <v>-570.169439130001</v>
      </c>
      <c r="CN24" s="528" t="n">
        <v>254888.1650797</v>
      </c>
      <c r="CO24" s="528" t="n">
        <v>253628.44893611</v>
      </c>
      <c r="CP24" s="232" t="n">
        <v>0</v>
      </c>
      <c r="CQ24" s="528" t="n">
        <v>0</v>
      </c>
      <c r="CR24" s="234" t="inlineStr">
        <is>
          <t>-</t>
        </is>
      </c>
      <c r="CS24" s="232" t="n">
        <v>42</v>
      </c>
      <c r="CT24" s="232" t="n">
        <v>16556812</v>
      </c>
      <c r="CU24" s="528" t="n">
        <v>1431.58915486</v>
      </c>
      <c r="CV24" s="528" t="n">
        <v>2149.31924807</v>
      </c>
      <c r="CW24" s="528" t="n">
        <v>-717.730093209999</v>
      </c>
      <c r="CX24" s="528" t="n">
        <v>252700.00898265</v>
      </c>
      <c r="CY24" s="528" t="n">
        <v>252252.97371015</v>
      </c>
      <c r="CZ24" s="232" t="n">
        <v>0</v>
      </c>
      <c r="DA24" s="528" t="n">
        <v>0</v>
      </c>
      <c r="DB24" s="235" t="inlineStr">
        <is>
          <t>-</t>
        </is>
      </c>
      <c r="DC24" s="236" t="n">
        <v>41</v>
      </c>
      <c r="DD24" s="236" t="n">
        <v>16501822</v>
      </c>
      <c r="DE24" s="529" t="n">
        <v>1479.04627239</v>
      </c>
      <c r="DF24" s="529" t="n">
        <v>2072.73877664</v>
      </c>
      <c r="DG24" s="529" t="n">
        <v>-593.692504250002</v>
      </c>
      <c r="DH24" s="529" t="n">
        <v>244287.63750869</v>
      </c>
      <c r="DI24" s="529" t="n">
        <v>247617.18099026</v>
      </c>
      <c r="DJ24" s="236" t="n">
        <v>0</v>
      </c>
      <c r="DK24" s="529" t="n">
        <v>0</v>
      </c>
      <c r="DL24" s="235" t="inlineStr">
        <is>
          <t>-</t>
        </is>
      </c>
      <c r="DM24" s="281">
        <f>S24+AC24+AM24+AW24+BG24+BQ24+CA24+CK24+CU24+DE24</f>
        <v/>
      </c>
      <c r="DN24" s="286">
        <f>U24+AE24+AO24+AY24+BI24+BS24+CC24+CM24+CW24+DG24</f>
        <v/>
      </c>
      <c r="DO24" s="235" t="inlineStr">
        <is>
          <t>-</t>
        </is>
      </c>
      <c r="DP24" s="238">
        <f>IFERROR((DE24-CU24)/CU24,"-")</f>
        <v/>
      </c>
      <c r="DQ24" s="238">
        <f>IFERROR((DG24-CW24)/CW24,"-")</f>
        <v/>
      </c>
      <c r="DR24" s="290">
        <f>IFERROR((DH24-CX24)/CX24,"-")</f>
        <v/>
      </c>
      <c r="DS24" s="236" t="n">
        <v>41</v>
      </c>
      <c r="DT24" s="236" t="n">
        <v>16468213</v>
      </c>
      <c r="DU24" s="236" t="n">
        <v>1295.0442957</v>
      </c>
      <c r="DV24" s="236" t="n">
        <v>1945.06904814</v>
      </c>
      <c r="DW24" s="236" t="n">
        <v>-650.024752439997</v>
      </c>
      <c r="DX24" s="236" t="n">
        <v>245351.53695811</v>
      </c>
      <c r="DY24" s="236" t="n">
        <v>248089.14493479</v>
      </c>
      <c r="DZ24" s="236" t="n">
        <v>0</v>
      </c>
      <c r="EA24" s="236" t="n">
        <v>0</v>
      </c>
      <c r="EB24" s="235" t="inlineStr">
        <is>
          <t>-</t>
        </is>
      </c>
      <c r="EC24" s="281">
        <f>S24+AC24+AM24+AW24+BG24+BQ24+CA24+CK24+CU24+DE24+DU24</f>
        <v/>
      </c>
      <c r="ED24" s="286">
        <f>U24+AE24+AO24+AY24+BI24+BS24+CC24+CM24+CW24+DG24+DW24</f>
        <v/>
      </c>
      <c r="EE24" s="235" t="inlineStr">
        <is>
          <t>-</t>
        </is>
      </c>
      <c r="EF24" s="238">
        <f>IFERROR((DU24-DE24)/DE24,"-")</f>
        <v/>
      </c>
      <c r="EG24" s="238">
        <f>IFERROR((DW24-DG24)/DG24,"-")</f>
        <v/>
      </c>
      <c r="EH24" s="290">
        <f>IFERROR((DX24-DH24)/DH24,"-")</f>
        <v/>
      </c>
      <c r="EI24" s="235" t="inlineStr">
        <is>
          <t>-</t>
        </is>
      </c>
      <c r="EJ24" s="236" t="n">
        <v>41</v>
      </c>
      <c r="EK24" s="236" t="n">
        <v>16433567</v>
      </c>
      <c r="EL24" s="236" t="n">
        <v>1599.27087106</v>
      </c>
      <c r="EM24" s="236" t="n">
        <v>2036.60798894</v>
      </c>
      <c r="EN24" s="236" t="n">
        <v>-437.337117880004</v>
      </c>
      <c r="EO24" s="236" t="n">
        <v>217309.84288677</v>
      </c>
      <c r="EP24" s="236" t="n">
        <v>229714.69127558</v>
      </c>
      <c r="EQ24" s="236" t="n">
        <v>0</v>
      </c>
      <c r="ER24" s="236" t="n">
        <v>0</v>
      </c>
      <c r="ES24" s="235" t="inlineStr">
        <is>
          <t>-</t>
        </is>
      </c>
      <c r="ET24" s="281">
        <f>S24+AC24+AM24+AW24+BG24+BQ24+CA24+CK24+CU24+DE24+DU24+EL24</f>
        <v/>
      </c>
      <c r="EU24" s="286">
        <f>U24+AE24+AO24+AY24+BI24+BS24+CC24+CM24+CW24+DG24+DW24+EN24</f>
        <v/>
      </c>
      <c r="EV24" s="235" t="inlineStr">
        <is>
          <t>-</t>
        </is>
      </c>
      <c r="EW24" s="302">
        <f>IFERROR((EL24-DU24)/DU24,"-")</f>
        <v/>
      </c>
      <c r="EX24" s="295">
        <f>IFERROR((EN24-DW24)/DW24,"-")</f>
        <v/>
      </c>
      <c r="EY24" s="290">
        <f>IFERROR((EO24-DX24)/DX24,"-")</f>
        <v/>
      </c>
    </row>
    <row r="25">
      <c r="A25" s="165" t="inlineStr">
        <is>
          <t>Total for Active Equity (incl Hybrid)</t>
        </is>
      </c>
      <c r="B25" s="194" t="n"/>
      <c r="C25" s="194" t="n"/>
      <c r="D25" s="194" t="n"/>
      <c r="E25" s="194" t="n"/>
      <c r="F25" s="194" t="n"/>
      <c r="G25" s="417">
        <f>SUM(G5:G24)</f>
        <v/>
      </c>
      <c r="H25" s="417">
        <f>SUM(H5:H24)</f>
        <v/>
      </c>
      <c r="I25" s="417">
        <f>SUM(I5:I24)</f>
        <v/>
      </c>
      <c r="J25" s="417">
        <f>SUM(J5:J24)</f>
        <v/>
      </c>
      <c r="K25" s="417">
        <f>SUM(K5:K24)</f>
        <v/>
      </c>
      <c r="L25" s="167">
        <f>SUM(L5:L24)</f>
        <v/>
      </c>
      <c r="M25" s="167">
        <f>SUM(M5:M24)</f>
        <v/>
      </c>
      <c r="N25" s="417">
        <f>SUM(N5:N24)</f>
        <v/>
      </c>
      <c r="O25" s="417">
        <f>SUM(O5:O24)</f>
        <v/>
      </c>
      <c r="P25" s="168" t="n"/>
      <c r="Q25" s="239">
        <f>SUM(Q5:Q24)</f>
        <v/>
      </c>
      <c r="R25" s="239">
        <f>SUM(R5:R24)</f>
        <v/>
      </c>
      <c r="S25" s="239">
        <f>SUM(S5:S24)</f>
        <v/>
      </c>
      <c r="T25" s="239">
        <f>SUM(T5:T24)</f>
        <v/>
      </c>
      <c r="U25" s="239">
        <f>SUM(U5:U24)</f>
        <v/>
      </c>
      <c r="V25" s="239">
        <f>SUM(V5:V24)</f>
        <v/>
      </c>
      <c r="W25" s="239">
        <f>SUM(W5:W24)</f>
        <v/>
      </c>
      <c r="X25" s="239">
        <f>SUM(X5:X24)</f>
        <v/>
      </c>
      <c r="Y25" s="239">
        <f>SUM(Y5:Y24)</f>
        <v/>
      </c>
      <c r="Z25" s="240" t="n"/>
      <c r="AA25" s="239">
        <f>SUM(AA5:AA24)</f>
        <v/>
      </c>
      <c r="AB25" s="239">
        <f>SUM(AB5:AB24)</f>
        <v/>
      </c>
      <c r="AC25" s="239">
        <f>SUM(AC5:AC24)</f>
        <v/>
      </c>
      <c r="AD25" s="239">
        <f>SUM(AD5:AD24)</f>
        <v/>
      </c>
      <c r="AE25" s="239">
        <f>SUM(AE5:AE24)</f>
        <v/>
      </c>
      <c r="AF25" s="239">
        <f>SUM(AF5:AF24)</f>
        <v/>
      </c>
      <c r="AG25" s="239">
        <f>SUM(AG5:AG24)</f>
        <v/>
      </c>
      <c r="AH25" s="239">
        <f>SUM(AH5:AH24)</f>
        <v/>
      </c>
      <c r="AI25" s="239">
        <f>SUM(AI5:AI24)</f>
        <v/>
      </c>
      <c r="AJ25" s="240" t="n"/>
      <c r="AK25" s="239">
        <f>SUM(AK5:AK24)</f>
        <v/>
      </c>
      <c r="AL25" s="239">
        <f>SUM(AL5:AL24)</f>
        <v/>
      </c>
      <c r="AM25" s="239">
        <f>SUM(AM5:AM24)</f>
        <v/>
      </c>
      <c r="AN25" s="239">
        <f>SUM(AN5:AN24)</f>
        <v/>
      </c>
      <c r="AO25" s="239">
        <f>SUM(AO5:AO24)</f>
        <v/>
      </c>
      <c r="AP25" s="239">
        <f>SUM(AP5:AP24)</f>
        <v/>
      </c>
      <c r="AQ25" s="239">
        <f>SUM(AQ5:AQ24)</f>
        <v/>
      </c>
      <c r="AR25" s="239">
        <f>SUM(AR5:AR24)</f>
        <v/>
      </c>
      <c r="AS25" s="239">
        <f>SUM(AS5:AS24)</f>
        <v/>
      </c>
      <c r="AT25" s="240" t="n"/>
      <c r="AU25" s="239">
        <f>SUM(AU5:AU24)</f>
        <v/>
      </c>
      <c r="AV25" s="239">
        <f>SUM(AV5:AV24)</f>
        <v/>
      </c>
      <c r="AW25" s="239">
        <f>SUM(AW5:AW24)</f>
        <v/>
      </c>
      <c r="AX25" s="239">
        <f>SUM(AX5:AX24)</f>
        <v/>
      </c>
      <c r="AY25" s="239">
        <f>SUM(AY5:AY24)</f>
        <v/>
      </c>
      <c r="AZ25" s="239">
        <f>SUM(AZ5:AZ24)</f>
        <v/>
      </c>
      <c r="BA25" s="239">
        <f>SUM(BA5:BA24)</f>
        <v/>
      </c>
      <c r="BB25" s="239">
        <f>SUM(BB5:BB24)</f>
        <v/>
      </c>
      <c r="BC25" s="239">
        <f>SUM(BC5:BC24)</f>
        <v/>
      </c>
      <c r="BD25" s="240" t="n"/>
      <c r="BE25" s="239">
        <f>SUM(BE5:BE24)</f>
        <v/>
      </c>
      <c r="BF25" s="239">
        <f>SUM(BF5:BF24)</f>
        <v/>
      </c>
      <c r="BG25" s="239">
        <f>SUM(BG5:BG24)</f>
        <v/>
      </c>
      <c r="BH25" s="239">
        <f>SUM(BH5:BH24)</f>
        <v/>
      </c>
      <c r="BI25" s="239">
        <f>SUM(BI5:BI24)</f>
        <v/>
      </c>
      <c r="BJ25" s="239">
        <f>SUM(BJ5:BJ24)</f>
        <v/>
      </c>
      <c r="BK25" s="239">
        <f>SUM(BK5:BK24)</f>
        <v/>
      </c>
      <c r="BL25" s="239">
        <f>SUM(BL5:BL24)</f>
        <v/>
      </c>
      <c r="BM25" s="239">
        <f>SUM(BM5:BM24)</f>
        <v/>
      </c>
      <c r="BN25" s="240" t="n"/>
      <c r="BO25" s="239">
        <f>SUM(BO5:BO24)</f>
        <v/>
      </c>
      <c r="BP25" s="239">
        <f>SUM(BP5:BP24)</f>
        <v/>
      </c>
      <c r="BQ25" s="239">
        <f>SUM(BQ5:BQ24)</f>
        <v/>
      </c>
      <c r="BR25" s="239">
        <f>SUM(BR5:BR24)</f>
        <v/>
      </c>
      <c r="BS25" s="239">
        <f>SUM(BS5:BS24)</f>
        <v/>
      </c>
      <c r="BT25" s="239">
        <f>SUM(BT5:BT24)</f>
        <v/>
      </c>
      <c r="BU25" s="239">
        <f>SUM(BU5:BU24)</f>
        <v/>
      </c>
      <c r="BV25" s="239">
        <f>SUM(BV5:BV24)</f>
        <v/>
      </c>
      <c r="BW25" s="239">
        <f>SUM(BW5:BW24)</f>
        <v/>
      </c>
      <c r="BX25" s="240" t="n"/>
      <c r="BY25" s="239">
        <f>SUM(BY5:BY24)</f>
        <v/>
      </c>
      <c r="BZ25" s="239">
        <f>SUM(BZ5:BZ24)</f>
        <v/>
      </c>
      <c r="CA25" s="239">
        <f>SUM(CA5:CA24)</f>
        <v/>
      </c>
      <c r="CB25" s="239">
        <f>SUM(CB5:CB24)</f>
        <v/>
      </c>
      <c r="CC25" s="239">
        <f>SUM(CC5:CC24)</f>
        <v/>
      </c>
      <c r="CD25" s="239">
        <f>SUM(CD5:CD24)</f>
        <v/>
      </c>
      <c r="CE25" s="239">
        <f>SUM(CE5:CE24)</f>
        <v/>
      </c>
      <c r="CF25" s="239">
        <f>SUM(CF5:CF24)</f>
        <v/>
      </c>
      <c r="CG25" s="239">
        <f>SUM(CG5:CG24)</f>
        <v/>
      </c>
      <c r="CH25" s="240" t="n"/>
      <c r="CI25" s="239">
        <f>SUM(CI5:CI24)</f>
        <v/>
      </c>
      <c r="CJ25" s="239">
        <f>SUM(CJ5:CJ24)</f>
        <v/>
      </c>
      <c r="CK25" s="239">
        <f>SUM(CK5:CK24)</f>
        <v/>
      </c>
      <c r="CL25" s="239">
        <f>SUM(CL5:CL24)</f>
        <v/>
      </c>
      <c r="CM25" s="239">
        <f>SUM(CM5:CM24)</f>
        <v/>
      </c>
      <c r="CN25" s="239">
        <f>SUM(CN5:CN24)</f>
        <v/>
      </c>
      <c r="CO25" s="239">
        <f>SUM(CO5:CO24)</f>
        <v/>
      </c>
      <c r="CP25" s="239">
        <f>SUM(CP5:CP24)</f>
        <v/>
      </c>
      <c r="CQ25" s="239">
        <f>SUM(CQ5:CQ24)</f>
        <v/>
      </c>
      <c r="CR25" s="240" t="n"/>
      <c r="CS25" s="239">
        <f>SUM(CS5:CS24)</f>
        <v/>
      </c>
      <c r="CT25" s="239">
        <f>SUM(CT5:CT24)</f>
        <v/>
      </c>
      <c r="CU25" s="239">
        <f>SUM(CU5:CU24)</f>
        <v/>
      </c>
      <c r="CV25" s="239">
        <f>SUM(CV5:CV24)</f>
        <v/>
      </c>
      <c r="CW25" s="239">
        <f>SUM(CW5:CW24)</f>
        <v/>
      </c>
      <c r="CX25" s="239">
        <f>SUM(CX5:CX24)</f>
        <v/>
      </c>
      <c r="CY25" s="239">
        <f>SUM(CY5:CY24)</f>
        <v/>
      </c>
      <c r="CZ25" s="239">
        <f>SUM(CZ5:CZ24)</f>
        <v/>
      </c>
      <c r="DA25" s="239">
        <f>SUM(DA5:DA24)</f>
        <v/>
      </c>
      <c r="DB25" s="241" t="n"/>
      <c r="DC25" s="242">
        <f>SUM(DC5:DC24)</f>
        <v/>
      </c>
      <c r="DD25" s="242">
        <f>SUM(DD5:DD24)</f>
        <v/>
      </c>
      <c r="DE25" s="242">
        <f>SUM(DE5:DE24)</f>
        <v/>
      </c>
      <c r="DF25" s="242">
        <f>SUM(DF5:DF24)</f>
        <v/>
      </c>
      <c r="DG25" s="242">
        <f>SUM(DG5:DG24)</f>
        <v/>
      </c>
      <c r="DH25" s="242">
        <f>SUM(DH5:DH24)</f>
        <v/>
      </c>
      <c r="DI25" s="242">
        <f>SUM(DI5:DI24)</f>
        <v/>
      </c>
      <c r="DJ25" s="242">
        <f>SUM(DJ5:DJ24)</f>
        <v/>
      </c>
      <c r="DK25" s="242">
        <f>SUM(DK5:DK24)</f>
        <v/>
      </c>
      <c r="DL25" s="241" t="n"/>
      <c r="DM25" s="307">
        <f>SUM(DM5:DM24)</f>
        <v/>
      </c>
      <c r="DN25" s="307">
        <f>SUM(DN5:DN24)</f>
        <v/>
      </c>
      <c r="DO25" s="241" t="n"/>
      <c r="DP25" s="530">
        <f>IFERROR((DE25-CU25)/CU25,"-")</f>
        <v/>
      </c>
      <c r="DQ25" s="530">
        <f>IFERROR((DG25-CW25)/CW25,"-")</f>
        <v/>
      </c>
      <c r="DR25" s="530">
        <f>IFERROR((DH25-CX25)/CX25,"-")</f>
        <v/>
      </c>
      <c r="DS25" s="242">
        <f>SUM(DS5:DS24)</f>
        <v/>
      </c>
      <c r="DT25" s="242">
        <f>SUM(DT5:DT24)</f>
        <v/>
      </c>
      <c r="DU25" s="242">
        <f>SUM(DU5:DU24)</f>
        <v/>
      </c>
      <c r="DV25" s="242">
        <f>SUM(DV5:DV24)</f>
        <v/>
      </c>
      <c r="DW25" s="242">
        <f>SUM(DW5:DW24)</f>
        <v/>
      </c>
      <c r="DX25" s="242">
        <f>SUM(DX5:DX24)</f>
        <v/>
      </c>
      <c r="DY25" s="242">
        <f>SUM(DY5:DY24)</f>
        <v/>
      </c>
      <c r="DZ25" s="242">
        <f>SUM(DZ5:DZ24)</f>
        <v/>
      </c>
      <c r="EA25" s="242">
        <f>SUM(EA5:EA24)</f>
        <v/>
      </c>
      <c r="EB25" s="241" t="n"/>
      <c r="EC25" s="307">
        <f>SUM(EC5:EC24)</f>
        <v/>
      </c>
      <c r="ED25" s="307">
        <f>SUM(ED5:ED24)</f>
        <v/>
      </c>
      <c r="EE25" s="241" t="n"/>
      <c r="EF25" s="530">
        <f>IFERROR((DU25-DE25)/DE25,"-")</f>
        <v/>
      </c>
      <c r="EG25" s="530">
        <f>IFERROR((DW25-DG25)/DG25,"-")</f>
        <v/>
      </c>
      <c r="EH25" s="530">
        <f>IFERROR((DX25-DH25)/DH25,"-")</f>
        <v/>
      </c>
      <c r="EI25" s="241" t="n"/>
      <c r="EJ25" s="242">
        <f>SUM(EJ5:EJ24)</f>
        <v/>
      </c>
      <c r="EK25" s="242">
        <f>SUM(EK5:EK24)</f>
        <v/>
      </c>
      <c r="EL25" s="242">
        <f>SUM(EL5:EL24)</f>
        <v/>
      </c>
      <c r="EM25" s="242">
        <f>SUM(EM5:EM24)</f>
        <v/>
      </c>
      <c r="EN25" s="242">
        <f>SUM(EN5:EN24)</f>
        <v/>
      </c>
      <c r="EO25" s="242">
        <f>SUM(EO5:EO24)</f>
        <v/>
      </c>
      <c r="EP25" s="242">
        <f>SUM(EP5:EP24)</f>
        <v/>
      </c>
      <c r="EQ25" s="242">
        <f>SUM(EQ5:EQ24)</f>
        <v/>
      </c>
      <c r="ER25" s="242">
        <f>SUM(ER5:ER24)</f>
        <v/>
      </c>
      <c r="ES25" s="241" t="n"/>
      <c r="ET25" s="307">
        <f>SUM(ET5:ET24)</f>
        <v/>
      </c>
      <c r="EU25" s="307">
        <f>SUM(EU5:EU24)</f>
        <v/>
      </c>
      <c r="EV25" s="241" t="n"/>
      <c r="EW25" s="530">
        <f>IFERROR((EL25-DU25)/DU25,"-")</f>
        <v/>
      </c>
      <c r="EX25" s="530">
        <f>IFERROR((EN25-DW25)/DW25,"-")</f>
        <v/>
      </c>
      <c r="EY25" s="530">
        <f>IFERROR((EO25-DX25)/DX25,"-")</f>
        <v/>
      </c>
    </row>
    <row r="26" collapsed="1">
      <c r="A26" s="185" t="inlineStr">
        <is>
          <t>Arb/ESF</t>
        </is>
      </c>
      <c r="B26" s="185" t="n"/>
      <c r="C26" s="185" t="n"/>
      <c r="D26" s="185" t="n"/>
      <c r="E26" s="185" t="n"/>
      <c r="F26" s="185" t="n"/>
      <c r="G26" s="418" t="n"/>
      <c r="H26" s="418" t="n"/>
      <c r="I26" s="418" t="n"/>
      <c r="J26" s="418" t="n"/>
      <c r="K26" s="418" t="n"/>
      <c r="L26" s="186" t="n"/>
      <c r="M26" s="186" t="n"/>
      <c r="N26" s="418" t="n"/>
      <c r="O26" s="418" t="n"/>
      <c r="P26" s="187" t="n"/>
      <c r="Q26" s="188" t="n"/>
      <c r="R26" s="188" t="n"/>
      <c r="S26" s="531" t="n"/>
      <c r="T26" s="531" t="n"/>
      <c r="U26" s="531" t="n"/>
      <c r="V26" s="531" t="n"/>
      <c r="W26" s="531" t="n"/>
      <c r="X26" s="188" t="n"/>
      <c r="Y26" s="531" t="n"/>
      <c r="Z26" s="187" t="n"/>
      <c r="AA26" s="188" t="n"/>
      <c r="AB26" s="188" t="n"/>
      <c r="AC26" s="531" t="n"/>
      <c r="AD26" s="531" t="n"/>
      <c r="AE26" s="531" t="n"/>
      <c r="AF26" s="531" t="n"/>
      <c r="AG26" s="531" t="n"/>
      <c r="AH26" s="188" t="n"/>
      <c r="AI26" s="531" t="n"/>
      <c r="AJ26" s="187" t="n"/>
      <c r="AK26" s="188" t="n"/>
      <c r="AL26" s="188" t="n"/>
      <c r="AM26" s="531" t="n"/>
      <c r="AN26" s="531" t="n"/>
      <c r="AO26" s="531" t="n"/>
      <c r="AP26" s="531" t="n"/>
      <c r="AQ26" s="531" t="n"/>
      <c r="AR26" s="188" t="n"/>
      <c r="AS26" s="531" t="n"/>
      <c r="AT26" s="187" t="n"/>
      <c r="AU26" s="188" t="n"/>
      <c r="AV26" s="188" t="n"/>
      <c r="AW26" s="531" t="n"/>
      <c r="AX26" s="531" t="n"/>
      <c r="AY26" s="531" t="n"/>
      <c r="AZ26" s="531" t="n"/>
      <c r="BA26" s="531" t="n"/>
      <c r="BB26" s="188" t="n"/>
      <c r="BC26" s="531" t="n"/>
      <c r="BD26" s="187" t="n"/>
      <c r="BE26" s="188" t="n"/>
      <c r="BF26" s="188" t="n"/>
      <c r="BG26" s="531" t="n"/>
      <c r="BH26" s="531" t="n"/>
      <c r="BI26" s="531" t="n"/>
      <c r="BJ26" s="531" t="n"/>
      <c r="BK26" s="531" t="n"/>
      <c r="BL26" s="188" t="n"/>
      <c r="BM26" s="531" t="n"/>
      <c r="BN26" s="187" t="n"/>
      <c r="BO26" s="188" t="n"/>
      <c r="BP26" s="188" t="n"/>
      <c r="BQ26" s="531" t="n"/>
      <c r="BR26" s="531" t="n"/>
      <c r="BS26" s="531" t="n"/>
      <c r="BT26" s="531" t="n"/>
      <c r="BU26" s="531" t="n"/>
      <c r="BV26" s="188" t="n"/>
      <c r="BW26" s="531" t="n"/>
      <c r="BX26" s="187" t="n"/>
      <c r="BY26" s="188" t="n"/>
      <c r="BZ26" s="188" t="n"/>
      <c r="CA26" s="531" t="n"/>
      <c r="CB26" s="531" t="n"/>
      <c r="CC26" s="531" t="n"/>
      <c r="CD26" s="531" t="n"/>
      <c r="CE26" s="531" t="n"/>
      <c r="CF26" s="188" t="n"/>
      <c r="CG26" s="531" t="n"/>
      <c r="CH26" s="187" t="n"/>
      <c r="CI26" s="188" t="n"/>
      <c r="CJ26" s="188" t="n"/>
      <c r="CK26" s="531" t="n"/>
      <c r="CL26" s="531" t="n"/>
      <c r="CM26" s="531" t="n"/>
      <c r="CN26" s="531" t="n"/>
      <c r="CO26" s="531" t="n"/>
      <c r="CP26" s="188" t="n"/>
      <c r="CQ26" s="531" t="n"/>
      <c r="CR26" s="187" t="n"/>
      <c r="CS26" s="188" t="n"/>
      <c r="CT26" s="188" t="n"/>
      <c r="CU26" s="531" t="n"/>
      <c r="CV26" s="531" t="n"/>
      <c r="CW26" s="531" t="n"/>
      <c r="CX26" s="531" t="n"/>
      <c r="CY26" s="531" t="n"/>
      <c r="CZ26" s="188" t="n"/>
      <c r="DA26" s="531" t="n"/>
      <c r="DB26" s="190" t="n"/>
      <c r="DC26" s="191" t="n"/>
      <c r="DD26" s="191" t="n"/>
      <c r="DE26" s="532" t="n"/>
      <c r="DF26" s="532" t="n"/>
      <c r="DG26" s="532" t="n"/>
      <c r="DH26" s="532" t="n"/>
      <c r="DI26" s="532" t="n"/>
      <c r="DJ26" s="191" t="n"/>
      <c r="DK26" s="532" t="n"/>
      <c r="DL26" s="190" t="n"/>
      <c r="DM26" s="413" t="n"/>
      <c r="DN26" s="413" t="n"/>
      <c r="DO26" s="190" t="n"/>
      <c r="DP26" s="193" t="n"/>
      <c r="DQ26" s="193" t="n"/>
      <c r="DR26" s="193" t="n"/>
      <c r="DS26" s="191" t="n"/>
      <c r="DT26" s="191" t="n"/>
      <c r="DU26" s="191" t="n"/>
      <c r="DV26" s="191" t="n"/>
      <c r="DW26" s="191" t="n"/>
      <c r="DX26" s="191" t="n"/>
      <c r="DY26" s="191" t="n"/>
      <c r="DZ26" s="191" t="n"/>
      <c r="EA26" s="191" t="n"/>
      <c r="EB26" s="190" t="n"/>
      <c r="EC26" s="413" t="n"/>
      <c r="ED26" s="413" t="n"/>
      <c r="EE26" s="190" t="n"/>
      <c r="EF26" s="193" t="n"/>
      <c r="EG26" s="193" t="n"/>
      <c r="EH26" s="193" t="n"/>
      <c r="EI26" s="190" t="n"/>
      <c r="EJ26" s="191" t="n"/>
      <c r="EK26" s="191" t="n"/>
      <c r="EL26" s="191" t="n"/>
      <c r="EM26" s="191" t="n"/>
      <c r="EN26" s="191" t="n"/>
      <c r="EO26" s="191" t="n"/>
      <c r="EP26" s="191" t="n"/>
      <c r="EQ26" s="191" t="n"/>
      <c r="ER26" s="191" t="n"/>
      <c r="ES26" s="190" t="n"/>
      <c r="ET26" s="413" t="n"/>
      <c r="EU26" s="413" t="n"/>
      <c r="EV26" s="190" t="n"/>
      <c r="EW26" s="193" t="n"/>
      <c r="EX26" s="193" t="n"/>
      <c r="EY26" s="193" t="n"/>
    </row>
    <row r="27" hidden="1" outlineLevel="1">
      <c r="A27" s="159" t="inlineStr">
        <is>
          <t>Arbitrage Fund</t>
        </is>
      </c>
      <c r="B27" s="160" t="inlineStr">
        <is>
          <t>Hybrid Schemes</t>
        </is>
      </c>
      <c r="C27" s="160" t="inlineStr">
        <is>
          <t>Open ended Schemes</t>
        </is>
      </c>
      <c r="D27" s="160" t="inlineStr">
        <is>
          <t>Equity</t>
        </is>
      </c>
      <c r="E27" s="160" t="inlineStr">
        <is>
          <t>Arbitrage</t>
        </is>
      </c>
      <c r="F27" s="160" t="inlineStr">
        <is>
          <t>Arb/ESF</t>
        </is>
      </c>
      <c r="G27" s="416" t="n"/>
      <c r="H27" s="416" t="n"/>
      <c r="I27" s="416" t="n"/>
      <c r="J27" s="416" t="n"/>
      <c r="K27" s="416">
        <f>IF(OR(I27="",J27=""),"",I27-J27)</f>
        <v/>
      </c>
      <c r="L27" s="161" t="n">
        <v>204086.87663099</v>
      </c>
      <c r="M27" s="161" t="n">
        <v>246994.0578094</v>
      </c>
      <c r="N27" s="416" t="n"/>
      <c r="O27" s="416" t="n"/>
      <c r="P27" s="162" t="inlineStr">
        <is>
          <t>-</t>
        </is>
      </c>
      <c r="Q27" s="219" t="n">
        <v>32</v>
      </c>
      <c r="R27" s="219" t="n">
        <v>613752</v>
      </c>
      <c r="S27" s="522" t="n">
        <v>27058.80171607</v>
      </c>
      <c r="T27" s="522" t="n">
        <v>15268.43223004</v>
      </c>
      <c r="U27" s="522" t="n">
        <v>11790.36948603</v>
      </c>
      <c r="V27" s="522" t="n">
        <v>213013.57701301</v>
      </c>
      <c r="W27" s="522" t="n">
        <v>254278.6415878</v>
      </c>
      <c r="X27" s="219" t="n">
        <v>0</v>
      </c>
      <c r="Y27" s="522" t="n">
        <v>0</v>
      </c>
      <c r="Z27" s="221" t="inlineStr">
        <is>
          <t>-</t>
        </is>
      </c>
      <c r="AA27" s="219" t="n">
        <v>32</v>
      </c>
      <c r="AB27" s="219" t="n">
        <v>631630</v>
      </c>
      <c r="AC27" s="522" t="n">
        <v>29587.69520001</v>
      </c>
      <c r="AD27" s="522" t="n">
        <v>13885.72210782</v>
      </c>
      <c r="AE27" s="522" t="n">
        <v>15701.97309219</v>
      </c>
      <c r="AF27" s="522" t="n">
        <v>233962.91777182</v>
      </c>
      <c r="AG27" s="522" t="n">
        <v>269464.05152142</v>
      </c>
      <c r="AH27" s="219" t="n">
        <v>0</v>
      </c>
      <c r="AI27" s="522" t="n">
        <v>0</v>
      </c>
      <c r="AJ27" s="221" t="inlineStr">
        <is>
          <t>-</t>
        </is>
      </c>
      <c r="AK27" s="219" t="n">
        <v>32</v>
      </c>
      <c r="AL27" s="219" t="n">
        <v>647318</v>
      </c>
      <c r="AM27" s="522" t="n">
        <v>33989.86262522</v>
      </c>
      <c r="AN27" s="522" t="n">
        <v>18405.29028648</v>
      </c>
      <c r="AO27" s="522" t="n">
        <v>15584.57233874</v>
      </c>
      <c r="AP27" s="522" t="n">
        <v>249364.93168072</v>
      </c>
      <c r="AQ27" s="522" t="n">
        <v>285570.19333137</v>
      </c>
      <c r="AR27" s="219" t="n">
        <v>0</v>
      </c>
      <c r="AS27" s="522" t="n">
        <v>0</v>
      </c>
      <c r="AT27" s="221" t="inlineStr">
        <is>
          <t>-</t>
        </is>
      </c>
      <c r="AU27" s="219" t="n">
        <v>32</v>
      </c>
      <c r="AV27" s="219" t="n">
        <v>664338</v>
      </c>
      <c r="AW27" s="522" t="n">
        <v>29743.4019567</v>
      </c>
      <c r="AX27" s="522" t="n">
        <v>22447.70169238</v>
      </c>
      <c r="AY27" s="522" t="n">
        <v>7295.70026432001</v>
      </c>
      <c r="AZ27" s="522" t="n">
        <v>256675.49446315</v>
      </c>
      <c r="BA27" s="522" t="n">
        <v>300840.51855547</v>
      </c>
      <c r="BB27" s="219" t="n">
        <v>0</v>
      </c>
      <c r="BC27" s="522" t="n">
        <v>0</v>
      </c>
      <c r="BD27" s="221" t="inlineStr">
        <is>
          <t>-</t>
        </is>
      </c>
      <c r="BE27" s="219" t="n">
        <v>33</v>
      </c>
      <c r="BF27" s="219" t="n">
        <v>681565</v>
      </c>
      <c r="BG27" s="522" t="n">
        <v>27877.67050011</v>
      </c>
      <c r="BH27" s="522" t="n">
        <v>21211.1697875</v>
      </c>
      <c r="BI27" s="522" t="n">
        <v>6666.50071261</v>
      </c>
      <c r="BJ27" s="522" t="n">
        <v>258923.3482866</v>
      </c>
      <c r="BK27" s="522" t="n">
        <v>306405.4465182</v>
      </c>
      <c r="BL27" s="219" t="n">
        <v>0</v>
      </c>
      <c r="BM27" s="522" t="n">
        <v>0</v>
      </c>
      <c r="BN27" s="221" t="inlineStr">
        <is>
          <t>-</t>
        </is>
      </c>
      <c r="BO27" s="219" t="n">
        <v>33</v>
      </c>
      <c r="BP27" s="219" t="n">
        <v>693596</v>
      </c>
      <c r="BQ27" s="522" t="n">
        <v>29529.79592314</v>
      </c>
      <c r="BR27" s="522" t="n">
        <v>30518.04605009</v>
      </c>
      <c r="BS27" s="522" t="n">
        <v>-988.250126949992</v>
      </c>
      <c r="BT27" s="522" t="n">
        <v>263757.18100653</v>
      </c>
      <c r="BU27" s="522" t="n">
        <v>310801.91222257</v>
      </c>
      <c r="BV27" s="219" t="n">
        <v>0</v>
      </c>
      <c r="BW27" s="522" t="n">
        <v>0</v>
      </c>
      <c r="BX27" s="221" t="inlineStr">
        <is>
          <t>-</t>
        </is>
      </c>
      <c r="BY27" s="219" t="n">
        <v>34</v>
      </c>
      <c r="BZ27" s="219" t="n">
        <v>705317</v>
      </c>
      <c r="CA27" s="522" t="n">
        <v>29165.92240207</v>
      </c>
      <c r="CB27" s="522" t="n">
        <v>22246.15520465</v>
      </c>
      <c r="CC27" s="522" t="n">
        <v>6919.76719741999</v>
      </c>
      <c r="CD27" s="522" t="n">
        <v>271401.97071651</v>
      </c>
      <c r="CE27" s="522" t="n">
        <v>316817.81664431</v>
      </c>
      <c r="CF27" s="219" t="n">
        <v>0</v>
      </c>
      <c r="CG27" s="522" t="n">
        <v>0</v>
      </c>
      <c r="CH27" s="221" t="inlineStr">
        <is>
          <t>-</t>
        </is>
      </c>
      <c r="CI27" s="219" t="n">
        <v>35</v>
      </c>
      <c r="CJ27" s="219" t="n">
        <v>718209</v>
      </c>
      <c r="CK27" s="522" t="n">
        <v>22238.09602433</v>
      </c>
      <c r="CL27" s="522" t="n">
        <v>18046.18933481</v>
      </c>
      <c r="CM27" s="522" t="n">
        <v>4191.90668952002</v>
      </c>
      <c r="CN27" s="522" t="n">
        <v>274612.25321546</v>
      </c>
      <c r="CO27" s="522" t="n">
        <v>324252.19516479</v>
      </c>
      <c r="CP27" s="219" t="n">
        <v>0</v>
      </c>
      <c r="CQ27" s="522" t="n">
        <v>0</v>
      </c>
      <c r="CR27" s="221" t="inlineStr">
        <is>
          <t>-</t>
        </is>
      </c>
      <c r="CS27" s="219" t="n">
        <v>36</v>
      </c>
      <c r="CT27" s="219" t="n">
        <v>741825</v>
      </c>
      <c r="CU27" s="522" t="n">
        <v>26537.84875746</v>
      </c>
      <c r="CV27" s="522" t="n">
        <v>26411.53554791</v>
      </c>
      <c r="CW27" s="522" t="n">
        <v>126.31320954996</v>
      </c>
      <c r="CX27" s="522" t="n">
        <v>278127.94472791</v>
      </c>
      <c r="CY27" s="522" t="n">
        <v>326834.53747684</v>
      </c>
      <c r="CZ27" s="219" t="n">
        <v>0</v>
      </c>
      <c r="DA27" s="522" t="n">
        <v>0</v>
      </c>
      <c r="DB27" s="222" t="inlineStr">
        <is>
          <t>-</t>
        </is>
      </c>
      <c r="DC27" s="223" t="n">
        <v>36</v>
      </c>
      <c r="DD27" s="223" t="n">
        <v>762151</v>
      </c>
      <c r="DE27" s="523" t="n">
        <v>27817.43893867</v>
      </c>
      <c r="DF27" s="523" t="n">
        <v>24524.13934794</v>
      </c>
      <c r="DG27" s="523" t="n">
        <v>3293.29959073002</v>
      </c>
      <c r="DH27" s="523" t="n">
        <v>276654.07207346</v>
      </c>
      <c r="DI27" s="523" t="n">
        <v>333040.47966111</v>
      </c>
      <c r="DJ27" s="223" t="n">
        <v>0</v>
      </c>
      <c r="DK27" s="523" t="n">
        <v>0</v>
      </c>
      <c r="DL27" s="222" t="inlineStr">
        <is>
          <t>-</t>
        </is>
      </c>
      <c r="DM27" s="280">
        <f>S27+AC27+AM27+AW27+BG27+BQ27+CA27+CK27+CU27+DE27</f>
        <v/>
      </c>
      <c r="DN27" s="275">
        <f>U27+AE27+AO27+AY27+BI27+BS27+CC27+CM27+CW27+DG27</f>
        <v/>
      </c>
      <c r="DO27" s="222" t="inlineStr">
        <is>
          <t>-</t>
        </is>
      </c>
      <c r="DP27" s="226">
        <f>IFERROR((DE27-CU27)/CU27,"-")</f>
        <v/>
      </c>
      <c r="DQ27" s="226">
        <f>IFERROR((DG27-CW27)/CW27,"-")</f>
        <v/>
      </c>
      <c r="DR27" s="288">
        <f>IFERROR((DH27-CX27)/CX27,"-")</f>
        <v/>
      </c>
      <c r="DS27" s="223" t="n">
        <v>36</v>
      </c>
      <c r="DT27" s="223" t="n">
        <v>783210</v>
      </c>
      <c r="DU27" s="223" t="n">
        <v>20387.379805</v>
      </c>
      <c r="DV27" s="223" t="n">
        <v>19795.53132348</v>
      </c>
      <c r="DW27" s="223" t="n">
        <v>591.848481519963</v>
      </c>
      <c r="DX27" s="223" t="n">
        <v>273568.7273762</v>
      </c>
      <c r="DY27" s="223" t="n">
        <v>333631.83441963</v>
      </c>
      <c r="DZ27" s="223" t="n">
        <v>0</v>
      </c>
      <c r="EA27" s="223" t="n">
        <v>0</v>
      </c>
      <c r="EB27" s="222" t="inlineStr">
        <is>
          <t>-</t>
        </is>
      </c>
      <c r="EC27" s="280">
        <f>S27+AC27+AM27+AW27+BG27+BQ27+CA27+CK27+CU27+DE27+DU27</f>
        <v/>
      </c>
      <c r="ED27" s="275">
        <f>U27+AE27+AO27+AY27+BI27+BS27+CC27+CM27+CW27+DG27+DW27</f>
        <v/>
      </c>
      <c r="EE27" s="222" t="inlineStr">
        <is>
          <t>-</t>
        </is>
      </c>
      <c r="EF27" s="226">
        <f>IFERROR((DU27-DE27)/DE27,"-")</f>
        <v/>
      </c>
      <c r="EG27" s="226">
        <f>IFERROR((DW27-DG27)/DG27,"-")</f>
        <v/>
      </c>
      <c r="EH27" s="288">
        <f>IFERROR((DX27-DH27)/DH27,"-")</f>
        <v/>
      </c>
      <c r="EI27" s="222" t="inlineStr">
        <is>
          <t>-</t>
        </is>
      </c>
      <c r="EJ27" s="223" t="n">
        <v>38</v>
      </c>
      <c r="EK27" s="223" t="n">
        <v>790453</v>
      </c>
      <c r="EL27" s="223" t="n">
        <v>19596.21266396</v>
      </c>
      <c r="EM27" s="223" t="n">
        <v>40709.9103028</v>
      </c>
      <c r="EN27" s="223" t="n">
        <v>-21113.69763884</v>
      </c>
      <c r="EO27" s="223" t="n">
        <v>253637.4371883</v>
      </c>
      <c r="EP27" s="223" t="n">
        <v>325819.15511554</v>
      </c>
      <c r="EQ27" s="223" t="n">
        <v>0</v>
      </c>
      <c r="ER27" s="223" t="n">
        <v>0</v>
      </c>
      <c r="ES27" s="222" t="inlineStr">
        <is>
          <t>-</t>
        </is>
      </c>
      <c r="ET27" s="280">
        <f>S27+AC27+AM27+AW27+BG27+BQ27+CA27+CK27+CU27+DE27+DU27+EL27</f>
        <v/>
      </c>
      <c r="EU27" s="275">
        <f>U27+AE27+AO27+AY27+BI27+BS27+CC27+CM27+CW27+DG27+DW27+EN27</f>
        <v/>
      </c>
      <c r="EV27" s="222" t="inlineStr">
        <is>
          <t>-</t>
        </is>
      </c>
      <c r="EW27" s="300">
        <f>IFERROR((EL27-DU27)/DU27,"-")</f>
        <v/>
      </c>
      <c r="EX27" s="293">
        <f>IFERROR((EN27-DW27)/DW27,"-")</f>
        <v/>
      </c>
      <c r="EY27" s="288">
        <f>IFERROR((EO27-DX27)/DX27,"-")</f>
        <v/>
      </c>
    </row>
    <row r="28" hidden="1" outlineLevel="1">
      <c r="A28" s="181" t="inlineStr">
        <is>
          <t>Equity Savings Fund</t>
        </is>
      </c>
      <c r="B28" s="182" t="inlineStr">
        <is>
          <t>Hybrid Schemes</t>
        </is>
      </c>
      <c r="C28" s="182" t="inlineStr">
        <is>
          <t>Open ended Schemes</t>
        </is>
      </c>
      <c r="D28" s="182" t="inlineStr">
        <is>
          <t>Equity</t>
        </is>
      </c>
      <c r="E28" s="182" t="inlineStr">
        <is>
          <t>Equity Savings Fund</t>
        </is>
      </c>
      <c r="F28" s="182" t="inlineStr">
        <is>
          <t>Arb/ESF</t>
        </is>
      </c>
      <c r="G28" s="421" t="n"/>
      <c r="H28" s="421" t="n"/>
      <c r="I28" s="421" t="n"/>
      <c r="J28" s="421" t="n"/>
      <c r="K28" s="421">
        <f>IF(OR(I28="",J28=""),"",I28-J28)</f>
        <v/>
      </c>
      <c r="L28" s="183" t="n">
        <v>41260.38652007</v>
      </c>
      <c r="M28" s="183" t="n">
        <v>43262.12643945</v>
      </c>
      <c r="N28" s="421" t="n"/>
      <c r="O28" s="421" t="n"/>
      <c r="P28" s="184" t="inlineStr">
        <is>
          <t>-</t>
        </is>
      </c>
      <c r="Q28" s="232" t="n">
        <v>23</v>
      </c>
      <c r="R28" s="232" t="n">
        <v>480108</v>
      </c>
      <c r="S28" s="528" t="n">
        <v>1438.9389823</v>
      </c>
      <c r="T28" s="528" t="n">
        <v>1580.86250617</v>
      </c>
      <c r="U28" s="528" t="n">
        <v>-141.92352387</v>
      </c>
      <c r="V28" s="528" t="n">
        <v>41880.94011899</v>
      </c>
      <c r="W28" s="528" t="n">
        <v>43776.74204764</v>
      </c>
      <c r="X28" s="232" t="n">
        <v>1</v>
      </c>
      <c r="Y28" s="528" t="n">
        <v>0</v>
      </c>
      <c r="Z28" s="234" t="inlineStr">
        <is>
          <t>-</t>
        </is>
      </c>
      <c r="AA28" s="232" t="n">
        <v>23</v>
      </c>
      <c r="AB28" s="232" t="n">
        <v>482654</v>
      </c>
      <c r="AC28" s="528" t="n">
        <v>1906.42799394</v>
      </c>
      <c r="AD28" s="528" t="n">
        <v>1336.96340538</v>
      </c>
      <c r="AE28" s="528" t="n">
        <v>569.46458856</v>
      </c>
      <c r="AF28" s="528" t="n">
        <v>43012.56637334</v>
      </c>
      <c r="AG28" s="528" t="n">
        <v>44756.3293588</v>
      </c>
      <c r="AH28" s="232" t="n">
        <v>1</v>
      </c>
      <c r="AI28" s="528" t="n">
        <v>0</v>
      </c>
      <c r="AJ28" s="234" t="inlineStr">
        <is>
          <t>-</t>
        </is>
      </c>
      <c r="AK28" s="232" t="n">
        <v>23</v>
      </c>
      <c r="AL28" s="232" t="n">
        <v>487952</v>
      </c>
      <c r="AM28" s="528" t="n">
        <v>2453.46758311</v>
      </c>
      <c r="AN28" s="528" t="n">
        <v>1380.57128117</v>
      </c>
      <c r="AO28" s="528" t="n">
        <v>1072.89630194</v>
      </c>
      <c r="AP28" s="528" t="n">
        <v>44639.455151</v>
      </c>
      <c r="AQ28" s="528" t="n">
        <v>46181.21970216</v>
      </c>
      <c r="AR28" s="232" t="n">
        <v>1</v>
      </c>
      <c r="AS28" s="528" t="n">
        <v>0</v>
      </c>
      <c r="AT28" s="234" t="inlineStr">
        <is>
          <t>-</t>
        </is>
      </c>
      <c r="AU28" s="232" t="n">
        <v>24</v>
      </c>
      <c r="AV28" s="232" t="n">
        <v>500437</v>
      </c>
      <c r="AW28" s="528" t="n">
        <v>3577.80073854</v>
      </c>
      <c r="AX28" s="528" t="n">
        <v>1474.17203784</v>
      </c>
      <c r="AY28" s="528" t="n">
        <v>2103.6287007</v>
      </c>
      <c r="AZ28" s="528" t="n">
        <v>45727.48712074</v>
      </c>
      <c r="BA28" s="528" t="n">
        <v>48143.70818245</v>
      </c>
      <c r="BB28" s="232" t="n">
        <v>1</v>
      </c>
      <c r="BC28" s="528" t="n">
        <v>0</v>
      </c>
      <c r="BD28" s="234" t="inlineStr">
        <is>
          <t>-</t>
        </is>
      </c>
      <c r="BE28" s="232" t="n">
        <v>25</v>
      </c>
      <c r="BF28" s="232" t="n">
        <v>510097</v>
      </c>
      <c r="BG28" s="528" t="n">
        <v>2450.1994115</v>
      </c>
      <c r="BH28" s="528" t="n">
        <v>1581.41130438</v>
      </c>
      <c r="BI28" s="528" t="n">
        <v>868.788107119999</v>
      </c>
      <c r="BJ28" s="528" t="n">
        <v>46236.22880863</v>
      </c>
      <c r="BK28" s="528" t="n">
        <v>49345.62131335</v>
      </c>
      <c r="BL28" s="232" t="n">
        <v>1</v>
      </c>
      <c r="BM28" s="528" t="n">
        <v>0</v>
      </c>
      <c r="BN28" s="234" t="inlineStr">
        <is>
          <t>-</t>
        </is>
      </c>
      <c r="BO28" s="232" t="n">
        <v>25</v>
      </c>
      <c r="BP28" s="232" t="n">
        <v>515464</v>
      </c>
      <c r="BQ28" s="528" t="n">
        <v>3261.02139915</v>
      </c>
      <c r="BR28" s="528" t="n">
        <v>1514.0551598</v>
      </c>
      <c r="BS28" s="528" t="n">
        <v>1746.96623935</v>
      </c>
      <c r="BT28" s="528" t="n">
        <v>48300.27868797</v>
      </c>
      <c r="BU28" s="528" t="n">
        <v>51243.41134466</v>
      </c>
      <c r="BV28" s="232" t="n">
        <v>1</v>
      </c>
      <c r="BW28" s="528" t="n">
        <v>0</v>
      </c>
      <c r="BX28" s="234" t="inlineStr">
        <is>
          <t>-</t>
        </is>
      </c>
      <c r="BY28" s="232" t="n">
        <v>25</v>
      </c>
      <c r="BZ28" s="232" t="n">
        <v>517166</v>
      </c>
      <c r="CA28" s="528" t="n">
        <v>2043.11377259</v>
      </c>
      <c r="CB28" s="528" t="n">
        <v>1831.33465741</v>
      </c>
      <c r="CC28" s="528" t="n">
        <v>211.779115180001</v>
      </c>
      <c r="CD28" s="528" t="n">
        <v>49251.12080688</v>
      </c>
      <c r="CE28" s="528" t="n">
        <v>52601.99548891</v>
      </c>
      <c r="CF28" s="232" t="n">
        <v>1</v>
      </c>
      <c r="CG28" s="528" t="n">
        <v>0</v>
      </c>
      <c r="CH28" s="234" t="inlineStr">
        <is>
          <t>-</t>
        </is>
      </c>
      <c r="CI28" s="232" t="n">
        <v>25</v>
      </c>
      <c r="CJ28" s="232" t="n">
        <v>521328</v>
      </c>
      <c r="CK28" s="528" t="n">
        <v>2590.48389665</v>
      </c>
      <c r="CL28" s="528" t="n">
        <v>1498.92443755</v>
      </c>
      <c r="CM28" s="528" t="n">
        <v>1091.5594591</v>
      </c>
      <c r="CN28" s="528" t="n">
        <v>50672.79067735</v>
      </c>
      <c r="CO28" s="528" t="n">
        <v>53587.60500064</v>
      </c>
      <c r="CP28" s="232" t="n">
        <v>1</v>
      </c>
      <c r="CQ28" s="528" t="n">
        <v>0</v>
      </c>
      <c r="CR28" s="234" t="inlineStr">
        <is>
          <t>-</t>
        </is>
      </c>
      <c r="CS28" s="232" t="n">
        <v>25</v>
      </c>
      <c r="CT28" s="232" t="n">
        <v>525857</v>
      </c>
      <c r="CU28" s="528" t="n">
        <v>2578.17438241</v>
      </c>
      <c r="CV28" s="528" t="n">
        <v>1867.55708482</v>
      </c>
      <c r="CW28" s="528" t="n">
        <v>710.617297590001</v>
      </c>
      <c r="CX28" s="528" t="n">
        <v>51235.16825588</v>
      </c>
      <c r="CY28" s="528" t="n">
        <v>54928.03265899</v>
      </c>
      <c r="CZ28" s="232" t="n">
        <v>1</v>
      </c>
      <c r="DA28" s="528" t="n">
        <v>0</v>
      </c>
      <c r="DB28" s="235" t="inlineStr">
        <is>
          <t>-</t>
        </is>
      </c>
      <c r="DC28" s="236" t="n">
        <v>25</v>
      </c>
      <c r="DD28" s="236" t="n">
        <v>528385</v>
      </c>
      <c r="DE28" s="529" t="n">
        <v>1981.84684188</v>
      </c>
      <c r="DF28" s="529" t="n">
        <v>1844.87623062</v>
      </c>
      <c r="DG28" s="529" t="n">
        <v>136.97061126</v>
      </c>
      <c r="DH28" s="529" t="n">
        <v>50740.46586491</v>
      </c>
      <c r="DI28" s="529" t="n">
        <v>55314.77908503</v>
      </c>
      <c r="DJ28" s="236" t="n">
        <v>1</v>
      </c>
      <c r="DK28" s="529" t="n">
        <v>0</v>
      </c>
      <c r="DL28" s="235" t="inlineStr">
        <is>
          <t>-</t>
        </is>
      </c>
      <c r="DM28" s="281">
        <f>S28+AC28+AM28+AW28+BG28+BQ28+CA28+CK28+CU28+DE28</f>
        <v/>
      </c>
      <c r="DN28" s="286">
        <f>U28+AE28+AO28+AY28+BI28+BS28+CC28+CM28+CW28+DG28</f>
        <v/>
      </c>
      <c r="DO28" s="235" t="inlineStr">
        <is>
          <t>-</t>
        </is>
      </c>
      <c r="DP28" s="238">
        <f>IFERROR((DE28-CU28)/CU28,"-")</f>
        <v/>
      </c>
      <c r="DQ28" s="238">
        <f>IFERROR((DG28-CW28)/CW28,"-")</f>
        <v/>
      </c>
      <c r="DR28" s="290">
        <f>IFERROR((DH28-CX28)/CX28,"-")</f>
        <v/>
      </c>
      <c r="DS28" s="236" t="n">
        <v>24</v>
      </c>
      <c r="DT28" s="236" t="n">
        <v>526295</v>
      </c>
      <c r="DU28" s="236" t="n">
        <v>1748.1517134</v>
      </c>
      <c r="DV28" s="236" t="n">
        <v>1705.79266455</v>
      </c>
      <c r="DW28" s="236" t="n">
        <v>42.3590488499995</v>
      </c>
      <c r="DX28" s="236" t="n">
        <v>50498.04753499</v>
      </c>
      <c r="DY28" s="236" t="n">
        <v>55250.27162178</v>
      </c>
      <c r="DZ28" s="236" t="n">
        <v>1</v>
      </c>
      <c r="EA28" s="236" t="n">
        <v>0</v>
      </c>
      <c r="EB28" s="235" t="inlineStr">
        <is>
          <t>-</t>
        </is>
      </c>
      <c r="EC28" s="281">
        <f>S28+AC28+AM28+AW28+BG28+BQ28+CA28+CK28+CU28+DE28+DU28</f>
        <v/>
      </c>
      <c r="ED28" s="286">
        <f>U28+AE28+AO28+AY28+BI28+BS28+CC28+CM28+CW28+DG28+DW28</f>
        <v/>
      </c>
      <c r="EE28" s="235" t="inlineStr">
        <is>
          <t>-</t>
        </is>
      </c>
      <c r="EF28" s="238">
        <f>IFERROR((DU28-DE28)/DE28,"-")</f>
        <v/>
      </c>
      <c r="EG28" s="238">
        <f>IFERROR((DW28-DG28)/DG28,"-")</f>
        <v/>
      </c>
      <c r="EH28" s="290">
        <f>IFERROR((DX28-DH28)/DH28,"-")</f>
        <v/>
      </c>
      <c r="EI28" s="235" t="inlineStr">
        <is>
          <t>-</t>
        </is>
      </c>
      <c r="EJ28" s="236" t="n">
        <v>24</v>
      </c>
      <c r="EK28" s="236" t="n">
        <v>526001</v>
      </c>
      <c r="EL28" s="236" t="n">
        <v>1771.52659709</v>
      </c>
      <c r="EM28" s="236" t="n">
        <v>2902.70422855</v>
      </c>
      <c r="EN28" s="236" t="n">
        <v>-1131.17763146</v>
      </c>
      <c r="EO28" s="236" t="n">
        <v>47701.17415417</v>
      </c>
      <c r="EP28" s="236" t="n">
        <v>53499.59774121</v>
      </c>
      <c r="EQ28" s="236" t="n">
        <v>1</v>
      </c>
      <c r="ER28" s="236" t="n">
        <v>0</v>
      </c>
      <c r="ES28" s="235" t="inlineStr">
        <is>
          <t>-</t>
        </is>
      </c>
      <c r="ET28" s="281">
        <f>S28+AC28+AM28+AW28+BG28+BQ28+CA28+CK28+CU28+DE28+DU28+EL28</f>
        <v/>
      </c>
      <c r="EU28" s="286">
        <f>U28+AE28+AO28+AY28+BI28+BS28+CC28+CM28+CW28+DG28+DW28+EN28</f>
        <v/>
      </c>
      <c r="EV28" s="235" t="inlineStr">
        <is>
          <t>-</t>
        </is>
      </c>
      <c r="EW28" s="302">
        <f>IFERROR((EL28-DU28)/DU28,"-")</f>
        <v/>
      </c>
      <c r="EX28" s="295">
        <f>IFERROR((EN28-DW28)/DW28,"-")</f>
        <v/>
      </c>
      <c r="EY28" s="290">
        <f>IFERROR((EO28-DX28)/DX28,"-")</f>
        <v/>
      </c>
    </row>
    <row r="29">
      <c r="A29" s="165" t="inlineStr">
        <is>
          <t>Total for Arb/ESF</t>
        </is>
      </c>
      <c r="B29" s="194" t="n"/>
      <c r="C29" s="194" t="n"/>
      <c r="D29" s="194" t="n"/>
      <c r="E29" s="194" t="n"/>
      <c r="F29" s="194" t="n"/>
      <c r="G29" s="417">
        <f>SUM(G27:G28)</f>
        <v/>
      </c>
      <c r="H29" s="417">
        <f>SUM(H27:H28)</f>
        <v/>
      </c>
      <c r="I29" s="417">
        <f>SUM(I27:I28)</f>
        <v/>
      </c>
      <c r="J29" s="417">
        <f>SUM(J27:J28)</f>
        <v/>
      </c>
      <c r="K29" s="417">
        <f>SUM(K27:K28)</f>
        <v/>
      </c>
      <c r="L29" s="167">
        <f>SUM(L27:L28)</f>
        <v/>
      </c>
      <c r="M29" s="167">
        <f>SUM(M27:M28)</f>
        <v/>
      </c>
      <c r="N29" s="417">
        <f>SUM(N27:N28)</f>
        <v/>
      </c>
      <c r="O29" s="417">
        <f>SUM(O27:O28)</f>
        <v/>
      </c>
      <c r="P29" s="168" t="n"/>
      <c r="Q29" s="239">
        <f>SUM(Q27:Q28)</f>
        <v/>
      </c>
      <c r="R29" s="239">
        <f>SUM(R27:R28)</f>
        <v/>
      </c>
      <c r="S29" s="239">
        <f>SUM(S27:S28)</f>
        <v/>
      </c>
      <c r="T29" s="239">
        <f>SUM(T27:T28)</f>
        <v/>
      </c>
      <c r="U29" s="239">
        <f>SUM(U27:U28)</f>
        <v/>
      </c>
      <c r="V29" s="239">
        <f>SUM(V27:V28)</f>
        <v/>
      </c>
      <c r="W29" s="239">
        <f>SUM(W27:W28)</f>
        <v/>
      </c>
      <c r="X29" s="239">
        <f>SUM(X27:X28)</f>
        <v/>
      </c>
      <c r="Y29" s="239">
        <f>SUM(Y27:Y28)</f>
        <v/>
      </c>
      <c r="Z29" s="240" t="n"/>
      <c r="AA29" s="239">
        <f>SUM(AA27:AA28)</f>
        <v/>
      </c>
      <c r="AB29" s="239">
        <f>SUM(AB27:AB28)</f>
        <v/>
      </c>
      <c r="AC29" s="239">
        <f>SUM(AC27:AC28)</f>
        <v/>
      </c>
      <c r="AD29" s="239">
        <f>SUM(AD27:AD28)</f>
        <v/>
      </c>
      <c r="AE29" s="239">
        <f>SUM(AE27:AE28)</f>
        <v/>
      </c>
      <c r="AF29" s="239">
        <f>SUM(AF27:AF28)</f>
        <v/>
      </c>
      <c r="AG29" s="239">
        <f>SUM(AG27:AG28)</f>
        <v/>
      </c>
      <c r="AH29" s="239">
        <f>SUM(AH27:AH28)</f>
        <v/>
      </c>
      <c r="AI29" s="239">
        <f>SUM(AI27:AI28)</f>
        <v/>
      </c>
      <c r="AJ29" s="240" t="n"/>
      <c r="AK29" s="239">
        <f>SUM(AK27:AK28)</f>
        <v/>
      </c>
      <c r="AL29" s="239">
        <f>SUM(AL27:AL28)</f>
        <v/>
      </c>
      <c r="AM29" s="239">
        <f>SUM(AM27:AM28)</f>
        <v/>
      </c>
      <c r="AN29" s="239">
        <f>SUM(AN27:AN28)</f>
        <v/>
      </c>
      <c r="AO29" s="239">
        <f>SUM(AO27:AO28)</f>
        <v/>
      </c>
      <c r="AP29" s="239">
        <f>SUM(AP27:AP28)</f>
        <v/>
      </c>
      <c r="AQ29" s="239">
        <f>SUM(AQ27:AQ28)</f>
        <v/>
      </c>
      <c r="AR29" s="239">
        <f>SUM(AR27:AR28)</f>
        <v/>
      </c>
      <c r="AS29" s="239">
        <f>SUM(AS27:AS28)</f>
        <v/>
      </c>
      <c r="AT29" s="240" t="n"/>
      <c r="AU29" s="239">
        <f>SUM(AU27:AU28)</f>
        <v/>
      </c>
      <c r="AV29" s="239">
        <f>SUM(AV27:AV28)</f>
        <v/>
      </c>
      <c r="AW29" s="239">
        <f>SUM(AW27:AW28)</f>
        <v/>
      </c>
      <c r="AX29" s="239">
        <f>SUM(AX27:AX28)</f>
        <v/>
      </c>
      <c r="AY29" s="239">
        <f>SUM(AY27:AY28)</f>
        <v/>
      </c>
      <c r="AZ29" s="239">
        <f>SUM(AZ27:AZ28)</f>
        <v/>
      </c>
      <c r="BA29" s="239">
        <f>SUM(BA27:BA28)</f>
        <v/>
      </c>
      <c r="BB29" s="239">
        <f>SUM(BB27:BB28)</f>
        <v/>
      </c>
      <c r="BC29" s="239">
        <f>SUM(BC27:BC28)</f>
        <v/>
      </c>
      <c r="BD29" s="240" t="n"/>
      <c r="BE29" s="239">
        <f>SUM(BE27:BE28)</f>
        <v/>
      </c>
      <c r="BF29" s="239">
        <f>SUM(BF27:BF28)</f>
        <v/>
      </c>
      <c r="BG29" s="239">
        <f>SUM(BG27:BG28)</f>
        <v/>
      </c>
      <c r="BH29" s="239">
        <f>SUM(BH27:BH28)</f>
        <v/>
      </c>
      <c r="BI29" s="239">
        <f>SUM(BI27:BI28)</f>
        <v/>
      </c>
      <c r="BJ29" s="239">
        <f>SUM(BJ27:BJ28)</f>
        <v/>
      </c>
      <c r="BK29" s="239">
        <f>SUM(BK27:BK28)</f>
        <v/>
      </c>
      <c r="BL29" s="239">
        <f>SUM(BL27:BL28)</f>
        <v/>
      </c>
      <c r="BM29" s="239">
        <f>SUM(BM27:BM28)</f>
        <v/>
      </c>
      <c r="BN29" s="240" t="n"/>
      <c r="BO29" s="239">
        <f>SUM(BO27:BO28)</f>
        <v/>
      </c>
      <c r="BP29" s="239">
        <f>SUM(BP27:BP28)</f>
        <v/>
      </c>
      <c r="BQ29" s="239">
        <f>SUM(BQ27:BQ28)</f>
        <v/>
      </c>
      <c r="BR29" s="239">
        <f>SUM(BR27:BR28)</f>
        <v/>
      </c>
      <c r="BS29" s="239">
        <f>SUM(BS27:BS28)</f>
        <v/>
      </c>
      <c r="BT29" s="239">
        <f>SUM(BT27:BT28)</f>
        <v/>
      </c>
      <c r="BU29" s="239">
        <f>SUM(BU27:BU28)</f>
        <v/>
      </c>
      <c r="BV29" s="239">
        <f>SUM(BV27:BV28)</f>
        <v/>
      </c>
      <c r="BW29" s="239">
        <f>SUM(BW27:BW28)</f>
        <v/>
      </c>
      <c r="BX29" s="240" t="n"/>
      <c r="BY29" s="239">
        <f>SUM(BY27:BY28)</f>
        <v/>
      </c>
      <c r="BZ29" s="239">
        <f>SUM(BZ27:BZ28)</f>
        <v/>
      </c>
      <c r="CA29" s="239">
        <f>SUM(CA27:CA28)</f>
        <v/>
      </c>
      <c r="CB29" s="239">
        <f>SUM(CB27:CB28)</f>
        <v/>
      </c>
      <c r="CC29" s="239">
        <f>SUM(CC27:CC28)</f>
        <v/>
      </c>
      <c r="CD29" s="239">
        <f>SUM(CD27:CD28)</f>
        <v/>
      </c>
      <c r="CE29" s="239">
        <f>SUM(CE27:CE28)</f>
        <v/>
      </c>
      <c r="CF29" s="239">
        <f>SUM(CF27:CF28)</f>
        <v/>
      </c>
      <c r="CG29" s="239">
        <f>SUM(CG27:CG28)</f>
        <v/>
      </c>
      <c r="CH29" s="240" t="n"/>
      <c r="CI29" s="239">
        <f>SUM(CI27:CI28)</f>
        <v/>
      </c>
      <c r="CJ29" s="239">
        <f>SUM(CJ27:CJ28)</f>
        <v/>
      </c>
      <c r="CK29" s="239">
        <f>SUM(CK27:CK28)</f>
        <v/>
      </c>
      <c r="CL29" s="239">
        <f>SUM(CL27:CL28)</f>
        <v/>
      </c>
      <c r="CM29" s="239">
        <f>SUM(CM27:CM28)</f>
        <v/>
      </c>
      <c r="CN29" s="239">
        <f>SUM(CN27:CN28)</f>
        <v/>
      </c>
      <c r="CO29" s="239">
        <f>SUM(CO27:CO28)</f>
        <v/>
      </c>
      <c r="CP29" s="239">
        <f>SUM(CP27:CP28)</f>
        <v/>
      </c>
      <c r="CQ29" s="239">
        <f>SUM(CQ27:CQ28)</f>
        <v/>
      </c>
      <c r="CR29" s="240" t="n"/>
      <c r="CS29" s="239">
        <f>SUM(CS27:CS28)</f>
        <v/>
      </c>
      <c r="CT29" s="239">
        <f>SUM(CT27:CT28)</f>
        <v/>
      </c>
      <c r="CU29" s="239">
        <f>SUM(CU27:CU28)</f>
        <v/>
      </c>
      <c r="CV29" s="239">
        <f>SUM(CV27:CV28)</f>
        <v/>
      </c>
      <c r="CW29" s="239">
        <f>SUM(CW27:CW28)</f>
        <v/>
      </c>
      <c r="CX29" s="239">
        <f>SUM(CX27:CX28)</f>
        <v/>
      </c>
      <c r="CY29" s="239">
        <f>SUM(CY27:CY28)</f>
        <v/>
      </c>
      <c r="CZ29" s="239">
        <f>SUM(CZ27:CZ28)</f>
        <v/>
      </c>
      <c r="DA29" s="239">
        <f>SUM(DA27:DA28)</f>
        <v/>
      </c>
      <c r="DB29" s="241" t="n"/>
      <c r="DC29" s="242">
        <f>SUM(DC27:DC28)</f>
        <v/>
      </c>
      <c r="DD29" s="242">
        <f>SUM(DD27:DD28)</f>
        <v/>
      </c>
      <c r="DE29" s="242">
        <f>SUM(DE27:DE28)</f>
        <v/>
      </c>
      <c r="DF29" s="242">
        <f>SUM(DF27:DF28)</f>
        <v/>
      </c>
      <c r="DG29" s="242">
        <f>SUM(DG27:DG28)</f>
        <v/>
      </c>
      <c r="DH29" s="242">
        <f>SUM(DH27:DH28)</f>
        <v/>
      </c>
      <c r="DI29" s="242">
        <f>SUM(DI27:DI28)</f>
        <v/>
      </c>
      <c r="DJ29" s="242">
        <f>SUM(DJ27:DJ28)</f>
        <v/>
      </c>
      <c r="DK29" s="242">
        <f>SUM(DK27:DK28)</f>
        <v/>
      </c>
      <c r="DL29" s="241" t="n"/>
      <c r="DM29" s="307">
        <f>SUM(DM27:DM28)</f>
        <v/>
      </c>
      <c r="DN29" s="307">
        <f>SUM(DN27:DN28)</f>
        <v/>
      </c>
      <c r="DO29" s="241" t="n"/>
      <c r="DP29" s="530">
        <f>IFERROR((DE29-CU29)/CU29,"-")</f>
        <v/>
      </c>
      <c r="DQ29" s="530">
        <f>IFERROR((DG29-CW29)/CW29,"-")</f>
        <v/>
      </c>
      <c r="DR29" s="530">
        <f>IFERROR((DH29-CX29)/CX29,"-")</f>
        <v/>
      </c>
      <c r="DS29" s="242">
        <f>SUM(DS27:DS28)</f>
        <v/>
      </c>
      <c r="DT29" s="242">
        <f>SUM(DT27:DT28)</f>
        <v/>
      </c>
      <c r="DU29" s="242">
        <f>SUM(DU27:DU28)</f>
        <v/>
      </c>
      <c r="DV29" s="242">
        <f>SUM(DV27:DV28)</f>
        <v/>
      </c>
      <c r="DW29" s="242">
        <f>SUM(DW27:DW28)</f>
        <v/>
      </c>
      <c r="DX29" s="242">
        <f>SUM(DX27:DX28)</f>
        <v/>
      </c>
      <c r="DY29" s="242">
        <f>SUM(DY27:DY28)</f>
        <v/>
      </c>
      <c r="DZ29" s="242">
        <f>SUM(DZ27:DZ28)</f>
        <v/>
      </c>
      <c r="EA29" s="242">
        <f>SUM(EA27:EA28)</f>
        <v/>
      </c>
      <c r="EB29" s="241" t="n"/>
      <c r="EC29" s="307">
        <f>SUM(EC27:EC28)</f>
        <v/>
      </c>
      <c r="ED29" s="307">
        <f>SUM(ED27:ED28)</f>
        <v/>
      </c>
      <c r="EE29" s="241" t="n"/>
      <c r="EF29" s="530">
        <f>IFERROR((DU29-DE29)/DE29,"-")</f>
        <v/>
      </c>
      <c r="EG29" s="530">
        <f>IFERROR((DW29-DG29)/DG29,"-")</f>
        <v/>
      </c>
      <c r="EH29" s="530">
        <f>IFERROR((DX29-DH29)/DH29,"-")</f>
        <v/>
      </c>
      <c r="EI29" s="241" t="n"/>
      <c r="EJ29" s="242">
        <f>SUM(EJ27:EJ28)</f>
        <v/>
      </c>
      <c r="EK29" s="242">
        <f>SUM(EK27:EK28)</f>
        <v/>
      </c>
      <c r="EL29" s="242">
        <f>SUM(EL27:EL28)</f>
        <v/>
      </c>
      <c r="EM29" s="242">
        <f>SUM(EM27:EM28)</f>
        <v/>
      </c>
      <c r="EN29" s="242">
        <f>SUM(EN27:EN28)</f>
        <v/>
      </c>
      <c r="EO29" s="242">
        <f>SUM(EO27:EO28)</f>
        <v/>
      </c>
      <c r="EP29" s="242">
        <f>SUM(EP27:EP28)</f>
        <v/>
      </c>
      <c r="EQ29" s="242">
        <f>SUM(EQ27:EQ28)</f>
        <v/>
      </c>
      <c r="ER29" s="242">
        <f>SUM(ER27:ER28)</f>
        <v/>
      </c>
      <c r="ES29" s="241" t="n"/>
      <c r="ET29" s="307">
        <f>SUM(ET27:ET28)</f>
        <v/>
      </c>
      <c r="EU29" s="307">
        <f>SUM(EU27:EU28)</f>
        <v/>
      </c>
      <c r="EV29" s="241" t="n"/>
      <c r="EW29" s="530">
        <f>IFERROR((EL29-DU29)/DU29,"-")</f>
        <v/>
      </c>
      <c r="EX29" s="530">
        <f>IFERROR((EN29-DW29)/DW29,"-")</f>
        <v/>
      </c>
      <c r="EY29" s="530">
        <f>IFERROR((EO29-DX29)/DX29,"-")</f>
        <v/>
      </c>
    </row>
    <row r="30" collapsed="1">
      <c r="A30" s="185" t="inlineStr">
        <is>
          <t>Active Debt (incl Hybrid)</t>
        </is>
      </c>
      <c r="B30" s="185" t="n"/>
      <c r="C30" s="185" t="n"/>
      <c r="D30" s="185" t="n"/>
      <c r="E30" s="185" t="n"/>
      <c r="F30" s="185" t="n"/>
      <c r="G30" s="418" t="n"/>
      <c r="H30" s="418" t="n"/>
      <c r="I30" s="418" t="n"/>
      <c r="J30" s="418" t="n"/>
      <c r="K30" s="418" t="n"/>
      <c r="L30" s="186" t="n"/>
      <c r="M30" s="186" t="n"/>
      <c r="N30" s="418" t="n"/>
      <c r="O30" s="418" t="n"/>
      <c r="P30" s="187" t="n"/>
      <c r="Q30" s="188" t="n"/>
      <c r="R30" s="188" t="n"/>
      <c r="S30" s="531" t="n"/>
      <c r="T30" s="531" t="n"/>
      <c r="U30" s="531" t="n"/>
      <c r="V30" s="531" t="n"/>
      <c r="W30" s="531" t="n"/>
      <c r="X30" s="188" t="n"/>
      <c r="Y30" s="531" t="n"/>
      <c r="Z30" s="187" t="n"/>
      <c r="AA30" s="188" t="n"/>
      <c r="AB30" s="188" t="n"/>
      <c r="AC30" s="531" t="n"/>
      <c r="AD30" s="531" t="n"/>
      <c r="AE30" s="531" t="n"/>
      <c r="AF30" s="531" t="n"/>
      <c r="AG30" s="531" t="n"/>
      <c r="AH30" s="188" t="n"/>
      <c r="AI30" s="531" t="n"/>
      <c r="AJ30" s="187" t="n"/>
      <c r="AK30" s="188" t="n"/>
      <c r="AL30" s="188" t="n"/>
      <c r="AM30" s="531" t="n"/>
      <c r="AN30" s="531" t="n"/>
      <c r="AO30" s="531" t="n"/>
      <c r="AP30" s="531" t="n"/>
      <c r="AQ30" s="531" t="n"/>
      <c r="AR30" s="188" t="n"/>
      <c r="AS30" s="531" t="n"/>
      <c r="AT30" s="187" t="n"/>
      <c r="AU30" s="188" t="n"/>
      <c r="AV30" s="188" t="n"/>
      <c r="AW30" s="531" t="n"/>
      <c r="AX30" s="531" t="n"/>
      <c r="AY30" s="531" t="n"/>
      <c r="AZ30" s="531" t="n"/>
      <c r="BA30" s="531" t="n"/>
      <c r="BB30" s="188" t="n"/>
      <c r="BC30" s="531" t="n"/>
      <c r="BD30" s="187" t="n"/>
      <c r="BE30" s="188" t="n"/>
      <c r="BF30" s="188" t="n"/>
      <c r="BG30" s="531" t="n"/>
      <c r="BH30" s="531" t="n"/>
      <c r="BI30" s="531" t="n"/>
      <c r="BJ30" s="531" t="n"/>
      <c r="BK30" s="531" t="n"/>
      <c r="BL30" s="188" t="n"/>
      <c r="BM30" s="531" t="n"/>
      <c r="BN30" s="187" t="n"/>
      <c r="BO30" s="188" t="n"/>
      <c r="BP30" s="188" t="n"/>
      <c r="BQ30" s="531" t="n"/>
      <c r="BR30" s="531" t="n"/>
      <c r="BS30" s="531" t="n"/>
      <c r="BT30" s="531" t="n"/>
      <c r="BU30" s="531" t="n"/>
      <c r="BV30" s="188" t="n"/>
      <c r="BW30" s="531" t="n"/>
      <c r="BX30" s="187" t="n"/>
      <c r="BY30" s="188" t="n"/>
      <c r="BZ30" s="188" t="n"/>
      <c r="CA30" s="531" t="n"/>
      <c r="CB30" s="531" t="n"/>
      <c r="CC30" s="531" t="n"/>
      <c r="CD30" s="531" t="n"/>
      <c r="CE30" s="531" t="n"/>
      <c r="CF30" s="188" t="n"/>
      <c r="CG30" s="531" t="n"/>
      <c r="CH30" s="187" t="n"/>
      <c r="CI30" s="188" t="n"/>
      <c r="CJ30" s="188" t="n"/>
      <c r="CK30" s="531" t="n"/>
      <c r="CL30" s="531" t="n"/>
      <c r="CM30" s="531" t="n"/>
      <c r="CN30" s="531" t="n"/>
      <c r="CO30" s="531" t="n"/>
      <c r="CP30" s="188" t="n"/>
      <c r="CQ30" s="531" t="n"/>
      <c r="CR30" s="187" t="n"/>
      <c r="CS30" s="188" t="n"/>
      <c r="CT30" s="188" t="n"/>
      <c r="CU30" s="531" t="n"/>
      <c r="CV30" s="531" t="n"/>
      <c r="CW30" s="531" t="n"/>
      <c r="CX30" s="531" t="n"/>
      <c r="CY30" s="531" t="n"/>
      <c r="CZ30" s="188" t="n"/>
      <c r="DA30" s="531" t="n"/>
      <c r="DB30" s="190" t="n"/>
      <c r="DC30" s="191" t="n"/>
      <c r="DD30" s="191" t="n"/>
      <c r="DE30" s="532" t="n"/>
      <c r="DF30" s="532" t="n"/>
      <c r="DG30" s="532" t="n"/>
      <c r="DH30" s="532" t="n"/>
      <c r="DI30" s="532" t="n"/>
      <c r="DJ30" s="191" t="n"/>
      <c r="DK30" s="532" t="n"/>
      <c r="DL30" s="190" t="n"/>
      <c r="DM30" s="413" t="n"/>
      <c r="DN30" s="413" t="n"/>
      <c r="DO30" s="190" t="n"/>
      <c r="DP30" s="193" t="n"/>
      <c r="DQ30" s="193" t="n"/>
      <c r="DR30" s="193" t="n"/>
      <c r="DS30" s="191" t="n"/>
      <c r="DT30" s="191" t="n"/>
      <c r="DU30" s="191" t="n"/>
      <c r="DV30" s="191" t="n"/>
      <c r="DW30" s="191" t="n"/>
      <c r="DX30" s="191" t="n"/>
      <c r="DY30" s="191" t="n"/>
      <c r="DZ30" s="191" t="n"/>
      <c r="EA30" s="191" t="n"/>
      <c r="EB30" s="190" t="n"/>
      <c r="EC30" s="413" t="n"/>
      <c r="ED30" s="413" t="n"/>
      <c r="EE30" s="190" t="n"/>
      <c r="EF30" s="193" t="n"/>
      <c r="EG30" s="193" t="n"/>
      <c r="EH30" s="193" t="n"/>
      <c r="EI30" s="190" t="n"/>
      <c r="EJ30" s="191" t="n"/>
      <c r="EK30" s="191" t="n"/>
      <c r="EL30" s="191" t="n"/>
      <c r="EM30" s="191" t="n"/>
      <c r="EN30" s="191" t="n"/>
      <c r="EO30" s="191" t="n"/>
      <c r="EP30" s="191" t="n"/>
      <c r="EQ30" s="191" t="n"/>
      <c r="ER30" s="191" t="n"/>
      <c r="ES30" s="190" t="n"/>
      <c r="ET30" s="413" t="n"/>
      <c r="EU30" s="413" t="n"/>
      <c r="EV30" s="190" t="n"/>
      <c r="EW30" s="193" t="n"/>
      <c r="EX30" s="193" t="n"/>
      <c r="EY30" s="193" t="n"/>
    </row>
    <row r="31" hidden="1" outlineLevel="1">
      <c r="A31" s="159" t="inlineStr">
        <is>
          <t>Money Market Fund</t>
        </is>
      </c>
      <c r="B31" s="160" t="inlineStr">
        <is>
          <t>Income/Debt Oriented Schemes</t>
        </is>
      </c>
      <c r="C31" s="160" t="inlineStr">
        <is>
          <t>Open ended Schemes</t>
        </is>
      </c>
      <c r="D31" s="160" t="inlineStr">
        <is>
          <t>Debt</t>
        </is>
      </c>
      <c r="E31" s="160" t="inlineStr">
        <is>
          <t>TD</t>
        </is>
      </c>
      <c r="F31" s="160" t="inlineStr">
        <is>
          <t>Active Debt (incl Hybrid)</t>
        </is>
      </c>
      <c r="G31" s="416" t="n"/>
      <c r="H31" s="416" t="n"/>
      <c r="I31" s="416" t="n"/>
      <c r="J31" s="416" t="n"/>
      <c r="K31" s="416">
        <f>IF(OR(I31="",J31=""),"",I31-J31)</f>
        <v/>
      </c>
      <c r="L31" s="161" t="n">
        <v>232662.84128648</v>
      </c>
      <c r="M31" s="161" t="n">
        <v>243546.03992515</v>
      </c>
      <c r="N31" s="416" t="n"/>
      <c r="O31" s="416" t="n"/>
      <c r="P31" s="162" t="inlineStr">
        <is>
          <t>-</t>
        </is>
      </c>
      <c r="Q31" s="219" t="n">
        <v>24</v>
      </c>
      <c r="R31" s="219" t="n">
        <v>441187</v>
      </c>
      <c r="S31" s="522" t="n">
        <v>81737.29179915</v>
      </c>
      <c r="T31" s="522" t="n">
        <v>50230.25046102</v>
      </c>
      <c r="U31" s="522" t="n">
        <v>31507.04133813</v>
      </c>
      <c r="V31" s="522" t="n">
        <v>266389.92710225</v>
      </c>
      <c r="W31" s="522" t="n">
        <v>262306.58818221</v>
      </c>
      <c r="X31" s="219" t="n">
        <v>1</v>
      </c>
      <c r="Y31" s="522" t="n">
        <v>0</v>
      </c>
      <c r="Z31" s="221" t="inlineStr">
        <is>
          <t>-</t>
        </is>
      </c>
      <c r="AA31" s="219" t="n">
        <v>24</v>
      </c>
      <c r="AB31" s="219" t="n">
        <v>445926</v>
      </c>
      <c r="AC31" s="522" t="n">
        <v>63772.2930002</v>
      </c>
      <c r="AD31" s="522" t="n">
        <v>52549.2117698</v>
      </c>
      <c r="AE31" s="522" t="n">
        <v>11223.0812304</v>
      </c>
      <c r="AF31" s="522" t="n">
        <v>279475.7763458</v>
      </c>
      <c r="AG31" s="522" t="n">
        <v>273313.49433529</v>
      </c>
      <c r="AH31" s="219" t="n">
        <v>1</v>
      </c>
      <c r="AI31" s="522" t="n">
        <v>0</v>
      </c>
      <c r="AJ31" s="221" t="inlineStr">
        <is>
          <t>-</t>
        </is>
      </c>
      <c r="AK31" s="219" t="n">
        <v>24</v>
      </c>
      <c r="AL31" s="219" t="n">
        <v>450098</v>
      </c>
      <c r="AM31" s="522" t="n">
        <v>93866.45267041</v>
      </c>
      <c r="AN31" s="522" t="n">
        <v>84382.16077816</v>
      </c>
      <c r="AO31" s="522" t="n">
        <v>9484.291892249979</v>
      </c>
      <c r="AP31" s="522" t="n">
        <v>290723.82345488</v>
      </c>
      <c r="AQ31" s="522" t="n">
        <v>278402.59246697</v>
      </c>
      <c r="AR31" s="219" t="n">
        <v>1</v>
      </c>
      <c r="AS31" s="522" t="n">
        <v>0</v>
      </c>
      <c r="AT31" s="221" t="inlineStr">
        <is>
          <t>-</t>
        </is>
      </c>
      <c r="AU31" s="219" t="n">
        <v>25</v>
      </c>
      <c r="AV31" s="219" t="n">
        <v>509995</v>
      </c>
      <c r="AW31" s="522" t="n">
        <v>115459.50943251</v>
      </c>
      <c r="AX31" s="522" t="n">
        <v>70885.90516181001</v>
      </c>
      <c r="AY31" s="522" t="n">
        <v>44573.6042707</v>
      </c>
      <c r="AZ31" s="522" t="n">
        <v>337161.18443345</v>
      </c>
      <c r="BA31" s="522" t="n">
        <v>332443.33440768</v>
      </c>
      <c r="BB31" s="219" t="n">
        <v>1</v>
      </c>
      <c r="BC31" s="522" t="n">
        <v>0</v>
      </c>
      <c r="BD31" s="221" t="inlineStr">
        <is>
          <t>-</t>
        </is>
      </c>
      <c r="BE31" s="219" t="n">
        <v>25</v>
      </c>
      <c r="BF31" s="219" t="n">
        <v>516255</v>
      </c>
      <c r="BG31" s="522" t="n">
        <v>63472.65143397</v>
      </c>
      <c r="BH31" s="522" t="n">
        <v>61262.12355264</v>
      </c>
      <c r="BI31" s="522" t="n">
        <v>2210.52788133</v>
      </c>
      <c r="BJ31" s="522" t="n">
        <v>340867.68771892</v>
      </c>
      <c r="BK31" s="522" t="n">
        <v>339739.89454315</v>
      </c>
      <c r="BL31" s="219" t="n">
        <v>1</v>
      </c>
      <c r="BM31" s="522" t="n">
        <v>0</v>
      </c>
      <c r="BN31" s="221" t="inlineStr">
        <is>
          <t>-</t>
        </is>
      </c>
      <c r="BO31" s="219" t="n">
        <v>25</v>
      </c>
      <c r="BP31" s="219" t="n">
        <v>515392</v>
      </c>
      <c r="BQ31" s="522" t="n">
        <v>99827.92961596001</v>
      </c>
      <c r="BR31" s="522" t="n">
        <v>117727.82534611</v>
      </c>
      <c r="BS31" s="522" t="n">
        <v>-17899.89573015</v>
      </c>
      <c r="BT31" s="522" t="n">
        <v>324657.10299331</v>
      </c>
      <c r="BU31" s="522" t="n">
        <v>329551.50459549</v>
      </c>
      <c r="BV31" s="219" t="n">
        <v>1</v>
      </c>
      <c r="BW31" s="522" t="n">
        <v>0</v>
      </c>
      <c r="BX31" s="221" t="inlineStr">
        <is>
          <t>-</t>
        </is>
      </c>
      <c r="BY31" s="219" t="n">
        <v>25</v>
      </c>
      <c r="BZ31" s="219" t="n">
        <v>518211</v>
      </c>
      <c r="CA31" s="522" t="n">
        <v>84507.06205442001</v>
      </c>
      <c r="CB31" s="522" t="n">
        <v>66590.62488336999</v>
      </c>
      <c r="CC31" s="522" t="n">
        <v>17916.43717105</v>
      </c>
      <c r="CD31" s="522" t="n">
        <v>344278.88567457</v>
      </c>
      <c r="CE31" s="522" t="n">
        <v>335800.69028261</v>
      </c>
      <c r="CF31" s="219" t="n">
        <v>1</v>
      </c>
      <c r="CG31" s="522" t="n">
        <v>0</v>
      </c>
      <c r="CH31" s="221" t="inlineStr">
        <is>
          <t>-</t>
        </is>
      </c>
      <c r="CI31" s="219" t="n">
        <v>26</v>
      </c>
      <c r="CJ31" s="219" t="n">
        <v>524263</v>
      </c>
      <c r="CK31" s="522" t="n">
        <v>58229.83120376</v>
      </c>
      <c r="CL31" s="522" t="n">
        <v>47125.45857461</v>
      </c>
      <c r="CM31" s="522" t="n">
        <v>11104.37262915</v>
      </c>
      <c r="CN31" s="522" t="n">
        <v>357101.16292299</v>
      </c>
      <c r="CO31" s="522" t="n">
        <v>349189.41093871</v>
      </c>
      <c r="CP31" s="219" t="n">
        <v>1</v>
      </c>
      <c r="CQ31" s="522" t="n">
        <v>0</v>
      </c>
      <c r="CR31" s="221" t="inlineStr">
        <is>
          <t>-</t>
        </is>
      </c>
      <c r="CS31" s="219" t="n">
        <v>26</v>
      </c>
      <c r="CT31" s="219" t="n">
        <v>524338</v>
      </c>
      <c r="CU31" s="522" t="n">
        <v>82193.00764831989</v>
      </c>
      <c r="CV31" s="522" t="n">
        <v>122657.36441821</v>
      </c>
      <c r="CW31" s="522" t="n">
        <v>-40464.3567698901</v>
      </c>
      <c r="CX31" s="522" t="n">
        <v>318352.49264709</v>
      </c>
      <c r="CY31" s="522" t="n">
        <v>343897.00213803</v>
      </c>
      <c r="CZ31" s="219" t="n">
        <v>1</v>
      </c>
      <c r="DA31" s="522" t="n">
        <v>0</v>
      </c>
      <c r="DB31" s="222" t="inlineStr">
        <is>
          <t>-</t>
        </is>
      </c>
      <c r="DC31" s="223" t="n">
        <v>27</v>
      </c>
      <c r="DD31" s="223" t="n">
        <v>523717</v>
      </c>
      <c r="DE31" s="523" t="n">
        <v>69043.59321412</v>
      </c>
      <c r="DF31" s="523" t="n">
        <v>56280.12128744</v>
      </c>
      <c r="DG31" s="523" t="n">
        <v>12763.4719266801</v>
      </c>
      <c r="DH31" s="523" t="n">
        <v>332151.98422394</v>
      </c>
      <c r="DI31" s="523" t="n">
        <v>328273.70990132</v>
      </c>
      <c r="DJ31" s="223" t="n">
        <v>1</v>
      </c>
      <c r="DK31" s="523" t="n">
        <v>0</v>
      </c>
      <c r="DL31" s="222" t="inlineStr">
        <is>
          <t>-</t>
        </is>
      </c>
      <c r="DM31" s="280">
        <f>S31+AC31+AM31+AW31+BG31+BQ31+CA31+CK31+CU31+DE31</f>
        <v/>
      </c>
      <c r="DN31" s="275">
        <f>U31+AE31+AO31+AY31+BI31+BS31+CC31+CM31+CW31+DG31</f>
        <v/>
      </c>
      <c r="DO31" s="222" t="inlineStr">
        <is>
          <t>-</t>
        </is>
      </c>
      <c r="DP31" s="226">
        <f>IFERROR((DE31-CU31)/CU31,"-")</f>
        <v/>
      </c>
      <c r="DQ31" s="226">
        <f>IFERROR((DG31-CW31)/CW31,"-")</f>
        <v/>
      </c>
      <c r="DR31" s="288">
        <f>IFERROR((DH31-CX31)/CX31,"-")</f>
        <v/>
      </c>
      <c r="DS31" s="223" t="n">
        <v>27</v>
      </c>
      <c r="DT31" s="223" t="n">
        <v>530343</v>
      </c>
      <c r="DU31" s="223" t="n">
        <v>72589.16417338001</v>
      </c>
      <c r="DV31" s="223" t="n">
        <v>66322.6556583201</v>
      </c>
      <c r="DW31" s="223" t="n">
        <v>6266.50851505995</v>
      </c>
      <c r="DX31" s="223" t="n">
        <v>340401.47380524</v>
      </c>
      <c r="DY31" s="223" t="n">
        <v>339011.2050037</v>
      </c>
      <c r="DZ31" s="223" t="n">
        <v>1</v>
      </c>
      <c r="EA31" s="223" t="n">
        <v>0</v>
      </c>
      <c r="EB31" s="222" t="inlineStr">
        <is>
          <t>-</t>
        </is>
      </c>
      <c r="EC31" s="280">
        <f>S31+AC31+AM31+AW31+BG31+BQ31+CA31+CK31+CU31+DE31+DU31</f>
        <v/>
      </c>
      <c r="ED31" s="275">
        <f>U31+AE31+AO31+AY31+BI31+BS31+CC31+CM31+CW31+DG31+DW31</f>
        <v/>
      </c>
      <c r="EE31" s="222" t="inlineStr">
        <is>
          <t>-</t>
        </is>
      </c>
      <c r="EF31" s="226">
        <f>IFERROR((DU31-DE31)/DE31,"-")</f>
        <v/>
      </c>
      <c r="EG31" s="226">
        <f>IFERROR((DW31-DG31)/DG31,"-")</f>
        <v/>
      </c>
      <c r="EH31" s="288">
        <f>IFERROR((DX31-DH31)/DH31,"-")</f>
        <v/>
      </c>
      <c r="EI31" s="222" t="inlineStr">
        <is>
          <t>-</t>
        </is>
      </c>
      <c r="EJ31" s="223" t="n">
        <v>27</v>
      </c>
      <c r="EK31" s="223" t="n">
        <v>529089</v>
      </c>
      <c r="EL31" s="223" t="n">
        <v>88255.23850483001</v>
      </c>
      <c r="EM31" s="223" t="n">
        <v>117462.22276292</v>
      </c>
      <c r="EN31" s="223" t="n">
        <v>-29206.9842580899</v>
      </c>
      <c r="EO31" s="223" t="n">
        <v>312294.18929502</v>
      </c>
      <c r="EP31" s="223" t="n">
        <v>314312.21141596</v>
      </c>
      <c r="EQ31" s="223" t="n">
        <v>1</v>
      </c>
      <c r="ER31" s="223" t="n">
        <v>0</v>
      </c>
      <c r="ES31" s="222" t="inlineStr">
        <is>
          <t>-</t>
        </is>
      </c>
      <c r="ET31" s="280">
        <f>S31+AC31+AM31+AW31+BG31+BQ31+CA31+CK31+CU31+DE31+DU31+EL31</f>
        <v/>
      </c>
      <c r="EU31" s="275">
        <f>U31+AE31+AO31+AY31+BI31+BS31+CC31+CM31+CW31+DG31+DW31+EN31</f>
        <v/>
      </c>
      <c r="EV31" s="222" t="inlineStr">
        <is>
          <t>-</t>
        </is>
      </c>
      <c r="EW31" s="300">
        <f>IFERROR((EL31-DU31)/DU31,"-")</f>
        <v/>
      </c>
      <c r="EX31" s="293">
        <f>IFERROR((EN31-DW31)/DW31,"-")</f>
        <v/>
      </c>
      <c r="EY31" s="288">
        <f>IFERROR((EO31-DX31)/DX31,"-")</f>
        <v/>
      </c>
    </row>
    <row r="32" hidden="1" outlineLevel="1">
      <c r="A32" s="159" t="inlineStr">
        <is>
          <t>Low Duration Fund</t>
        </is>
      </c>
      <c r="B32" s="160" t="inlineStr">
        <is>
          <t>Income/Debt Oriented Schemes</t>
        </is>
      </c>
      <c r="C32" s="160" t="inlineStr">
        <is>
          <t>Open ended Schemes</t>
        </is>
      </c>
      <c r="D32" s="160" t="inlineStr">
        <is>
          <t>Debt</t>
        </is>
      </c>
      <c r="E32" s="160" t="inlineStr">
        <is>
          <t>TD</t>
        </is>
      </c>
      <c r="F32" s="160" t="inlineStr">
        <is>
          <t>Active Debt (incl Hybrid)</t>
        </is>
      </c>
      <c r="G32" s="416" t="n"/>
      <c r="H32" s="416" t="n"/>
      <c r="I32" s="416" t="n"/>
      <c r="J32" s="416" t="n"/>
      <c r="K32" s="416">
        <f>IF(OR(I32="",J32=""),"",I32-J32)</f>
        <v/>
      </c>
      <c r="L32" s="161" t="n">
        <v>112928.32885561</v>
      </c>
      <c r="M32" s="161" t="n">
        <v>113669.5935756</v>
      </c>
      <c r="N32" s="416" t="n"/>
      <c r="O32" s="416" t="n"/>
      <c r="P32" s="162" t="inlineStr">
        <is>
          <t>-</t>
        </is>
      </c>
      <c r="Q32" s="219" t="n">
        <v>22</v>
      </c>
      <c r="R32" s="219" t="n">
        <v>838798</v>
      </c>
      <c r="S32" s="522" t="n">
        <v>22423.12953658</v>
      </c>
      <c r="T32" s="522" t="n">
        <v>13052.50480639</v>
      </c>
      <c r="U32" s="522" t="n">
        <v>9370.62473019</v>
      </c>
      <c r="V32" s="522" t="n">
        <v>123442.3368329</v>
      </c>
      <c r="W32" s="522" t="n">
        <v>119553.60757038</v>
      </c>
      <c r="X32" s="219" t="n">
        <v>0</v>
      </c>
      <c r="Y32" s="522" t="n">
        <v>0</v>
      </c>
      <c r="Z32" s="221" t="inlineStr">
        <is>
          <t>-</t>
        </is>
      </c>
      <c r="AA32" s="219" t="n">
        <v>22</v>
      </c>
      <c r="AB32" s="219" t="n">
        <v>846370</v>
      </c>
      <c r="AC32" s="522" t="n">
        <v>13952.95801881</v>
      </c>
      <c r="AD32" s="522" t="n">
        <v>10819.35895483</v>
      </c>
      <c r="AE32" s="522" t="n">
        <v>3133.59906398</v>
      </c>
      <c r="AF32" s="522" t="n">
        <v>127552.75661949</v>
      </c>
      <c r="AG32" s="522" t="n">
        <v>126308.63752791</v>
      </c>
      <c r="AH32" s="219" t="n">
        <v>0</v>
      </c>
      <c r="AI32" s="522" t="n">
        <v>0</v>
      </c>
      <c r="AJ32" s="221" t="inlineStr">
        <is>
          <t>-</t>
        </is>
      </c>
      <c r="AK32" s="219" t="n">
        <v>22</v>
      </c>
      <c r="AL32" s="219" t="n">
        <v>849791</v>
      </c>
      <c r="AM32" s="522" t="n">
        <v>21118.17126993</v>
      </c>
      <c r="AN32" s="522" t="n">
        <v>17981.76960928</v>
      </c>
      <c r="AO32" s="522" t="n">
        <v>3136.40166065</v>
      </c>
      <c r="AP32" s="522" t="n">
        <v>131414.89293928</v>
      </c>
      <c r="AQ32" s="522" t="n">
        <v>129766.89411385</v>
      </c>
      <c r="AR32" s="219" t="n">
        <v>0</v>
      </c>
      <c r="AS32" s="522" t="n">
        <v>0</v>
      </c>
      <c r="AT32" s="221" t="inlineStr">
        <is>
          <t>-</t>
        </is>
      </c>
      <c r="AU32" s="219" t="n">
        <v>23</v>
      </c>
      <c r="AV32" s="219" t="n">
        <v>854453</v>
      </c>
      <c r="AW32" s="522" t="n">
        <v>27694.83479684</v>
      </c>
      <c r="AX32" s="522" t="n">
        <v>17928.61854428</v>
      </c>
      <c r="AY32" s="522" t="n">
        <v>9766.21625256</v>
      </c>
      <c r="AZ32" s="522" t="n">
        <v>141985.61691193</v>
      </c>
      <c r="BA32" s="522" t="n">
        <v>139357.61952253</v>
      </c>
      <c r="BB32" s="219" t="n">
        <v>0</v>
      </c>
      <c r="BC32" s="522" t="n">
        <v>0</v>
      </c>
      <c r="BD32" s="221" t="inlineStr">
        <is>
          <t>-</t>
        </is>
      </c>
      <c r="BE32" s="219" t="n">
        <v>23</v>
      </c>
      <c r="BF32" s="219" t="n">
        <v>857058</v>
      </c>
      <c r="BG32" s="522" t="n">
        <v>17277.48068401</v>
      </c>
      <c r="BH32" s="522" t="n">
        <v>16800.68162725</v>
      </c>
      <c r="BI32" s="522" t="n">
        <v>476.799056759999</v>
      </c>
      <c r="BJ32" s="522" t="n">
        <v>142933.64913729</v>
      </c>
      <c r="BK32" s="522" t="n">
        <v>145670.66536993</v>
      </c>
      <c r="BL32" s="219" t="n">
        <v>0</v>
      </c>
      <c r="BM32" s="522" t="n">
        <v>0</v>
      </c>
      <c r="BN32" s="221" t="inlineStr">
        <is>
          <t>-</t>
        </is>
      </c>
      <c r="BO32" s="219" t="n">
        <v>23</v>
      </c>
      <c r="BP32" s="219" t="n">
        <v>851734</v>
      </c>
      <c r="BQ32" s="522" t="n">
        <v>26196.10948618</v>
      </c>
      <c r="BR32" s="522" t="n">
        <v>27449.33213504</v>
      </c>
      <c r="BS32" s="522" t="n">
        <v>-1253.22264886</v>
      </c>
      <c r="BT32" s="522" t="n">
        <v>142510.48501196</v>
      </c>
      <c r="BU32" s="522" t="n">
        <v>141908.54294299</v>
      </c>
      <c r="BV32" s="219" t="n">
        <v>0</v>
      </c>
      <c r="BW32" s="522" t="n">
        <v>0</v>
      </c>
      <c r="BX32" s="221" t="inlineStr">
        <is>
          <t>-</t>
        </is>
      </c>
      <c r="BY32" s="219" t="n">
        <v>23</v>
      </c>
      <c r="BZ32" s="219" t="n">
        <v>850992</v>
      </c>
      <c r="CA32" s="522" t="n">
        <v>21152.52799893</v>
      </c>
      <c r="CB32" s="522" t="n">
        <v>13635.9604628</v>
      </c>
      <c r="CC32" s="522" t="n">
        <v>7516.56753612998</v>
      </c>
      <c r="CD32" s="522" t="n">
        <v>150904.84167894</v>
      </c>
      <c r="CE32" s="522" t="n">
        <v>149824.3768388</v>
      </c>
      <c r="CF32" s="219" t="n">
        <v>0</v>
      </c>
      <c r="CG32" s="522" t="n">
        <v>0</v>
      </c>
      <c r="CH32" s="221" t="inlineStr">
        <is>
          <t>-</t>
        </is>
      </c>
      <c r="CI32" s="219" t="n">
        <v>23</v>
      </c>
      <c r="CJ32" s="219" t="n">
        <v>852413</v>
      </c>
      <c r="CK32" s="522" t="n">
        <v>20416.1719615</v>
      </c>
      <c r="CL32" s="522" t="n">
        <v>15435.52335326</v>
      </c>
      <c r="CM32" s="522" t="n">
        <v>4980.64860824004</v>
      </c>
      <c r="CN32" s="522" t="n">
        <v>156704.97706995</v>
      </c>
      <c r="CO32" s="522" t="n">
        <v>154517.11091451</v>
      </c>
      <c r="CP32" s="219" t="n">
        <v>0</v>
      </c>
      <c r="CQ32" s="522" t="n">
        <v>0</v>
      </c>
      <c r="CR32" s="221" t="inlineStr">
        <is>
          <t>-</t>
        </is>
      </c>
      <c r="CS32" s="219" t="n">
        <v>23</v>
      </c>
      <c r="CT32" s="219" t="n">
        <v>851239</v>
      </c>
      <c r="CU32" s="522" t="n">
        <v>16806.60428033</v>
      </c>
      <c r="CV32" s="522" t="n">
        <v>27052.59606022</v>
      </c>
      <c r="CW32" s="522" t="n">
        <v>-10245.99177989</v>
      </c>
      <c r="CX32" s="522" t="n">
        <v>147063.58376529</v>
      </c>
      <c r="CY32" s="522" t="n">
        <v>154652.67178289</v>
      </c>
      <c r="CZ32" s="219" t="n">
        <v>0</v>
      </c>
      <c r="DA32" s="522" t="n">
        <v>0</v>
      </c>
      <c r="DB32" s="222" t="inlineStr">
        <is>
          <t>-</t>
        </is>
      </c>
      <c r="DC32" s="223" t="n">
        <v>24</v>
      </c>
      <c r="DD32" s="223" t="n">
        <v>847633</v>
      </c>
      <c r="DE32" s="523" t="n">
        <v>22871.92206257</v>
      </c>
      <c r="DF32" s="523" t="n">
        <v>18092.74092581</v>
      </c>
      <c r="DG32" s="523" t="n">
        <v>4779.18113675999</v>
      </c>
      <c r="DH32" s="523" t="n">
        <v>152176.2256588</v>
      </c>
      <c r="DI32" s="523" t="n">
        <v>149428.32294505</v>
      </c>
      <c r="DJ32" s="223" t="n">
        <v>0</v>
      </c>
      <c r="DK32" s="523" t="n">
        <v>0</v>
      </c>
      <c r="DL32" s="222" t="inlineStr">
        <is>
          <t>-</t>
        </is>
      </c>
      <c r="DM32" s="280">
        <f>S32+AC32+AM32+AW32+BG32+BQ32+CA32+CK32+CU32+DE32</f>
        <v/>
      </c>
      <c r="DN32" s="275">
        <f>U32+AE32+AO32+AY32+BI32+BS32+CC32+CM32+CW32+DG32</f>
        <v/>
      </c>
      <c r="DO32" s="222" t="inlineStr">
        <is>
          <t>-</t>
        </is>
      </c>
      <c r="DP32" s="226">
        <f>IFERROR((DE32-CU32)/CU32,"-")</f>
        <v/>
      </c>
      <c r="DQ32" s="226">
        <f>IFERROR((DG32-CW32)/CW32,"-")</f>
        <v/>
      </c>
      <c r="DR32" s="288">
        <f>IFERROR((DH32-CX32)/CX32,"-")</f>
        <v/>
      </c>
      <c r="DS32" s="223" t="n">
        <v>25</v>
      </c>
      <c r="DT32" s="223" t="n">
        <v>851082</v>
      </c>
      <c r="DU32" s="223" t="n">
        <v>18390.8565738</v>
      </c>
      <c r="DV32" s="223" t="n">
        <v>16062.11073127</v>
      </c>
      <c r="DW32" s="223" t="n">
        <v>2328.74584253001</v>
      </c>
      <c r="DX32" s="223" t="n">
        <v>155468.48252756</v>
      </c>
      <c r="DY32" s="223" t="n">
        <v>152626.35752033</v>
      </c>
      <c r="DZ32" s="223" t="n">
        <v>0</v>
      </c>
      <c r="EA32" s="223" t="n">
        <v>0</v>
      </c>
      <c r="EB32" s="222" t="inlineStr">
        <is>
          <t>-</t>
        </is>
      </c>
      <c r="EC32" s="280">
        <f>S32+AC32+AM32+AW32+BG32+BQ32+CA32+CK32+CU32+DE32+DU32</f>
        <v/>
      </c>
      <c r="ED32" s="275">
        <f>U32+AE32+AO32+AY32+BI32+BS32+CC32+CM32+CW32+DG32+DW32</f>
        <v/>
      </c>
      <c r="EE32" s="222" t="inlineStr">
        <is>
          <t>-</t>
        </is>
      </c>
      <c r="EF32" s="226">
        <f>IFERROR((DU32-DE32)/DE32,"-")</f>
        <v/>
      </c>
      <c r="EG32" s="226">
        <f>IFERROR((DW32-DG32)/DG32,"-")</f>
        <v/>
      </c>
      <c r="EH32" s="288">
        <f>IFERROR((DX32-DH32)/DH32,"-")</f>
        <v/>
      </c>
      <c r="EI32" s="222" t="inlineStr">
        <is>
          <t>-</t>
        </is>
      </c>
      <c r="EJ32" s="223" t="n">
        <v>25</v>
      </c>
      <c r="EK32" s="223" t="n">
        <v>849973</v>
      </c>
      <c r="EL32" s="223" t="n">
        <v>12597.69057935</v>
      </c>
      <c r="EM32" s="223" t="n">
        <v>37825.15549003</v>
      </c>
      <c r="EN32" s="223" t="n">
        <v>-25227.46491068</v>
      </c>
      <c r="EO32" s="223" t="n">
        <v>130570.0493707</v>
      </c>
      <c r="EP32" s="223" t="n">
        <v>140756.33555792</v>
      </c>
      <c r="EQ32" s="223" t="n">
        <v>0</v>
      </c>
      <c r="ER32" s="223" t="n">
        <v>0</v>
      </c>
      <c r="ES32" s="222" t="inlineStr">
        <is>
          <t>-</t>
        </is>
      </c>
      <c r="ET32" s="280">
        <f>S32+AC32+AM32+AW32+BG32+BQ32+CA32+CK32+CU32+DE32+DU32+EL32</f>
        <v/>
      </c>
      <c r="EU32" s="275">
        <f>U32+AE32+AO32+AY32+BI32+BS32+CC32+CM32+CW32+DG32+DW32+EN32</f>
        <v/>
      </c>
      <c r="EV32" s="222" t="inlineStr">
        <is>
          <t>-</t>
        </is>
      </c>
      <c r="EW32" s="300">
        <f>IFERROR((EL32-DU32)/DU32,"-")</f>
        <v/>
      </c>
      <c r="EX32" s="293">
        <f>IFERROR((EN32-DW32)/DW32,"-")</f>
        <v/>
      </c>
      <c r="EY32" s="288">
        <f>IFERROR((EO32-DX32)/DX32,"-")</f>
        <v/>
      </c>
    </row>
    <row r="33" hidden="1" outlineLevel="1">
      <c r="A33" s="159" t="inlineStr">
        <is>
          <t>Fund of funds investing overseas</t>
        </is>
      </c>
      <c r="B33" s="160" t="inlineStr">
        <is>
          <t>Other Schemes</t>
        </is>
      </c>
      <c r="C33" s="160" t="inlineStr">
        <is>
          <t>Open ended Schemes</t>
        </is>
      </c>
      <c r="D33" s="160" t="inlineStr">
        <is>
          <t>Debt</t>
        </is>
      </c>
      <c r="E33" s="160" t="inlineStr">
        <is>
          <t>TD</t>
        </is>
      </c>
      <c r="F33" s="160" t="inlineStr">
        <is>
          <t>Active Debt (incl Hybrid)</t>
        </is>
      </c>
      <c r="G33" s="416" t="n"/>
      <c r="H33" s="416" t="n"/>
      <c r="I33" s="416" t="n"/>
      <c r="J33" s="416" t="n"/>
      <c r="K33" s="416">
        <f>IF(OR(I33="",J33=""),"",I33-J33)</f>
        <v/>
      </c>
      <c r="L33" s="161" t="n">
        <v>25030.80859536</v>
      </c>
      <c r="M33" s="161" t="n">
        <v>26287.87223356</v>
      </c>
      <c r="N33" s="416" t="n"/>
      <c r="O33" s="416" t="n"/>
      <c r="P33" s="162" t="inlineStr">
        <is>
          <t>-</t>
        </is>
      </c>
      <c r="Q33" s="219" t="n">
        <v>53</v>
      </c>
      <c r="R33" s="219" t="n">
        <v>1382180</v>
      </c>
      <c r="S33" s="522" t="n">
        <v>334.90833284</v>
      </c>
      <c r="T33" s="522" t="n">
        <v>711.73127901</v>
      </c>
      <c r="U33" s="522" t="n">
        <v>-376.82294617</v>
      </c>
      <c r="V33" s="522" t="n">
        <v>24836.17097025</v>
      </c>
      <c r="W33" s="522" t="n">
        <v>24101.52482882</v>
      </c>
      <c r="X33" s="219" t="n">
        <v>0</v>
      </c>
      <c r="Y33" s="522" t="n">
        <v>0</v>
      </c>
      <c r="Z33" s="221" t="inlineStr">
        <is>
          <t>-</t>
        </is>
      </c>
      <c r="AA33" s="219" t="n">
        <v>53</v>
      </c>
      <c r="AB33" s="219" t="n">
        <v>1377236</v>
      </c>
      <c r="AC33" s="522" t="n">
        <v>394.07504035</v>
      </c>
      <c r="AD33" s="522" t="n">
        <v>351.24607208</v>
      </c>
      <c r="AE33" s="522" t="n">
        <v>42.82896827</v>
      </c>
      <c r="AF33" s="522" t="n">
        <v>27014.14923911</v>
      </c>
      <c r="AG33" s="522" t="n">
        <v>26413.73321141</v>
      </c>
      <c r="AH33" s="219" t="n">
        <v>0</v>
      </c>
      <c r="AI33" s="522" t="n">
        <v>0</v>
      </c>
      <c r="AJ33" s="221" t="inlineStr">
        <is>
          <t>-</t>
        </is>
      </c>
      <c r="AK33" s="219" t="n">
        <v>52</v>
      </c>
      <c r="AL33" s="219" t="n">
        <v>1375052</v>
      </c>
      <c r="AM33" s="522" t="n">
        <v>406.33591069</v>
      </c>
      <c r="AN33" s="522" t="n">
        <v>377.53758264</v>
      </c>
      <c r="AO33" s="522" t="n">
        <v>28.7983280500001</v>
      </c>
      <c r="AP33" s="522" t="n">
        <v>28695.42836012</v>
      </c>
      <c r="AQ33" s="522" t="n">
        <v>27984.34227738</v>
      </c>
      <c r="AR33" s="219" t="n">
        <v>0</v>
      </c>
      <c r="AS33" s="522" t="n">
        <v>0</v>
      </c>
      <c r="AT33" s="221" t="inlineStr">
        <is>
          <t>-</t>
        </is>
      </c>
      <c r="AU33" s="219" t="n">
        <v>52</v>
      </c>
      <c r="AV33" s="219" t="n">
        <v>1391034</v>
      </c>
      <c r="AW33" s="522" t="n">
        <v>562.11439195</v>
      </c>
      <c r="AX33" s="522" t="n">
        <v>365.51825126</v>
      </c>
      <c r="AY33" s="522" t="n">
        <v>196.59614069</v>
      </c>
      <c r="AZ33" s="522" t="n">
        <v>30167.65388854</v>
      </c>
      <c r="BA33" s="522" t="n">
        <v>29233.80878351</v>
      </c>
      <c r="BB33" s="219" t="n">
        <v>0</v>
      </c>
      <c r="BC33" s="522" t="n">
        <v>0</v>
      </c>
      <c r="BD33" s="221" t="inlineStr">
        <is>
          <t>-</t>
        </is>
      </c>
      <c r="BE33" s="219" t="n">
        <v>52</v>
      </c>
      <c r="BF33" s="219" t="n">
        <v>1415559</v>
      </c>
      <c r="BG33" s="522" t="n">
        <v>789.7045921599999</v>
      </c>
      <c r="BH33" s="522" t="n">
        <v>289.10395736</v>
      </c>
      <c r="BI33" s="522" t="n">
        <v>500.6006348</v>
      </c>
      <c r="BJ33" s="522" t="n">
        <v>31358.49413</v>
      </c>
      <c r="BK33" s="522" t="n">
        <v>30632.00988215</v>
      </c>
      <c r="BL33" s="219" t="n">
        <v>0</v>
      </c>
      <c r="BM33" s="522" t="n">
        <v>0</v>
      </c>
      <c r="BN33" s="221" t="inlineStr">
        <is>
          <t>-</t>
        </is>
      </c>
      <c r="BO33" s="219" t="n">
        <v>52</v>
      </c>
      <c r="BP33" s="219" t="n">
        <v>1483745</v>
      </c>
      <c r="BQ33" s="522" t="n">
        <v>1375.02808962</v>
      </c>
      <c r="BR33" s="522" t="n">
        <v>413.09120795</v>
      </c>
      <c r="BS33" s="522" t="n">
        <v>961.93688167</v>
      </c>
      <c r="BT33" s="522" t="n">
        <v>34424.15377894</v>
      </c>
      <c r="BU33" s="522" t="n">
        <v>33100.71017679</v>
      </c>
      <c r="BV33" s="219" t="n">
        <v>0</v>
      </c>
      <c r="BW33" s="522" t="n">
        <v>0</v>
      </c>
      <c r="BX33" s="221" t="inlineStr">
        <is>
          <t>-</t>
        </is>
      </c>
      <c r="BY33" s="219" t="n">
        <v>52</v>
      </c>
      <c r="BZ33" s="219" t="n">
        <v>1558989</v>
      </c>
      <c r="CA33" s="522" t="n">
        <v>1333.69076197</v>
      </c>
      <c r="CB33" s="522" t="n">
        <v>519.58062022</v>
      </c>
      <c r="CC33" s="522" t="n">
        <v>814.110141749999</v>
      </c>
      <c r="CD33" s="522" t="n">
        <v>36090.86421521</v>
      </c>
      <c r="CE33" s="522" t="n">
        <v>35039.36636958</v>
      </c>
      <c r="CF33" s="219" t="n">
        <v>0</v>
      </c>
      <c r="CG33" s="522" t="n">
        <v>0</v>
      </c>
      <c r="CH33" s="221" t="inlineStr">
        <is>
          <t>-</t>
        </is>
      </c>
      <c r="CI33" s="219" t="n">
        <v>52</v>
      </c>
      <c r="CJ33" s="219" t="n">
        <v>1612175</v>
      </c>
      <c r="CK33" s="522" t="n">
        <v>753.8052229500011</v>
      </c>
      <c r="CL33" s="522" t="n">
        <v>558.12624361</v>
      </c>
      <c r="CM33" s="522" t="n">
        <v>195.678979340001</v>
      </c>
      <c r="CN33" s="522" t="n">
        <v>35964.96763646</v>
      </c>
      <c r="CO33" s="522" t="n">
        <v>35287.94955255</v>
      </c>
      <c r="CP33" s="219" t="n">
        <v>0</v>
      </c>
      <c r="CQ33" s="522" t="n">
        <v>0</v>
      </c>
      <c r="CR33" s="221" t="inlineStr">
        <is>
          <t>-</t>
        </is>
      </c>
      <c r="CS33" s="219" t="n">
        <v>52</v>
      </c>
      <c r="CT33" s="219" t="n">
        <v>1638654</v>
      </c>
      <c r="CU33" s="522" t="n">
        <v>829.615128259999</v>
      </c>
      <c r="CV33" s="522" t="n">
        <v>683.0461666899999</v>
      </c>
      <c r="CW33" s="522" t="n">
        <v>146.56896157</v>
      </c>
      <c r="CX33" s="522" t="n">
        <v>36584.5293266</v>
      </c>
      <c r="CY33" s="522" t="n">
        <v>36466.87294917</v>
      </c>
      <c r="CZ33" s="219" t="n">
        <v>0</v>
      </c>
      <c r="DA33" s="522" t="n">
        <v>0</v>
      </c>
      <c r="DB33" s="222" t="inlineStr">
        <is>
          <t>-</t>
        </is>
      </c>
      <c r="DC33" s="223" t="n">
        <v>52</v>
      </c>
      <c r="DD33" s="223" t="n">
        <v>1682977</v>
      </c>
      <c r="DE33" s="523" t="n">
        <v>1285.52006361</v>
      </c>
      <c r="DF33" s="523" t="n">
        <v>404.01516667</v>
      </c>
      <c r="DG33" s="523" t="n">
        <v>881.50489694</v>
      </c>
      <c r="DH33" s="523" t="n">
        <v>39229.08223425</v>
      </c>
      <c r="DI33" s="523" t="n">
        <v>38154.74231265</v>
      </c>
      <c r="DJ33" s="223" t="n">
        <v>0</v>
      </c>
      <c r="DK33" s="523" t="n">
        <v>0</v>
      </c>
      <c r="DL33" s="222" t="inlineStr">
        <is>
          <t>-</t>
        </is>
      </c>
      <c r="DM33" s="280">
        <f>S33+AC33+AM33+AW33+BG33+BQ33+CA33+CK33+CU33+DE33</f>
        <v/>
      </c>
      <c r="DN33" s="275">
        <f>U33+AE33+AO33+AY33+BI33+BS33+CC33+CM33+CW33+DG33</f>
        <v/>
      </c>
      <c r="DO33" s="222" t="inlineStr">
        <is>
          <t>-</t>
        </is>
      </c>
      <c r="DP33" s="244">
        <f>IFERROR((DE33-CU33)/CU33,"-")</f>
        <v/>
      </c>
      <c r="DQ33" s="244">
        <f>IFERROR((DG33-CW33)/CW33,"-")</f>
        <v/>
      </c>
      <c r="DR33" s="288">
        <f>IFERROR((DH33-CX33)/CX33,"-")</f>
        <v/>
      </c>
      <c r="DS33" s="223" t="n">
        <v>52</v>
      </c>
      <c r="DT33" s="223" t="n">
        <v>1727097</v>
      </c>
      <c r="DU33" s="223" t="n">
        <v>1412.53856709</v>
      </c>
      <c r="DV33" s="223" t="n">
        <v>508.76545215</v>
      </c>
      <c r="DW33" s="223" t="n">
        <v>903.7731149400011</v>
      </c>
      <c r="DX33" s="223" t="n">
        <v>39595.60863712</v>
      </c>
      <c r="DY33" s="223" t="n">
        <v>38666.72400056</v>
      </c>
      <c r="DZ33" s="223" t="n">
        <v>0</v>
      </c>
      <c r="EA33" s="223" t="n">
        <v>0</v>
      </c>
      <c r="EB33" s="222" t="inlineStr">
        <is>
          <t>-</t>
        </is>
      </c>
      <c r="EC33" s="280">
        <f>S33+AC33+AM33+AW33+BG33+BQ33+CA33+CK33+CU33+DE33+DU33</f>
        <v/>
      </c>
      <c r="ED33" s="275">
        <f>U33+AE33+AO33+AY33+BI33+BS33+CC33+CM33+CW33+DG33+DW33</f>
        <v/>
      </c>
      <c r="EE33" s="222" t="inlineStr">
        <is>
          <t>-</t>
        </is>
      </c>
      <c r="EF33" s="226">
        <f>IFERROR((DU33-DE33)/DE33,"-")</f>
        <v/>
      </c>
      <c r="EG33" s="226">
        <f>IFERROR((DW33-DG33)/DG33,"-")</f>
        <v/>
      </c>
      <c r="EH33" s="288">
        <f>IFERROR((DX33-DH33)/DH33,"-")</f>
        <v/>
      </c>
      <c r="EI33" s="222" t="inlineStr">
        <is>
          <t>-</t>
        </is>
      </c>
      <c r="EJ33" s="223" t="n">
        <v>52</v>
      </c>
      <c r="EK33" s="223" t="n">
        <v>1743628</v>
      </c>
      <c r="EL33" s="223" t="n">
        <v>953.79582254</v>
      </c>
      <c r="EM33" s="223" t="n">
        <v>423.04874967</v>
      </c>
      <c r="EN33" s="223" t="n">
        <v>530.74707287</v>
      </c>
      <c r="EO33" s="223" t="n">
        <v>38286.58428761</v>
      </c>
      <c r="EP33" s="223" t="n">
        <v>38809.76968878</v>
      </c>
      <c r="EQ33" s="223" t="n">
        <v>0</v>
      </c>
      <c r="ER33" s="223" t="n">
        <v>0</v>
      </c>
      <c r="ES33" s="222" t="inlineStr">
        <is>
          <t>-</t>
        </is>
      </c>
      <c r="ET33" s="280">
        <f>S33+AC33+AM33+AW33+BG33+BQ33+CA33+CK33+CU33+DE33+DU33+EL33</f>
        <v/>
      </c>
      <c r="EU33" s="275">
        <f>U33+AE33+AO33+AY33+BI33+BS33+CC33+CM33+CW33+DG33+DW33+EN33</f>
        <v/>
      </c>
      <c r="EV33" s="222" t="inlineStr">
        <is>
          <t>-</t>
        </is>
      </c>
      <c r="EW33" s="300">
        <f>IFERROR((EL33-DU33)/DU33,"-")</f>
        <v/>
      </c>
      <c r="EX33" s="293">
        <f>IFERROR((EN33-DW33)/DW33,"-")</f>
        <v/>
      </c>
      <c r="EY33" s="288">
        <f>IFERROR((EO33-DX33)/DX33,"-")</f>
        <v/>
      </c>
    </row>
    <row r="34" hidden="1" outlineLevel="1">
      <c r="A34" s="159" t="inlineStr">
        <is>
          <t>Fixed Term Plan</t>
        </is>
      </c>
      <c r="B34" s="160" t="inlineStr">
        <is>
          <t>Income/Debt Oriented Schemes</t>
        </is>
      </c>
      <c r="C34" s="160" t="inlineStr">
        <is>
          <t>Close Ended Schemes</t>
        </is>
      </c>
      <c r="D34" s="160" t="inlineStr">
        <is>
          <t>Debt</t>
        </is>
      </c>
      <c r="E34" s="160" t="inlineStr">
        <is>
          <t>FMP</t>
        </is>
      </c>
      <c r="F34" s="160" t="inlineStr">
        <is>
          <t>Active Debt (incl Hybrid)</t>
        </is>
      </c>
      <c r="G34" s="416" t="n"/>
      <c r="H34" s="416" t="n"/>
      <c r="I34" s="416" t="n"/>
      <c r="J34" s="416" t="n"/>
      <c r="K34" s="416">
        <f>IF(OR(I34="",J34=""),"",I34-J34)</f>
        <v/>
      </c>
      <c r="L34" s="161" t="n">
        <v>16140.37329064</v>
      </c>
      <c r="M34" s="161" t="n">
        <v>16106.76218351</v>
      </c>
      <c r="N34" s="416" t="n"/>
      <c r="O34" s="416" t="n"/>
      <c r="P34" s="162" t="inlineStr">
        <is>
          <t>-</t>
        </is>
      </c>
      <c r="Q34" s="219" t="n">
        <v>78</v>
      </c>
      <c r="R34" s="219" t="n">
        <v>63022</v>
      </c>
      <c r="S34" s="522" t="n">
        <v>0</v>
      </c>
      <c r="T34" s="522" t="n">
        <v>1202.704369</v>
      </c>
      <c r="U34" s="522" t="n">
        <v>-1202.704369</v>
      </c>
      <c r="V34" s="522" t="n">
        <v>15106.62355983</v>
      </c>
      <c r="W34" s="522" t="n">
        <v>16201.64908557</v>
      </c>
      <c r="X34" s="219" t="n">
        <v>0</v>
      </c>
      <c r="Y34" s="522" t="n">
        <v>0</v>
      </c>
      <c r="Z34" s="221" t="inlineStr">
        <is>
          <t>-</t>
        </is>
      </c>
      <c r="AA34" s="219" t="n">
        <v>76</v>
      </c>
      <c r="AB34" s="219" t="n">
        <v>62288</v>
      </c>
      <c r="AC34" s="522" t="n">
        <v>0</v>
      </c>
      <c r="AD34" s="522" t="n">
        <v>104.25378585</v>
      </c>
      <c r="AE34" s="522" t="n">
        <v>-104.25378585</v>
      </c>
      <c r="AF34" s="522" t="n">
        <v>15121.30341179</v>
      </c>
      <c r="AG34" s="522" t="n">
        <v>15111.5594686</v>
      </c>
      <c r="AH34" s="219" t="n">
        <v>0</v>
      </c>
      <c r="AI34" s="522" t="n">
        <v>0</v>
      </c>
      <c r="AJ34" s="221" t="inlineStr">
        <is>
          <t>-</t>
        </is>
      </c>
      <c r="AK34" s="219" t="n">
        <v>75</v>
      </c>
      <c r="AL34" s="219" t="n">
        <v>61624</v>
      </c>
      <c r="AM34" s="522" t="n">
        <v>0</v>
      </c>
      <c r="AN34" s="522" t="n">
        <v>144.798206</v>
      </c>
      <c r="AO34" s="522" t="n">
        <v>-144.798206</v>
      </c>
      <c r="AP34" s="522" t="n">
        <v>15041.58406521</v>
      </c>
      <c r="AQ34" s="522" t="n">
        <v>15133.0990062</v>
      </c>
      <c r="AR34" s="219" t="n">
        <v>0</v>
      </c>
      <c r="AS34" s="522" t="n">
        <v>0</v>
      </c>
      <c r="AT34" s="221" t="inlineStr">
        <is>
          <t>-</t>
        </is>
      </c>
      <c r="AU34" s="219" t="n">
        <v>74</v>
      </c>
      <c r="AV34" s="219" t="n">
        <v>60773</v>
      </c>
      <c r="AW34" s="522" t="n">
        <v>0</v>
      </c>
      <c r="AX34" s="522" t="n">
        <v>48.2080230000001</v>
      </c>
      <c r="AY34" s="522" t="n">
        <v>-48.2080230000001</v>
      </c>
      <c r="AZ34" s="522" t="n">
        <v>15072.44758955</v>
      </c>
      <c r="BA34" s="522" t="n">
        <v>15083.25573596</v>
      </c>
      <c r="BB34" s="219" t="n">
        <v>0</v>
      </c>
      <c r="BC34" s="522" t="n">
        <v>0</v>
      </c>
      <c r="BD34" s="221" t="inlineStr">
        <is>
          <t>-</t>
        </is>
      </c>
      <c r="BE34" s="219" t="n">
        <v>74</v>
      </c>
      <c r="BF34" s="219" t="n">
        <v>60773</v>
      </c>
      <c r="BG34" s="522" t="n">
        <v>0</v>
      </c>
      <c r="BH34" s="522" t="n">
        <v>0</v>
      </c>
      <c r="BI34" s="522" t="n">
        <v>0</v>
      </c>
      <c r="BJ34" s="522" t="n">
        <v>15106.0091603</v>
      </c>
      <c r="BK34" s="522" t="n">
        <v>15091.77577616</v>
      </c>
      <c r="BL34" s="219" t="n">
        <v>0</v>
      </c>
      <c r="BM34" s="522" t="n">
        <v>0</v>
      </c>
      <c r="BN34" s="221" t="inlineStr">
        <is>
          <t>-</t>
        </is>
      </c>
      <c r="BO34" s="219" t="n">
        <v>72</v>
      </c>
      <c r="BP34" s="219" t="n">
        <v>59389</v>
      </c>
      <c r="BQ34" s="522" t="n">
        <v>0</v>
      </c>
      <c r="BR34" s="522" t="n">
        <v>268.76725788</v>
      </c>
      <c r="BS34" s="522" t="n">
        <v>-268.76725788</v>
      </c>
      <c r="BT34" s="522" t="n">
        <v>14896.98330538</v>
      </c>
      <c r="BU34" s="522" t="n">
        <v>15113.74046619</v>
      </c>
      <c r="BV34" s="219" t="n">
        <v>0</v>
      </c>
      <c r="BW34" s="522" t="n">
        <v>0</v>
      </c>
      <c r="BX34" s="221" t="inlineStr">
        <is>
          <t>-</t>
        </is>
      </c>
      <c r="BY34" s="219" t="n">
        <v>72</v>
      </c>
      <c r="BZ34" s="219" t="n">
        <v>59390</v>
      </c>
      <c r="CA34" s="522" t="n">
        <v>0</v>
      </c>
      <c r="CB34" s="522" t="n">
        <v>0</v>
      </c>
      <c r="CC34" s="522" t="n">
        <v>0</v>
      </c>
      <c r="CD34" s="522" t="n">
        <v>14980.59095192</v>
      </c>
      <c r="CE34" s="522" t="n">
        <v>14945.8370923</v>
      </c>
      <c r="CF34" s="219" t="n">
        <v>0</v>
      </c>
      <c r="CG34" s="522" t="n">
        <v>0</v>
      </c>
      <c r="CH34" s="221" t="inlineStr">
        <is>
          <t>-</t>
        </is>
      </c>
      <c r="CI34" s="219" t="n">
        <v>71</v>
      </c>
      <c r="CJ34" s="219" t="n">
        <v>56322</v>
      </c>
      <c r="CK34" s="522" t="n">
        <v>0</v>
      </c>
      <c r="CL34" s="522" t="n">
        <v>412.772628</v>
      </c>
      <c r="CM34" s="522" t="n">
        <v>-412.772628</v>
      </c>
      <c r="CN34" s="522" t="n">
        <v>14632.22473792</v>
      </c>
      <c r="CO34" s="522" t="n">
        <v>14728.46959702</v>
      </c>
      <c r="CP34" s="219" t="n">
        <v>0</v>
      </c>
      <c r="CQ34" s="522" t="n">
        <v>0</v>
      </c>
      <c r="CR34" s="221" t="inlineStr">
        <is>
          <t>-</t>
        </is>
      </c>
      <c r="CS34" s="219" t="n">
        <v>71</v>
      </c>
      <c r="CT34" s="219" t="n">
        <v>56328</v>
      </c>
      <c r="CU34" s="522" t="n">
        <v>0</v>
      </c>
      <c r="CV34" s="522" t="n">
        <v>4.99999259773176e-08</v>
      </c>
      <c r="CW34" s="522" t="n">
        <v>-4.99999259773176e-08</v>
      </c>
      <c r="CX34" s="522" t="n">
        <v>14701.99305963</v>
      </c>
      <c r="CY34" s="522" t="n">
        <v>14669.48749088</v>
      </c>
      <c r="CZ34" s="219" t="n">
        <v>0</v>
      </c>
      <c r="DA34" s="522" t="n">
        <v>0</v>
      </c>
      <c r="DB34" s="222" t="inlineStr">
        <is>
          <t>-</t>
        </is>
      </c>
      <c r="DC34" s="223" t="n">
        <v>71</v>
      </c>
      <c r="DD34" s="223" t="n">
        <v>56325</v>
      </c>
      <c r="DE34" s="523" t="n">
        <v>0</v>
      </c>
      <c r="DF34" s="523" t="n">
        <v>0</v>
      </c>
      <c r="DG34" s="523" t="n">
        <v>0</v>
      </c>
      <c r="DH34" s="523" t="n">
        <v>14760.99330801</v>
      </c>
      <c r="DI34" s="523" t="n">
        <v>14731.16101389</v>
      </c>
      <c r="DJ34" s="223" t="n">
        <v>0</v>
      </c>
      <c r="DK34" s="523" t="n">
        <v>0</v>
      </c>
      <c r="DL34" s="222" t="inlineStr">
        <is>
          <t>-</t>
        </is>
      </c>
      <c r="DM34" s="280">
        <f>S34+AC34+AM34+AW34+BG34+BQ34+CA34+CK34+CU34+DE34</f>
        <v/>
      </c>
      <c r="DN34" s="275">
        <f>U34+AE34+AO34+AY34+BI34+BS34+CC34+CM34+CW34+DG34</f>
        <v/>
      </c>
      <c r="DO34" s="222" t="inlineStr">
        <is>
          <t>-</t>
        </is>
      </c>
      <c r="DP34" s="226" t="n">
        <v>0</v>
      </c>
      <c r="DQ34" s="226">
        <f>IFERROR((DG34-CW34)/CW34,"-")</f>
        <v/>
      </c>
      <c r="DR34" s="288">
        <f>IFERROR((DH34-CX34)/CX34,"-")</f>
        <v/>
      </c>
      <c r="DS34" s="223" t="n">
        <v>72</v>
      </c>
      <c r="DT34" s="223" t="n">
        <v>56636</v>
      </c>
      <c r="DU34" s="223" t="n">
        <v>378.303881</v>
      </c>
      <c r="DV34" s="223" t="n">
        <v>0</v>
      </c>
      <c r="DW34" s="223" t="n">
        <v>378.303881</v>
      </c>
      <c r="DX34" s="223" t="n">
        <v>15215.48009179</v>
      </c>
      <c r="DY34" s="223" t="n">
        <v>14868.38552327</v>
      </c>
      <c r="DZ34" s="223" t="n">
        <v>0</v>
      </c>
      <c r="EA34" s="223" t="n">
        <v>0</v>
      </c>
      <c r="EB34" s="222" t="inlineStr">
        <is>
          <t>-</t>
        </is>
      </c>
      <c r="EC34" s="280">
        <f>S34+AC34+AM34+AW34+BG34+BQ34+CA34+CK34+CU34+DE34+DU34</f>
        <v/>
      </c>
      <c r="ED34" s="275">
        <f>U34+AE34+AO34+AY34+BI34+BS34+CC34+CM34+CW34+DG34+DW34</f>
        <v/>
      </c>
      <c r="EE34" s="222" t="inlineStr">
        <is>
          <t>-</t>
        </is>
      </c>
      <c r="EF34" s="226">
        <f>IFERROR((DU34-DE34)/DE34,"-")</f>
        <v/>
      </c>
      <c r="EG34" s="226">
        <f>IFERROR((DW34-DG34)/DG34,"-")</f>
        <v/>
      </c>
      <c r="EH34" s="288">
        <f>IFERROR((DX34-DH34)/DH34,"-")</f>
        <v/>
      </c>
      <c r="EI34" s="222" t="inlineStr">
        <is>
          <t>-</t>
        </is>
      </c>
      <c r="EJ34" s="223" t="n">
        <v>73</v>
      </c>
      <c r="EK34" s="223" t="n">
        <v>56845</v>
      </c>
      <c r="EL34" s="223" t="n">
        <v>242.2312</v>
      </c>
      <c r="EM34" s="223" t="n">
        <v>0</v>
      </c>
      <c r="EN34" s="223" t="n">
        <v>242.2312</v>
      </c>
      <c r="EO34" s="223" t="n">
        <v>15506.45627467</v>
      </c>
      <c r="EP34" s="223" t="n">
        <v>15399.02886551</v>
      </c>
      <c r="EQ34" s="223" t="n">
        <v>0</v>
      </c>
      <c r="ER34" s="223" t="n">
        <v>0</v>
      </c>
      <c r="ES34" s="222" t="inlineStr">
        <is>
          <t>-</t>
        </is>
      </c>
      <c r="ET34" s="280">
        <f>S34+AC34+AM34+AW34+BG34+BQ34+CA34+CK34+CU34+DE34+DU34+EL34</f>
        <v/>
      </c>
      <c r="EU34" s="275">
        <f>U34+AE34+AO34+AY34+BI34+BS34+CC34+CM34+CW34+DG34+DW34+EN34</f>
        <v/>
      </c>
      <c r="EV34" s="222" t="inlineStr">
        <is>
          <t>-</t>
        </is>
      </c>
      <c r="EW34" s="300">
        <f>IFERROR((EL34-DU34)/DU34,"-")</f>
        <v/>
      </c>
      <c r="EX34" s="293">
        <f>IFERROR((EN34-DW34)/DW34,"-")</f>
        <v/>
      </c>
      <c r="EY34" s="288">
        <f>IFERROR((EO34-DX34)/DX34,"-")</f>
        <v/>
      </c>
    </row>
    <row r="35" hidden="1" outlineLevel="1">
      <c r="A35" s="159" t="inlineStr">
        <is>
          <t>Gilt Fund with 10 year constant duration</t>
        </is>
      </c>
      <c r="B35" s="160" t="inlineStr">
        <is>
          <t>Income/Debt Oriented Schemes</t>
        </is>
      </c>
      <c r="C35" s="160" t="inlineStr">
        <is>
          <t>Open ended Schemes</t>
        </is>
      </c>
      <c r="D35" s="160" t="inlineStr">
        <is>
          <t>Debt</t>
        </is>
      </c>
      <c r="E35" s="160" t="inlineStr">
        <is>
          <t>TD</t>
        </is>
      </c>
      <c r="F35" s="160" t="inlineStr">
        <is>
          <t>Active Debt (incl Hybrid)</t>
        </is>
      </c>
      <c r="G35" s="416" t="n"/>
      <c r="H35" s="416" t="n"/>
      <c r="I35" s="416" t="n"/>
      <c r="J35" s="416" t="n"/>
      <c r="K35" s="416">
        <f>IF(OR(I35="",J35=""),"",I35-J35)</f>
        <v/>
      </c>
      <c r="L35" s="161" t="n">
        <v>4938.44157853</v>
      </c>
      <c r="M35" s="161" t="n">
        <v>4936.34015663</v>
      </c>
      <c r="N35" s="416" t="n"/>
      <c r="O35" s="416" t="n"/>
      <c r="P35" s="162" t="inlineStr">
        <is>
          <t>-</t>
        </is>
      </c>
      <c r="Q35" s="219" t="n">
        <v>5</v>
      </c>
      <c r="R35" s="219" t="n">
        <v>36986</v>
      </c>
      <c r="S35" s="522" t="n">
        <v>102.20557955</v>
      </c>
      <c r="T35" s="522" t="n">
        <v>140.94136865</v>
      </c>
      <c r="U35" s="522" t="n">
        <v>-38.7357891</v>
      </c>
      <c r="V35" s="522" t="n">
        <v>5006.88848656</v>
      </c>
      <c r="W35" s="522" t="n">
        <v>4972.32516766</v>
      </c>
      <c r="X35" s="219" t="n">
        <v>0</v>
      </c>
      <c r="Y35" s="522" t="n">
        <v>0</v>
      </c>
      <c r="Z35" s="221" t="inlineStr">
        <is>
          <t>-</t>
        </is>
      </c>
      <c r="AA35" s="219" t="n">
        <v>5</v>
      </c>
      <c r="AB35" s="219" t="n">
        <v>37854</v>
      </c>
      <c r="AC35" s="522" t="n">
        <v>118.43985324</v>
      </c>
      <c r="AD35" s="522" t="n">
        <v>76.89524093999999</v>
      </c>
      <c r="AE35" s="522" t="n">
        <v>41.5446123</v>
      </c>
      <c r="AF35" s="522" t="n">
        <v>5101.47585535</v>
      </c>
      <c r="AG35" s="522" t="n">
        <v>5056.95679215</v>
      </c>
      <c r="AH35" s="219" t="n">
        <v>0</v>
      </c>
      <c r="AI35" s="522" t="n">
        <v>0</v>
      </c>
      <c r="AJ35" s="221" t="inlineStr">
        <is>
          <t>-</t>
        </is>
      </c>
      <c r="AK35" s="219" t="n">
        <v>5</v>
      </c>
      <c r="AL35" s="219" t="n">
        <v>38371</v>
      </c>
      <c r="AM35" s="522" t="n">
        <v>50.87260074</v>
      </c>
      <c r="AN35" s="522" t="n">
        <v>192.66065418</v>
      </c>
      <c r="AO35" s="522" t="n">
        <v>-141.78805344</v>
      </c>
      <c r="AP35" s="522" t="n">
        <v>4935.09282277</v>
      </c>
      <c r="AQ35" s="522" t="n">
        <v>5024.91662407</v>
      </c>
      <c r="AR35" s="219" t="n">
        <v>0</v>
      </c>
      <c r="AS35" s="522" t="n">
        <v>0</v>
      </c>
      <c r="AT35" s="221" t="inlineStr">
        <is>
          <t>-</t>
        </is>
      </c>
      <c r="AU35" s="219" t="n">
        <v>5</v>
      </c>
      <c r="AV35" s="219" t="n">
        <v>39036</v>
      </c>
      <c r="AW35" s="522" t="n">
        <v>88.13189319</v>
      </c>
      <c r="AX35" s="522" t="n">
        <v>214.33523399</v>
      </c>
      <c r="AY35" s="522" t="n">
        <v>-126.2033408</v>
      </c>
      <c r="AZ35" s="522" t="n">
        <v>4821.7917415</v>
      </c>
      <c r="BA35" s="522" t="n">
        <v>4856.63457867</v>
      </c>
      <c r="BB35" s="219" t="n">
        <v>0</v>
      </c>
      <c r="BC35" s="522" t="n">
        <v>0</v>
      </c>
      <c r="BD35" s="221" t="inlineStr">
        <is>
          <t>-</t>
        </is>
      </c>
      <c r="BE35" s="219" t="n">
        <v>5</v>
      </c>
      <c r="BF35" s="219" t="n">
        <v>39073</v>
      </c>
      <c r="BG35" s="522" t="n">
        <v>328.06058707</v>
      </c>
      <c r="BH35" s="522" t="n">
        <v>159.88854596</v>
      </c>
      <c r="BI35" s="522" t="n">
        <v>168.17204111</v>
      </c>
      <c r="BJ35" s="522" t="n">
        <v>4934.72612968</v>
      </c>
      <c r="BK35" s="522" t="n">
        <v>4746.76382733</v>
      </c>
      <c r="BL35" s="219" t="n">
        <v>0</v>
      </c>
      <c r="BM35" s="522" t="n">
        <v>0</v>
      </c>
      <c r="BN35" s="221" t="inlineStr">
        <is>
          <t>-</t>
        </is>
      </c>
      <c r="BO35" s="219" t="n">
        <v>5</v>
      </c>
      <c r="BP35" s="219" t="n">
        <v>38766</v>
      </c>
      <c r="BQ35" s="522" t="n">
        <v>124.37166674</v>
      </c>
      <c r="BR35" s="522" t="n">
        <v>125.89467361</v>
      </c>
      <c r="BS35" s="522" t="n">
        <v>-1.52300687000013</v>
      </c>
      <c r="BT35" s="522" t="n">
        <v>4977.93832586</v>
      </c>
      <c r="BU35" s="522" t="n">
        <v>5007.89808253</v>
      </c>
      <c r="BV35" s="219" t="n">
        <v>0</v>
      </c>
      <c r="BW35" s="522" t="n">
        <v>0</v>
      </c>
      <c r="BX35" s="221" t="inlineStr">
        <is>
          <t>-</t>
        </is>
      </c>
      <c r="BY35" s="219" t="n">
        <v>5</v>
      </c>
      <c r="BZ35" s="219" t="n">
        <v>38270</v>
      </c>
      <c r="CA35" s="522" t="n">
        <v>38.57955166</v>
      </c>
      <c r="CB35" s="522" t="n">
        <v>63.19369291</v>
      </c>
      <c r="CC35" s="522" t="n">
        <v>-24.61414125</v>
      </c>
      <c r="CD35" s="522" t="n">
        <v>4986.56257969</v>
      </c>
      <c r="CE35" s="522" t="n">
        <v>4999.73341286</v>
      </c>
      <c r="CF35" s="219" t="n">
        <v>0</v>
      </c>
      <c r="CG35" s="522" t="n">
        <v>0</v>
      </c>
      <c r="CH35" s="221" t="inlineStr">
        <is>
          <t>-</t>
        </is>
      </c>
      <c r="CI35" s="219" t="n">
        <v>5</v>
      </c>
      <c r="CJ35" s="219" t="n">
        <v>38070</v>
      </c>
      <c r="CK35" s="522" t="n">
        <v>41.8860671800001</v>
      </c>
      <c r="CL35" s="522" t="n">
        <v>86.0817634699999</v>
      </c>
      <c r="CM35" s="522" t="n">
        <v>-44.1956962899999</v>
      </c>
      <c r="CN35" s="522" t="n">
        <v>4973.68615755</v>
      </c>
      <c r="CO35" s="522" t="n">
        <v>4981.37761046</v>
      </c>
      <c r="CP35" s="219" t="n">
        <v>0</v>
      </c>
      <c r="CQ35" s="522" t="n">
        <v>0</v>
      </c>
      <c r="CR35" s="221" t="inlineStr">
        <is>
          <t>-</t>
        </is>
      </c>
      <c r="CS35" s="219" t="n">
        <v>5</v>
      </c>
      <c r="CT35" s="219" t="n">
        <v>37606</v>
      </c>
      <c r="CU35" s="522" t="n">
        <v>43.5632849</v>
      </c>
      <c r="CV35" s="522" t="n">
        <v>146.63695235</v>
      </c>
      <c r="CW35" s="522" t="n">
        <v>-103.07366745</v>
      </c>
      <c r="CX35" s="522" t="n">
        <v>4877.10610722</v>
      </c>
      <c r="CY35" s="522" t="n">
        <v>4929.84943519</v>
      </c>
      <c r="CZ35" s="219" t="n">
        <v>0</v>
      </c>
      <c r="DA35" s="522" t="n">
        <v>0</v>
      </c>
      <c r="DB35" s="222" t="inlineStr">
        <is>
          <t>-</t>
        </is>
      </c>
      <c r="DC35" s="223" t="n">
        <v>5</v>
      </c>
      <c r="DD35" s="223" t="n">
        <v>37098</v>
      </c>
      <c r="DE35" s="523" t="n">
        <v>67.39247174</v>
      </c>
      <c r="DF35" s="523" t="n">
        <v>80.44791087</v>
      </c>
      <c r="DG35" s="523" t="n">
        <v>-13.05543913</v>
      </c>
      <c r="DH35" s="523" t="n">
        <v>4865.29402175</v>
      </c>
      <c r="DI35" s="523" t="n">
        <v>4889.26948935</v>
      </c>
      <c r="DJ35" s="223" t="n">
        <v>0</v>
      </c>
      <c r="DK35" s="523" t="n">
        <v>0</v>
      </c>
      <c r="DL35" s="222" t="inlineStr">
        <is>
          <t>-</t>
        </is>
      </c>
      <c r="DM35" s="280">
        <f>S35+AC35+AM35+AW35+BG35+BQ35+CA35+CK35+CU35+DE35</f>
        <v/>
      </c>
      <c r="DN35" s="275">
        <f>U35+AE35+AO35+AY35+BI35+BS35+CC35+CM35+CW35+DG35</f>
        <v/>
      </c>
      <c r="DO35" s="222" t="inlineStr">
        <is>
          <t>-</t>
        </is>
      </c>
      <c r="DP35" s="226">
        <f>IFERROR((DE35-CU35)/CU35,"-")</f>
        <v/>
      </c>
      <c r="DQ35" s="226">
        <f>IFERROR((DG35-CW35)/CW35,"-")</f>
        <v/>
      </c>
      <c r="DR35" s="288">
        <f>IFERROR((DH35-CX35)/CX35,"-")</f>
        <v/>
      </c>
      <c r="DS35" s="223" t="n">
        <v>5</v>
      </c>
      <c r="DT35" s="223" t="n">
        <v>36717</v>
      </c>
      <c r="DU35" s="223" t="n">
        <v>350.07921743</v>
      </c>
      <c r="DV35" s="223" t="n">
        <v>275.46039653</v>
      </c>
      <c r="DW35" s="223" t="n">
        <v>74.6188208999999</v>
      </c>
      <c r="DX35" s="223" t="n">
        <v>4988.1517057</v>
      </c>
      <c r="DY35" s="223" t="n">
        <v>4976.54803188</v>
      </c>
      <c r="DZ35" s="223" t="n">
        <v>0</v>
      </c>
      <c r="EA35" s="223" t="n">
        <v>0</v>
      </c>
      <c r="EB35" s="222" t="inlineStr">
        <is>
          <t>-</t>
        </is>
      </c>
      <c r="EC35" s="280">
        <f>S35+AC35+AM35+AW35+BG35+BQ35+CA35+CK35+CU35+DE35+DU35</f>
        <v/>
      </c>
      <c r="ED35" s="275">
        <f>U35+AE35+AO35+AY35+BI35+BS35+CC35+CM35+CW35+DG35+DW35</f>
        <v/>
      </c>
      <c r="EE35" s="222" t="inlineStr">
        <is>
          <t>-</t>
        </is>
      </c>
      <c r="EF35" s="226">
        <f>IFERROR((DU35-DE35)/DE35,"-")</f>
        <v/>
      </c>
      <c r="EG35" s="226">
        <f>IFERROR((DW35-DG35)/DG35,"-")</f>
        <v/>
      </c>
      <c r="EH35" s="288">
        <f>IFERROR((DX35-DH35)/DH35,"-")</f>
        <v/>
      </c>
      <c r="EI35" s="222" t="inlineStr">
        <is>
          <t>-</t>
        </is>
      </c>
      <c r="EJ35" s="223" t="n">
        <v>5</v>
      </c>
      <c r="EK35" s="223" t="n">
        <v>36229</v>
      </c>
      <c r="EL35" s="223" t="n">
        <v>57.9849257200001</v>
      </c>
      <c r="EM35" s="223" t="n">
        <v>439.74713466</v>
      </c>
      <c r="EN35" s="223" t="n">
        <v>-381.76220894</v>
      </c>
      <c r="EO35" s="223" t="n">
        <v>4520.88599435</v>
      </c>
      <c r="EP35" s="223" t="n">
        <v>4691.2434874</v>
      </c>
      <c r="EQ35" s="223" t="n">
        <v>0</v>
      </c>
      <c r="ER35" s="223" t="n">
        <v>0</v>
      </c>
      <c r="ES35" s="222" t="inlineStr">
        <is>
          <t>-</t>
        </is>
      </c>
      <c r="ET35" s="280">
        <f>S35+AC35+AM35+AW35+BG35+BQ35+CA35+CK35+CU35+DE35+DU35+EL35</f>
        <v/>
      </c>
      <c r="EU35" s="275">
        <f>U35+AE35+AO35+AY35+BI35+BS35+CC35+CM35+CW35+DG35+DW35+EN35</f>
        <v/>
      </c>
      <c r="EV35" s="222" t="inlineStr">
        <is>
          <t>-</t>
        </is>
      </c>
      <c r="EW35" s="300">
        <f>IFERROR((EL35-DU35)/DU35,"-")</f>
        <v/>
      </c>
      <c r="EX35" s="293">
        <f>IFERROR((EN35-DW35)/DW35,"-")</f>
        <v/>
      </c>
      <c r="EY35" s="288">
        <f>IFERROR((EO35-DX35)/DX35,"-")</f>
        <v/>
      </c>
    </row>
    <row r="36" hidden="1" outlineLevel="1">
      <c r="A36" s="159" t="inlineStr">
        <is>
          <t>Floater Fund</t>
        </is>
      </c>
      <c r="B36" s="160" t="inlineStr">
        <is>
          <t>Income/Debt Oriented Schemes</t>
        </is>
      </c>
      <c r="C36" s="160" t="inlineStr">
        <is>
          <t>Open ended Schemes</t>
        </is>
      </c>
      <c r="D36" s="160" t="inlineStr">
        <is>
          <t>Debt</t>
        </is>
      </c>
      <c r="E36" s="160" t="inlineStr">
        <is>
          <t>TD</t>
        </is>
      </c>
      <c r="F36" s="160" t="inlineStr">
        <is>
          <t>Active Debt (incl Hybrid)</t>
        </is>
      </c>
      <c r="G36" s="416" t="n"/>
      <c r="H36" s="416" t="n"/>
      <c r="I36" s="416" t="n"/>
      <c r="J36" s="416" t="n"/>
      <c r="K36" s="416">
        <f>IF(OR(I36="",J36=""),"",I36-J36)</f>
        <v/>
      </c>
      <c r="L36" s="161" t="n">
        <v>49822.03896239</v>
      </c>
      <c r="M36" s="161" t="n">
        <v>50232.15050281</v>
      </c>
      <c r="N36" s="416" t="n"/>
      <c r="O36" s="416" t="n"/>
      <c r="P36" s="162" t="inlineStr">
        <is>
          <t>-</t>
        </is>
      </c>
      <c r="Q36" s="219" t="n">
        <v>12</v>
      </c>
      <c r="R36" s="219" t="n">
        <v>197464</v>
      </c>
      <c r="S36" s="522" t="n">
        <v>2171.36770275</v>
      </c>
      <c r="T36" s="522" t="n">
        <v>1600.95956053</v>
      </c>
      <c r="U36" s="522" t="n">
        <v>570.4081422199999</v>
      </c>
      <c r="V36" s="522" t="n">
        <v>50979.75102918</v>
      </c>
      <c r="W36" s="522" t="n">
        <v>50844.96619053</v>
      </c>
      <c r="X36" s="219" t="n">
        <v>0</v>
      </c>
      <c r="Y36" s="522" t="n">
        <v>0</v>
      </c>
      <c r="Z36" s="221" t="inlineStr">
        <is>
          <t>-</t>
        </is>
      </c>
      <c r="AA36" s="219" t="n">
        <v>12</v>
      </c>
      <c r="AB36" s="219" t="n">
        <v>198875</v>
      </c>
      <c r="AC36" s="522" t="n">
        <v>1315.7081737</v>
      </c>
      <c r="AD36" s="522" t="n">
        <v>1569.77028835</v>
      </c>
      <c r="AE36" s="522" t="n">
        <v>-254.06211465</v>
      </c>
      <c r="AF36" s="522" t="n">
        <v>51205.42255656</v>
      </c>
      <c r="AG36" s="522" t="n">
        <v>51047.24080124</v>
      </c>
      <c r="AH36" s="219" t="n">
        <v>0</v>
      </c>
      <c r="AI36" s="522" t="n">
        <v>0</v>
      </c>
      <c r="AJ36" s="221" t="inlineStr">
        <is>
          <t>-</t>
        </is>
      </c>
      <c r="AK36" s="219" t="n">
        <v>12</v>
      </c>
      <c r="AL36" s="219" t="n">
        <v>199600</v>
      </c>
      <c r="AM36" s="522" t="n">
        <v>2667.56245866</v>
      </c>
      <c r="AN36" s="522" t="n">
        <v>2436.83799484</v>
      </c>
      <c r="AO36" s="522" t="n">
        <v>230.72446382</v>
      </c>
      <c r="AP36" s="522" t="n">
        <v>51668.08151021</v>
      </c>
      <c r="AQ36" s="522" t="n">
        <v>51830.59839279</v>
      </c>
      <c r="AR36" s="219" t="n">
        <v>0</v>
      </c>
      <c r="AS36" s="522" t="n">
        <v>0</v>
      </c>
      <c r="AT36" s="221" t="inlineStr">
        <is>
          <t>-</t>
        </is>
      </c>
      <c r="AU36" s="219" t="n">
        <v>12</v>
      </c>
      <c r="AV36" s="219" t="n">
        <v>199862</v>
      </c>
      <c r="AW36" s="522" t="n">
        <v>2042.59891491</v>
      </c>
      <c r="AX36" s="522" t="n">
        <v>1878.43459027</v>
      </c>
      <c r="AY36" s="522" t="n">
        <v>164.16432464</v>
      </c>
      <c r="AZ36" s="522" t="n">
        <v>52161.95667985</v>
      </c>
      <c r="BA36" s="522" t="n">
        <v>51992.37571113</v>
      </c>
      <c r="BB36" s="219" t="n">
        <v>0</v>
      </c>
      <c r="BC36" s="522" t="n">
        <v>0</v>
      </c>
      <c r="BD36" s="221" t="inlineStr">
        <is>
          <t>-</t>
        </is>
      </c>
      <c r="BE36" s="219" t="n">
        <v>12</v>
      </c>
      <c r="BF36" s="219" t="n">
        <v>200291</v>
      </c>
      <c r="BG36" s="522" t="n">
        <v>1737.82386427</v>
      </c>
      <c r="BH36" s="522" t="n">
        <v>1942.53926939</v>
      </c>
      <c r="BI36" s="522" t="n">
        <v>-204.71540512</v>
      </c>
      <c r="BJ36" s="522" t="n">
        <v>52030.54587641</v>
      </c>
      <c r="BK36" s="522" t="n">
        <v>52456.25413208</v>
      </c>
      <c r="BL36" s="219" t="n">
        <v>0</v>
      </c>
      <c r="BM36" s="522" t="n">
        <v>0</v>
      </c>
      <c r="BN36" s="221" t="inlineStr">
        <is>
          <t>-</t>
        </is>
      </c>
      <c r="BO36" s="219" t="n">
        <v>12</v>
      </c>
      <c r="BP36" s="219" t="n">
        <v>199240</v>
      </c>
      <c r="BQ36" s="522" t="n">
        <v>984.69171366</v>
      </c>
      <c r="BR36" s="522" t="n">
        <v>2510.77598842</v>
      </c>
      <c r="BS36" s="522" t="n">
        <v>-1526.08427476</v>
      </c>
      <c r="BT36" s="522" t="n">
        <v>50821.35458711</v>
      </c>
      <c r="BU36" s="522" t="n">
        <v>51615.00512882</v>
      </c>
      <c r="BV36" s="219" t="n">
        <v>0</v>
      </c>
      <c r="BW36" s="522" t="n">
        <v>0</v>
      </c>
      <c r="BX36" s="221" t="inlineStr">
        <is>
          <t>-</t>
        </is>
      </c>
      <c r="BY36" s="219" t="n">
        <v>12</v>
      </c>
      <c r="BZ36" s="219" t="n">
        <v>198921</v>
      </c>
      <c r="CA36" s="522" t="n">
        <v>1266.32282526</v>
      </c>
      <c r="CB36" s="522" t="n">
        <v>1528.86459787</v>
      </c>
      <c r="CC36" s="522" t="n">
        <v>-262.541772609999</v>
      </c>
      <c r="CD36" s="522" t="n">
        <v>50931.09573452</v>
      </c>
      <c r="CE36" s="522" t="n">
        <v>50918.40432293</v>
      </c>
      <c r="CF36" s="219" t="n">
        <v>0</v>
      </c>
      <c r="CG36" s="522" t="n">
        <v>0</v>
      </c>
      <c r="CH36" s="221" t="inlineStr">
        <is>
          <t>-</t>
        </is>
      </c>
      <c r="CI36" s="219" t="n">
        <v>12</v>
      </c>
      <c r="CJ36" s="219" t="n">
        <v>199167</v>
      </c>
      <c r="CK36" s="522" t="n">
        <v>1477.71350636</v>
      </c>
      <c r="CL36" s="522" t="n">
        <v>1385.8313671</v>
      </c>
      <c r="CM36" s="522" t="n">
        <v>91.8821392600003</v>
      </c>
      <c r="CN36" s="522" t="n">
        <v>51333.57900838</v>
      </c>
      <c r="CO36" s="522" t="n">
        <v>51199.96124988</v>
      </c>
      <c r="CP36" s="219" t="n">
        <v>0</v>
      </c>
      <c r="CQ36" s="522" t="n">
        <v>0</v>
      </c>
      <c r="CR36" s="221" t="inlineStr">
        <is>
          <t>-</t>
        </is>
      </c>
      <c r="CS36" s="219" t="n">
        <v>12</v>
      </c>
      <c r="CT36" s="219" t="n">
        <v>198710</v>
      </c>
      <c r="CU36" s="522" t="n">
        <v>2723.2887854</v>
      </c>
      <c r="CV36" s="522" t="n">
        <v>2000.85302674</v>
      </c>
      <c r="CW36" s="522" t="n">
        <v>722.4357586599961</v>
      </c>
      <c r="CX36" s="522" t="n">
        <v>52217.24224579</v>
      </c>
      <c r="CY36" s="522" t="n">
        <v>51726.61275063</v>
      </c>
      <c r="CZ36" s="219" t="n">
        <v>0</v>
      </c>
      <c r="DA36" s="522" t="n">
        <v>0</v>
      </c>
      <c r="DB36" s="222" t="inlineStr">
        <is>
          <t>-</t>
        </is>
      </c>
      <c r="DC36" s="223" t="n">
        <v>12</v>
      </c>
      <c r="DD36" s="223" t="n">
        <v>197564</v>
      </c>
      <c r="DE36" s="523" t="n">
        <v>1890.39548709</v>
      </c>
      <c r="DF36" s="523" t="n">
        <v>1621.98018883</v>
      </c>
      <c r="DG36" s="523" t="n">
        <v>268.415298260003</v>
      </c>
      <c r="DH36" s="523" t="n">
        <v>52573.19235636</v>
      </c>
      <c r="DI36" s="523" t="n">
        <v>52680.26484447</v>
      </c>
      <c r="DJ36" s="223" t="n">
        <v>0</v>
      </c>
      <c r="DK36" s="523" t="n">
        <v>0</v>
      </c>
      <c r="DL36" s="222" t="inlineStr">
        <is>
          <t>-</t>
        </is>
      </c>
      <c r="DM36" s="280">
        <f>S36+AC36+AM36+AW36+BG36+BQ36+CA36+CK36+CU36+DE36</f>
        <v/>
      </c>
      <c r="DN36" s="275">
        <f>U36+AE36+AO36+AY36+BI36+BS36+CC36+CM36+CW36+DG36</f>
        <v/>
      </c>
      <c r="DO36" s="222" t="inlineStr">
        <is>
          <t>-</t>
        </is>
      </c>
      <c r="DP36" s="226">
        <f>IFERROR((DE36-CU36)/CU36,"-")</f>
        <v/>
      </c>
      <c r="DQ36" s="226">
        <f>IFERROR((DG36-CW36)/CW36,"-")</f>
        <v/>
      </c>
      <c r="DR36" s="288">
        <f>IFERROR((DH36-CX36)/CX36,"-")</f>
        <v/>
      </c>
      <c r="DS36" s="223" t="n">
        <v>12</v>
      </c>
      <c r="DT36" s="223" t="n">
        <v>198069</v>
      </c>
      <c r="DU36" s="223" t="n">
        <v>1368.0794356</v>
      </c>
      <c r="DV36" s="223" t="n">
        <v>1312.1970207</v>
      </c>
      <c r="DW36" s="223" t="n">
        <v>55.8824148999993</v>
      </c>
      <c r="DX36" s="223" t="n">
        <v>53026.7335055</v>
      </c>
      <c r="DY36" s="223" t="n">
        <v>52822.78672466</v>
      </c>
      <c r="DZ36" s="223" t="n">
        <v>0</v>
      </c>
      <c r="EA36" s="223" t="n">
        <v>0</v>
      </c>
      <c r="EB36" s="222" t="inlineStr">
        <is>
          <t>-</t>
        </is>
      </c>
      <c r="EC36" s="280">
        <f>S36+AC36+AM36+AW36+BG36+BQ36+CA36+CK36+CU36+DE36+DU36</f>
        <v/>
      </c>
      <c r="ED36" s="275">
        <f>U36+AE36+AO36+AY36+BI36+BS36+CC36+CM36+CW36+DG36+DW36</f>
        <v/>
      </c>
      <c r="EE36" s="222" t="inlineStr">
        <is>
          <t>-</t>
        </is>
      </c>
      <c r="EF36" s="226">
        <f>IFERROR((DU36-DE36)/DE36,"-")</f>
        <v/>
      </c>
      <c r="EG36" s="226">
        <f>IFERROR((DW36-DG36)/DG36,"-")</f>
        <v/>
      </c>
      <c r="EH36" s="288">
        <f>IFERROR((DX36-DH36)/DH36,"-")</f>
        <v/>
      </c>
      <c r="EI36" s="222" t="inlineStr">
        <is>
          <t>-</t>
        </is>
      </c>
      <c r="EJ36" s="223" t="n">
        <v>12</v>
      </c>
      <c r="EK36" s="223" t="n">
        <v>197183</v>
      </c>
      <c r="EL36" s="223" t="n">
        <v>1960.85242364</v>
      </c>
      <c r="EM36" s="223" t="n">
        <v>3750.57451653</v>
      </c>
      <c r="EN36" s="223" t="n">
        <v>-1789.72209289</v>
      </c>
      <c r="EO36" s="223" t="n">
        <v>51283.1878153</v>
      </c>
      <c r="EP36" s="223" t="n">
        <v>51967.36976575</v>
      </c>
      <c r="EQ36" s="223" t="n">
        <v>0</v>
      </c>
      <c r="ER36" s="223" t="n">
        <v>0</v>
      </c>
      <c r="ES36" s="222" t="inlineStr">
        <is>
          <t>-</t>
        </is>
      </c>
      <c r="ET36" s="280">
        <f>S36+AC36+AM36+AW36+BG36+BQ36+CA36+CK36+CU36+DE36+DU36+EL36</f>
        <v/>
      </c>
      <c r="EU36" s="275">
        <f>U36+AE36+AO36+AY36+BI36+BS36+CC36+CM36+CW36+DG36+DW36+EN36</f>
        <v/>
      </c>
      <c r="EV36" s="222" t="inlineStr">
        <is>
          <t>-</t>
        </is>
      </c>
      <c r="EW36" s="300">
        <f>IFERROR((EL36-DU36)/DU36,"-")</f>
        <v/>
      </c>
      <c r="EX36" s="293">
        <f>IFERROR((EN36-DW36)/DW36,"-")</f>
        <v/>
      </c>
      <c r="EY36" s="288">
        <f>IFERROR((EO36-DX36)/DX36,"-")</f>
        <v/>
      </c>
    </row>
    <row r="37" hidden="1" outlineLevel="1">
      <c r="A37" s="159" t="inlineStr">
        <is>
          <t>Capital Protection Oriented Schemes</t>
        </is>
      </c>
      <c r="B37" s="160" t="inlineStr">
        <is>
          <t>Income/Debt Oriented Schemes</t>
        </is>
      </c>
      <c r="C37" s="160" t="inlineStr">
        <is>
          <t>Close Ended Schemes</t>
        </is>
      </c>
      <c r="D37" s="160" t="inlineStr">
        <is>
          <t>Debt</t>
        </is>
      </c>
      <c r="E37" s="160" t="inlineStr">
        <is>
          <t>TD</t>
        </is>
      </c>
      <c r="F37" s="160" t="inlineStr">
        <is>
          <t>Active Debt (incl Hybrid)</t>
        </is>
      </c>
      <c r="G37" s="416" t="n"/>
      <c r="H37" s="416" t="n"/>
      <c r="I37" s="416" t="n"/>
      <c r="J37" s="416" t="n"/>
      <c r="K37" s="416">
        <f>IF(OR(I37="",J37=""),"",I37-J37)</f>
        <v/>
      </c>
      <c r="L37" s="161" t="n">
        <v>0</v>
      </c>
      <c r="M37" s="161" t="n">
        <v>0</v>
      </c>
      <c r="N37" s="416" t="n"/>
      <c r="O37" s="416" t="n"/>
      <c r="P37" s="162" t="inlineStr">
        <is>
          <t>-</t>
        </is>
      </c>
      <c r="Q37" s="219" t="n">
        <v>0</v>
      </c>
      <c r="R37" s="219" t="n">
        <v>0</v>
      </c>
      <c r="S37" s="522" t="n">
        <v>0</v>
      </c>
      <c r="T37" s="522" t="n">
        <v>0</v>
      </c>
      <c r="U37" s="522" t="n">
        <v>0</v>
      </c>
      <c r="V37" s="522" t="n">
        <v>0</v>
      </c>
      <c r="W37" s="522" t="n">
        <v>0</v>
      </c>
      <c r="X37" s="219" t="n">
        <v>0</v>
      </c>
      <c r="Y37" s="522" t="n">
        <v>0</v>
      </c>
      <c r="Z37" s="221" t="inlineStr">
        <is>
          <t>-</t>
        </is>
      </c>
      <c r="AA37" s="219" t="n">
        <v>0</v>
      </c>
      <c r="AB37" s="219" t="n">
        <v>0</v>
      </c>
      <c r="AC37" s="522" t="n">
        <v>0</v>
      </c>
      <c r="AD37" s="522" t="n">
        <v>0</v>
      </c>
      <c r="AE37" s="522" t="n">
        <v>0</v>
      </c>
      <c r="AF37" s="522" t="n">
        <v>0</v>
      </c>
      <c r="AG37" s="522" t="n">
        <v>0</v>
      </c>
      <c r="AH37" s="219" t="n">
        <v>0</v>
      </c>
      <c r="AI37" s="522" t="n">
        <v>0</v>
      </c>
      <c r="AJ37" s="221" t="inlineStr">
        <is>
          <t>-</t>
        </is>
      </c>
      <c r="AK37" s="219" t="n">
        <v>0</v>
      </c>
      <c r="AL37" s="219" t="n">
        <v>0</v>
      </c>
      <c r="AM37" s="522" t="n">
        <v>0</v>
      </c>
      <c r="AN37" s="522" t="n">
        <v>0</v>
      </c>
      <c r="AO37" s="522" t="n">
        <v>0</v>
      </c>
      <c r="AP37" s="522" t="n">
        <v>0</v>
      </c>
      <c r="AQ37" s="522" t="n">
        <v>0</v>
      </c>
      <c r="AR37" s="219" t="n">
        <v>0</v>
      </c>
      <c r="AS37" s="522" t="n">
        <v>0</v>
      </c>
      <c r="AT37" s="221" t="inlineStr">
        <is>
          <t>-</t>
        </is>
      </c>
      <c r="AU37" s="219" t="n">
        <v>0</v>
      </c>
      <c r="AV37" s="219" t="n">
        <v>0</v>
      </c>
      <c r="AW37" s="522" t="n">
        <v>0</v>
      </c>
      <c r="AX37" s="522" t="n">
        <v>0</v>
      </c>
      <c r="AY37" s="522" t="n">
        <v>0</v>
      </c>
      <c r="AZ37" s="522" t="n">
        <v>0</v>
      </c>
      <c r="BA37" s="522" t="n">
        <v>0</v>
      </c>
      <c r="BB37" s="219" t="n">
        <v>0</v>
      </c>
      <c r="BC37" s="522" t="n">
        <v>0</v>
      </c>
      <c r="BD37" s="221" t="inlineStr">
        <is>
          <t>-</t>
        </is>
      </c>
      <c r="BE37" s="219" t="n">
        <v>0</v>
      </c>
      <c r="BF37" s="219" t="n">
        <v>0</v>
      </c>
      <c r="BG37" s="522" t="n">
        <v>0</v>
      </c>
      <c r="BH37" s="522" t="n">
        <v>0</v>
      </c>
      <c r="BI37" s="522" t="n">
        <v>0</v>
      </c>
      <c r="BJ37" s="522" t="n">
        <v>0</v>
      </c>
      <c r="BK37" s="522" t="n">
        <v>0</v>
      </c>
      <c r="BL37" s="219" t="n">
        <v>0</v>
      </c>
      <c r="BM37" s="522" t="n">
        <v>0</v>
      </c>
      <c r="BN37" s="221" t="inlineStr">
        <is>
          <t>-</t>
        </is>
      </c>
      <c r="BO37" s="219" t="n">
        <v>0</v>
      </c>
      <c r="BP37" s="219" t="n">
        <v>0</v>
      </c>
      <c r="BQ37" s="522" t="n">
        <v>0</v>
      </c>
      <c r="BR37" s="522" t="n">
        <v>0</v>
      </c>
      <c r="BS37" s="522" t="n">
        <v>0</v>
      </c>
      <c r="BT37" s="522" t="n">
        <v>0</v>
      </c>
      <c r="BU37" s="522" t="n">
        <v>0</v>
      </c>
      <c r="BV37" s="219" t="n">
        <v>0</v>
      </c>
      <c r="BW37" s="522" t="n">
        <v>0</v>
      </c>
      <c r="BX37" s="221" t="inlineStr">
        <is>
          <t>-</t>
        </is>
      </c>
      <c r="BY37" s="219" t="n">
        <v>0</v>
      </c>
      <c r="BZ37" s="219" t="n">
        <v>0</v>
      </c>
      <c r="CA37" s="522" t="n">
        <v>0</v>
      </c>
      <c r="CB37" s="522" t="n">
        <v>0</v>
      </c>
      <c r="CC37" s="522" t="n">
        <v>0</v>
      </c>
      <c r="CD37" s="522" t="n">
        <v>0</v>
      </c>
      <c r="CE37" s="522" t="n">
        <v>0</v>
      </c>
      <c r="CF37" s="219" t="n">
        <v>0</v>
      </c>
      <c r="CG37" s="522" t="n">
        <v>0</v>
      </c>
      <c r="CH37" s="221" t="inlineStr">
        <is>
          <t>-</t>
        </is>
      </c>
      <c r="CI37" s="219" t="n">
        <v>0</v>
      </c>
      <c r="CJ37" s="219" t="n">
        <v>0</v>
      </c>
      <c r="CK37" s="522" t="n">
        <v>0</v>
      </c>
      <c r="CL37" s="522" t="n">
        <v>0</v>
      </c>
      <c r="CM37" s="522" t="n">
        <v>0</v>
      </c>
      <c r="CN37" s="522" t="n">
        <v>0</v>
      </c>
      <c r="CO37" s="522" t="n">
        <v>0</v>
      </c>
      <c r="CP37" s="219" t="n">
        <v>0</v>
      </c>
      <c r="CQ37" s="522" t="n">
        <v>0</v>
      </c>
      <c r="CR37" s="221" t="inlineStr">
        <is>
          <t>-</t>
        </is>
      </c>
      <c r="CS37" s="219" t="n">
        <v>0</v>
      </c>
      <c r="CT37" s="219" t="n">
        <v>0</v>
      </c>
      <c r="CU37" s="522" t="n">
        <v>0</v>
      </c>
      <c r="CV37" s="522" t="n">
        <v>0</v>
      </c>
      <c r="CW37" s="522" t="n">
        <v>0</v>
      </c>
      <c r="CX37" s="522" t="n">
        <v>0</v>
      </c>
      <c r="CY37" s="522" t="n">
        <v>0</v>
      </c>
      <c r="CZ37" s="219" t="n">
        <v>0</v>
      </c>
      <c r="DA37" s="522" t="n">
        <v>0</v>
      </c>
      <c r="DB37" s="222" t="inlineStr">
        <is>
          <t>-</t>
        </is>
      </c>
      <c r="DC37" s="223" t="n">
        <v>0</v>
      </c>
      <c r="DD37" s="223" t="n">
        <v>0</v>
      </c>
      <c r="DE37" s="523" t="n">
        <v>0</v>
      </c>
      <c r="DF37" s="523" t="n">
        <v>0</v>
      </c>
      <c r="DG37" s="523" t="n">
        <v>0</v>
      </c>
      <c r="DH37" s="523" t="n">
        <v>0</v>
      </c>
      <c r="DI37" s="523" t="n">
        <v>0</v>
      </c>
      <c r="DJ37" s="223" t="n">
        <v>0</v>
      </c>
      <c r="DK37" s="523" t="n">
        <v>0</v>
      </c>
      <c r="DL37" s="222" t="inlineStr">
        <is>
          <t>-</t>
        </is>
      </c>
      <c r="DM37" s="280">
        <f>S37+AC37+AM37+AW37+BG37+BQ37+CA37+CK37+CU37+DE37</f>
        <v/>
      </c>
      <c r="DN37" s="275">
        <f>U37+AE37+AO37+AY37+BI37+BS37+CC37+CM37+CW37+DG37</f>
        <v/>
      </c>
      <c r="DO37" s="222" t="inlineStr">
        <is>
          <t>-</t>
        </is>
      </c>
      <c r="DP37" s="226" t="n">
        <v>0</v>
      </c>
      <c r="DQ37" s="226" t="n">
        <v>0</v>
      </c>
      <c r="DR37" s="288" t="n">
        <v>0</v>
      </c>
      <c r="DS37" s="223" t="n">
        <v>0</v>
      </c>
      <c r="DT37" s="223" t="n">
        <v>0</v>
      </c>
      <c r="DU37" s="223" t="n">
        <v>0</v>
      </c>
      <c r="DV37" s="223" t="n">
        <v>0</v>
      </c>
      <c r="DW37" s="223" t="n">
        <v>0</v>
      </c>
      <c r="DX37" s="223" t="n">
        <v>0</v>
      </c>
      <c r="DY37" s="223" t="n">
        <v>0</v>
      </c>
      <c r="DZ37" s="223" t="n">
        <v>0</v>
      </c>
      <c r="EA37" s="223" t="n">
        <v>0</v>
      </c>
      <c r="EB37" s="222" t="inlineStr">
        <is>
          <t>-</t>
        </is>
      </c>
      <c r="EC37" s="280">
        <f>S37+AC37+AM37+AW37+BG37+BQ37+CA37+CK37+CU37+DE37+DU37</f>
        <v/>
      </c>
      <c r="ED37" s="275">
        <f>U37+AE37+AO37+AY37+BI37+BS37+CC37+CM37+CW37+DG37+DW37</f>
        <v/>
      </c>
      <c r="EE37" s="222" t="inlineStr">
        <is>
          <t>-</t>
        </is>
      </c>
      <c r="EF37" s="226">
        <f>IFERROR((DU37-DE37)/DE37,"-")</f>
        <v/>
      </c>
      <c r="EG37" s="226">
        <f>IFERROR((DW37-DG37)/DG37,"-")</f>
        <v/>
      </c>
      <c r="EH37" s="288">
        <f>IFERROR((DX37-DH37)/DH37,"-")</f>
        <v/>
      </c>
      <c r="EI37" s="222" t="inlineStr">
        <is>
          <t>-</t>
        </is>
      </c>
      <c r="EJ37" s="223" t="n">
        <v>0</v>
      </c>
      <c r="EK37" s="223" t="n">
        <v>0</v>
      </c>
      <c r="EL37" s="223" t="n">
        <v>0</v>
      </c>
      <c r="EM37" s="223" t="n">
        <v>0</v>
      </c>
      <c r="EN37" s="223" t="n">
        <v>0</v>
      </c>
      <c r="EO37" s="223" t="n">
        <v>0</v>
      </c>
      <c r="EP37" s="223" t="n">
        <v>0</v>
      </c>
      <c r="EQ37" s="223" t="n">
        <v>0</v>
      </c>
      <c r="ER37" s="223" t="n">
        <v>0</v>
      </c>
      <c r="ES37" s="222" t="inlineStr">
        <is>
          <t>-</t>
        </is>
      </c>
      <c r="ET37" s="280">
        <f>S37+AC37+AM37+AW37+BG37+BQ37+CA37+CK37+CU37+DE37+DU37+EL37</f>
        <v/>
      </c>
      <c r="EU37" s="275">
        <f>U37+AE37+AO37+AY37+BI37+BS37+CC37+CM37+CW37+DG37+DW37+EN37</f>
        <v/>
      </c>
      <c r="EV37" s="222" t="inlineStr">
        <is>
          <t>-</t>
        </is>
      </c>
      <c r="EW37" s="300">
        <f>IFERROR((EL37-DU37)/DU37,"-")</f>
        <v/>
      </c>
      <c r="EX37" s="293">
        <f>IFERROR((EN37-DW37)/DW37,"-")</f>
        <v/>
      </c>
      <c r="EY37" s="288">
        <f>IFERROR((EO37-DX37)/DX37,"-")</f>
        <v/>
      </c>
    </row>
    <row r="38" hidden="1" outlineLevel="1">
      <c r="A38" s="159" t="inlineStr">
        <is>
          <t>Infrastructure Debt Fund</t>
        </is>
      </c>
      <c r="B38" s="160" t="inlineStr">
        <is>
          <t>Income/Debt Oriented Schemes</t>
        </is>
      </c>
      <c r="C38" s="160" t="inlineStr">
        <is>
          <t>Close Ended Schemes</t>
        </is>
      </c>
      <c r="D38" s="160" t="inlineStr">
        <is>
          <t>Debt</t>
        </is>
      </c>
      <c r="E38" s="160" t="inlineStr">
        <is>
          <t>TD</t>
        </is>
      </c>
      <c r="F38" s="160" t="inlineStr">
        <is>
          <t>Active Debt (incl Hybrid)</t>
        </is>
      </c>
      <c r="G38" s="416" t="n"/>
      <c r="H38" s="416" t="n"/>
      <c r="I38" s="416" t="n"/>
      <c r="J38" s="416" t="n"/>
      <c r="K38" s="416">
        <f>IF(OR(I38="",J38=""),"",I38-J38)</f>
        <v/>
      </c>
      <c r="L38" s="161" t="n">
        <v>1112.522135</v>
      </c>
      <c r="M38" s="161" t="n">
        <v>1109.202059</v>
      </c>
      <c r="N38" s="416" t="n"/>
      <c r="O38" s="416" t="n"/>
      <c r="P38" s="162" t="inlineStr">
        <is>
          <t>-</t>
        </is>
      </c>
      <c r="Q38" s="219" t="n">
        <v>4</v>
      </c>
      <c r="R38" s="219" t="n">
        <v>30</v>
      </c>
      <c r="S38" s="522" t="n">
        <v>0</v>
      </c>
      <c r="T38" s="522" t="n">
        <v>0</v>
      </c>
      <c r="U38" s="522" t="n">
        <v>0</v>
      </c>
      <c r="V38" s="522" t="n">
        <v>1119.266971</v>
      </c>
      <c r="W38" s="522" t="n">
        <v>1116.006625</v>
      </c>
      <c r="X38" s="219" t="n">
        <v>0</v>
      </c>
      <c r="Y38" s="522" t="n">
        <v>0</v>
      </c>
      <c r="Z38" s="221" t="inlineStr">
        <is>
          <t>-</t>
        </is>
      </c>
      <c r="AA38" s="219" t="n">
        <v>3</v>
      </c>
      <c r="AB38" s="219" t="n">
        <v>19</v>
      </c>
      <c r="AC38" s="522" t="n">
        <v>0</v>
      </c>
      <c r="AD38" s="522" t="n">
        <v>261.8537821</v>
      </c>
      <c r="AE38" s="522" t="n">
        <v>-261.8537821</v>
      </c>
      <c r="AF38" s="522" t="n">
        <v>862.9633643</v>
      </c>
      <c r="AG38" s="522" t="n">
        <v>1122.140333</v>
      </c>
      <c r="AH38" s="219" t="n">
        <v>0</v>
      </c>
      <c r="AI38" s="522" t="n">
        <v>0</v>
      </c>
      <c r="AJ38" s="221" t="inlineStr">
        <is>
          <t>-</t>
        </is>
      </c>
      <c r="AK38" s="219" t="n">
        <v>3</v>
      </c>
      <c r="AL38" s="219" t="n">
        <v>19</v>
      </c>
      <c r="AM38" s="522" t="n">
        <v>0</v>
      </c>
      <c r="AN38" s="522" t="n">
        <v>0</v>
      </c>
      <c r="AO38" s="522" t="n">
        <v>0</v>
      </c>
      <c r="AP38" s="522" t="n">
        <v>868.0837478</v>
      </c>
      <c r="AQ38" s="522" t="n">
        <v>865.5971465</v>
      </c>
      <c r="AR38" s="219" t="n">
        <v>0</v>
      </c>
      <c r="AS38" s="522" t="n">
        <v>0</v>
      </c>
      <c r="AT38" s="221" t="inlineStr">
        <is>
          <t>-</t>
        </is>
      </c>
      <c r="AU38" s="219" t="n">
        <v>3</v>
      </c>
      <c r="AV38" s="219" t="n">
        <v>19</v>
      </c>
      <c r="AW38" s="522" t="n">
        <v>0</v>
      </c>
      <c r="AX38" s="522" t="n">
        <v>0</v>
      </c>
      <c r="AY38" s="522" t="n">
        <v>0</v>
      </c>
      <c r="AZ38" s="522" t="n">
        <v>875.157348</v>
      </c>
      <c r="BA38" s="522" t="n">
        <v>871.0064331</v>
      </c>
      <c r="BB38" s="219" t="n">
        <v>0</v>
      </c>
      <c r="BC38" s="522" t="n">
        <v>0</v>
      </c>
      <c r="BD38" s="221" t="inlineStr">
        <is>
          <t>-</t>
        </is>
      </c>
      <c r="BE38" s="219" t="n">
        <v>3</v>
      </c>
      <c r="BF38" s="219" t="n">
        <v>19</v>
      </c>
      <c r="BG38" s="522" t="n">
        <v>0</v>
      </c>
      <c r="BH38" s="522" t="n">
        <v>0</v>
      </c>
      <c r="BI38" s="522" t="n">
        <v>0</v>
      </c>
      <c r="BJ38" s="522" t="n">
        <v>881.1804844</v>
      </c>
      <c r="BK38" s="522" t="n">
        <v>878.1588690999999</v>
      </c>
      <c r="BL38" s="219" t="n">
        <v>0</v>
      </c>
      <c r="BM38" s="522" t="n">
        <v>0</v>
      </c>
      <c r="BN38" s="221" t="inlineStr">
        <is>
          <t>-</t>
        </is>
      </c>
      <c r="BO38" s="219" t="n">
        <v>3</v>
      </c>
      <c r="BP38" s="219" t="n">
        <v>19</v>
      </c>
      <c r="BQ38" s="522" t="n">
        <v>0</v>
      </c>
      <c r="BR38" s="522" t="n">
        <v>0</v>
      </c>
      <c r="BS38" s="522" t="n">
        <v>0</v>
      </c>
      <c r="BT38" s="522" t="n">
        <v>887.2039213</v>
      </c>
      <c r="BU38" s="522" t="n">
        <v>884.7020361</v>
      </c>
      <c r="BV38" s="219" t="n">
        <v>0</v>
      </c>
      <c r="BW38" s="522" t="n">
        <v>0</v>
      </c>
      <c r="BX38" s="221" t="inlineStr">
        <is>
          <t>-</t>
        </is>
      </c>
      <c r="BY38" s="219" t="n">
        <v>3</v>
      </c>
      <c r="BZ38" s="219" t="n">
        <v>19</v>
      </c>
      <c r="CA38" s="522" t="n">
        <v>0</v>
      </c>
      <c r="CB38" s="522" t="n">
        <v>0</v>
      </c>
      <c r="CC38" s="522" t="n">
        <v>0</v>
      </c>
      <c r="CD38" s="522" t="n">
        <v>893.5266853000001</v>
      </c>
      <c r="CE38" s="522" t="n">
        <v>890.965743</v>
      </c>
      <c r="CF38" s="219" t="n">
        <v>0</v>
      </c>
      <c r="CG38" s="522" t="n">
        <v>0</v>
      </c>
      <c r="CH38" s="221" t="inlineStr">
        <is>
          <t>-</t>
        </is>
      </c>
      <c r="CI38" s="219" t="n">
        <v>3</v>
      </c>
      <c r="CJ38" s="219" t="n">
        <v>19</v>
      </c>
      <c r="CK38" s="522" t="n">
        <v>0</v>
      </c>
      <c r="CL38" s="522" t="n">
        <v>0</v>
      </c>
      <c r="CM38" s="522" t="n">
        <v>0</v>
      </c>
      <c r="CN38" s="522" t="n">
        <v>898.537452</v>
      </c>
      <c r="CO38" s="522" t="n">
        <v>896.1178869</v>
      </c>
      <c r="CP38" s="219" t="n">
        <v>0</v>
      </c>
      <c r="CQ38" s="522" t="n">
        <v>0</v>
      </c>
      <c r="CR38" s="221" t="inlineStr">
        <is>
          <t>-</t>
        </is>
      </c>
      <c r="CS38" s="219" t="n">
        <v>3</v>
      </c>
      <c r="CT38" s="219" t="n">
        <v>19</v>
      </c>
      <c r="CU38" s="522" t="n">
        <v>0</v>
      </c>
      <c r="CV38" s="522" t="n">
        <v>0</v>
      </c>
      <c r="CW38" s="522" t="n">
        <v>0</v>
      </c>
      <c r="CX38" s="522" t="n">
        <v>903.4491862</v>
      </c>
      <c r="CY38" s="522" t="n">
        <v>901.0808588</v>
      </c>
      <c r="CZ38" s="219" t="n">
        <v>0</v>
      </c>
      <c r="DA38" s="522" t="n">
        <v>0</v>
      </c>
      <c r="DB38" s="222" t="inlineStr">
        <is>
          <t>-</t>
        </is>
      </c>
      <c r="DC38" s="223" t="n">
        <v>3</v>
      </c>
      <c r="DD38" s="223" t="n">
        <v>19</v>
      </c>
      <c r="DE38" s="523" t="n">
        <v>0</v>
      </c>
      <c r="DF38" s="523" t="n">
        <v>0</v>
      </c>
      <c r="DG38" s="523" t="n">
        <v>0</v>
      </c>
      <c r="DH38" s="523" t="n">
        <v>908.4087023</v>
      </c>
      <c r="DI38" s="523" t="n">
        <v>906.0081569</v>
      </c>
      <c r="DJ38" s="223" t="n">
        <v>0</v>
      </c>
      <c r="DK38" s="523" t="n">
        <v>0</v>
      </c>
      <c r="DL38" s="222" t="inlineStr">
        <is>
          <t>-</t>
        </is>
      </c>
      <c r="DM38" s="280">
        <f>S38+AC38+AM38+AW38+BG38+BQ38+CA38+CK38+CU38+DE38</f>
        <v/>
      </c>
      <c r="DN38" s="275">
        <f>U38+AE38+AO38+AY38+BI38+BS38+CC38+CM38+CW38+DG38</f>
        <v/>
      </c>
      <c r="DO38" s="222" t="inlineStr">
        <is>
          <t>-</t>
        </is>
      </c>
      <c r="DP38" s="226" t="n">
        <v>0</v>
      </c>
      <c r="DQ38" s="226" t="n">
        <v>0</v>
      </c>
      <c r="DR38" s="288">
        <f>IFERROR((DH38-CX38)/CX38,"-")</f>
        <v/>
      </c>
      <c r="DS38" s="223" t="n">
        <v>3</v>
      </c>
      <c r="DT38" s="223" t="n">
        <v>19</v>
      </c>
      <c r="DU38" s="223" t="n">
        <v>0</v>
      </c>
      <c r="DV38" s="223" t="n">
        <v>0</v>
      </c>
      <c r="DW38" s="223" t="n">
        <v>0</v>
      </c>
      <c r="DX38" s="223" t="n">
        <v>913.7354179</v>
      </c>
      <c r="DY38" s="223" t="n">
        <v>910.8403786</v>
      </c>
      <c r="DZ38" s="223" t="n">
        <v>0</v>
      </c>
      <c r="EA38" s="223" t="n">
        <v>0</v>
      </c>
      <c r="EB38" s="222" t="inlineStr">
        <is>
          <t>-</t>
        </is>
      </c>
      <c r="EC38" s="280">
        <f>S38+AC38+AM38+AW38+BG38+BQ38+CA38+CK38+CU38+DE38+DU38</f>
        <v/>
      </c>
      <c r="ED38" s="275">
        <f>U38+AE38+AO38+AY38+BI38+BS38+CC38+CM38+CW38+DG38+DW38</f>
        <v/>
      </c>
      <c r="EE38" s="222" t="inlineStr">
        <is>
          <t>-</t>
        </is>
      </c>
      <c r="EF38" s="226">
        <f>IFERROR((DU38-DE38)/DE38,"-")</f>
        <v/>
      </c>
      <c r="EG38" s="226">
        <f>IFERROR((DW38-DG38)/DG38,"-")</f>
        <v/>
      </c>
      <c r="EH38" s="288">
        <f>IFERROR((DX38-DH38)/DH38,"-")</f>
        <v/>
      </c>
      <c r="EI38" s="222" t="inlineStr">
        <is>
          <t>-</t>
        </is>
      </c>
      <c r="EJ38" s="223" t="n">
        <v>3</v>
      </c>
      <c r="EK38" s="223" t="n">
        <v>19</v>
      </c>
      <c r="EL38" s="223" t="n">
        <v>0</v>
      </c>
      <c r="EM38" s="223" t="n">
        <v>0</v>
      </c>
      <c r="EN38" s="223" t="n">
        <v>0</v>
      </c>
      <c r="EO38" s="223" t="n">
        <v>919.615354</v>
      </c>
      <c r="EP38" s="223" t="n">
        <v>916.8484188</v>
      </c>
      <c r="EQ38" s="223" t="n">
        <v>0</v>
      </c>
      <c r="ER38" s="223" t="n">
        <v>0</v>
      </c>
      <c r="ES38" s="222" t="inlineStr">
        <is>
          <t>-</t>
        </is>
      </c>
      <c r="ET38" s="280">
        <f>S38+AC38+AM38+AW38+BG38+BQ38+CA38+CK38+CU38+DE38+DU38+EL38</f>
        <v/>
      </c>
      <c r="EU38" s="275">
        <f>U38+AE38+AO38+AY38+BI38+BS38+CC38+CM38+CW38+DG38+DW38+EN38</f>
        <v/>
      </c>
      <c r="EV38" s="222" t="inlineStr">
        <is>
          <t>-</t>
        </is>
      </c>
      <c r="EW38" s="300">
        <f>IFERROR((EL38-DU38)/DU38,"-")</f>
        <v/>
      </c>
      <c r="EX38" s="293">
        <f>IFERROR((EN38-DW38)/DW38,"-")</f>
        <v/>
      </c>
      <c r="EY38" s="288">
        <f>IFERROR((EO38-DX38)/DX38,"-")</f>
        <v/>
      </c>
    </row>
    <row r="39" hidden="1" outlineLevel="1">
      <c r="A39" s="159" t="inlineStr">
        <is>
          <t>Income/Debt Oriented Schemes</t>
        </is>
      </c>
      <c r="B39" s="160" t="inlineStr">
        <is>
          <t>Interval Schemes</t>
        </is>
      </c>
      <c r="C39" s="160" t="inlineStr">
        <is>
          <t>-</t>
        </is>
      </c>
      <c r="D39" s="160" t="inlineStr">
        <is>
          <t>Debt</t>
        </is>
      </c>
      <c r="E39" s="160" t="inlineStr">
        <is>
          <t>FMP</t>
        </is>
      </c>
      <c r="F39" s="160" t="inlineStr">
        <is>
          <t>Active Debt (incl Hybrid)</t>
        </is>
      </c>
      <c r="G39" s="416" t="n"/>
      <c r="H39" s="416" t="n"/>
      <c r="I39" s="416" t="n"/>
      <c r="J39" s="416" t="n"/>
      <c r="K39" s="416">
        <f>IF(OR(I39="",J39=""),"",I39-J39)</f>
        <v/>
      </c>
      <c r="L39" s="161" t="n">
        <v>97.3424</v>
      </c>
      <c r="M39" s="161" t="n">
        <v>114.2623</v>
      </c>
      <c r="N39" s="416" t="n"/>
      <c r="O39" s="416" t="n"/>
      <c r="P39" s="162" t="inlineStr">
        <is>
          <t>-</t>
        </is>
      </c>
      <c r="Q39" s="219" t="n">
        <v>4</v>
      </c>
      <c r="R39" s="219" t="n">
        <v>1007</v>
      </c>
      <c r="S39" s="522" t="n">
        <v>0.0003</v>
      </c>
      <c r="T39" s="522" t="n">
        <v>0.0533</v>
      </c>
      <c r="U39" s="522" t="n">
        <v>-0.053</v>
      </c>
      <c r="V39" s="522" t="n">
        <v>66.1936</v>
      </c>
      <c r="W39" s="522" t="n">
        <v>94.2621</v>
      </c>
      <c r="X39" s="219" t="n">
        <v>0</v>
      </c>
      <c r="Y39" s="522" t="n">
        <v>0</v>
      </c>
      <c r="Z39" s="221" t="inlineStr">
        <is>
          <t>-</t>
        </is>
      </c>
      <c r="AA39" s="219" t="n">
        <v>4</v>
      </c>
      <c r="AB39" s="219" t="n">
        <v>998</v>
      </c>
      <c r="AC39" s="522" t="n">
        <v>0</v>
      </c>
      <c r="AD39" s="522" t="n">
        <v>27.2701</v>
      </c>
      <c r="AE39" s="522" t="n">
        <v>-27.2701</v>
      </c>
      <c r="AF39" s="522" t="n">
        <v>43.8637</v>
      </c>
      <c r="AG39" s="522" t="n">
        <v>78.4893</v>
      </c>
      <c r="AH39" s="219" t="n">
        <v>0</v>
      </c>
      <c r="AI39" s="522" t="n">
        <v>0</v>
      </c>
      <c r="AJ39" s="221" t="inlineStr">
        <is>
          <t>-</t>
        </is>
      </c>
      <c r="AK39" s="219" t="n">
        <v>4</v>
      </c>
      <c r="AL39" s="219" t="n">
        <v>998</v>
      </c>
      <c r="AM39" s="522" t="n">
        <v>0</v>
      </c>
      <c r="AN39" s="522" t="n">
        <v>0</v>
      </c>
      <c r="AO39" s="522" t="n">
        <v>0</v>
      </c>
      <c r="AP39" s="522" t="n">
        <v>44.0718</v>
      </c>
      <c r="AQ39" s="522" t="n">
        <v>60.0781</v>
      </c>
      <c r="AR39" s="219" t="n">
        <v>0</v>
      </c>
      <c r="AS39" s="522" t="n">
        <v>0</v>
      </c>
      <c r="AT39" s="221" t="inlineStr">
        <is>
          <t>-</t>
        </is>
      </c>
      <c r="AU39" s="219" t="n">
        <v>4</v>
      </c>
      <c r="AV39" s="219" t="n">
        <v>998</v>
      </c>
      <c r="AW39" s="522" t="n">
        <v>0</v>
      </c>
      <c r="AX39" s="522" t="n">
        <v>0</v>
      </c>
      <c r="AY39" s="522" t="n">
        <v>0</v>
      </c>
      <c r="AZ39" s="522" t="n">
        <v>44.2663</v>
      </c>
      <c r="BA39" s="522" t="n">
        <v>60.3538</v>
      </c>
      <c r="BB39" s="219" t="n">
        <v>0</v>
      </c>
      <c r="BC39" s="522" t="n">
        <v>0</v>
      </c>
      <c r="BD39" s="221" t="inlineStr">
        <is>
          <t>-</t>
        </is>
      </c>
      <c r="BE39" s="219" t="n">
        <v>4</v>
      </c>
      <c r="BF39" s="219" t="n">
        <v>989</v>
      </c>
      <c r="BG39" s="522" t="n">
        <v>0</v>
      </c>
      <c r="BH39" s="522" t="n">
        <v>11.4379</v>
      </c>
      <c r="BI39" s="522" t="n">
        <v>-11.4379</v>
      </c>
      <c r="BJ39" s="522" t="n">
        <v>40.7116</v>
      </c>
      <c r="BK39" s="522" t="n">
        <v>51.7732</v>
      </c>
      <c r="BL39" s="219" t="n">
        <v>0</v>
      </c>
      <c r="BM39" s="522" t="n">
        <v>0</v>
      </c>
      <c r="BN39" s="221" t="inlineStr">
        <is>
          <t>-</t>
        </is>
      </c>
      <c r="BO39" s="219" t="n">
        <v>4</v>
      </c>
      <c r="BP39" s="219" t="n">
        <v>939</v>
      </c>
      <c r="BQ39" s="522" t="n">
        <v>0</v>
      </c>
      <c r="BR39" s="522" t="n">
        <v>2.52</v>
      </c>
      <c r="BS39" s="522" t="n">
        <v>-2.52</v>
      </c>
      <c r="BT39" s="522" t="n">
        <v>38.3777</v>
      </c>
      <c r="BU39" s="522" t="n">
        <v>47.5938</v>
      </c>
      <c r="BV39" s="219" t="n">
        <v>0</v>
      </c>
      <c r="BW39" s="522" t="n">
        <v>0</v>
      </c>
      <c r="BX39" s="221" t="inlineStr">
        <is>
          <t>-</t>
        </is>
      </c>
      <c r="BY39" s="219" t="n">
        <v>4</v>
      </c>
      <c r="BZ39" s="219" t="n">
        <v>938</v>
      </c>
      <c r="CA39" s="522" t="n">
        <v>0</v>
      </c>
      <c r="CB39" s="522" t="n">
        <v>0</v>
      </c>
      <c r="CC39" s="522" t="n">
        <v>0</v>
      </c>
      <c r="CD39" s="522" t="n">
        <v>38.5598</v>
      </c>
      <c r="CE39" s="522" t="n">
        <v>47.1089</v>
      </c>
      <c r="CF39" s="219" t="n">
        <v>0</v>
      </c>
      <c r="CG39" s="522" t="n">
        <v>0</v>
      </c>
      <c r="CH39" s="221" t="inlineStr">
        <is>
          <t>-</t>
        </is>
      </c>
      <c r="CI39" s="219" t="n">
        <v>3</v>
      </c>
      <c r="CJ39" s="219" t="n">
        <v>914</v>
      </c>
      <c r="CK39" s="522" t="n">
        <v>0</v>
      </c>
      <c r="CL39" s="522" t="n">
        <v>0.0300000000000011</v>
      </c>
      <c r="CM39" s="522" t="n">
        <v>-0.0300000000000011</v>
      </c>
      <c r="CN39" s="522" t="n">
        <v>30.0186</v>
      </c>
      <c r="CO39" s="522" t="n">
        <v>45.6389</v>
      </c>
      <c r="CP39" s="219" t="n">
        <v>0</v>
      </c>
      <c r="CQ39" s="522" t="n">
        <v>0</v>
      </c>
      <c r="CR39" s="221" t="inlineStr">
        <is>
          <t>-</t>
        </is>
      </c>
      <c r="CS39" s="219" t="n">
        <v>3</v>
      </c>
      <c r="CT39" s="219" t="n">
        <v>914</v>
      </c>
      <c r="CU39" s="522" t="n">
        <v>0</v>
      </c>
      <c r="CV39" s="522" t="n">
        <v>0</v>
      </c>
      <c r="CW39" s="522" t="n">
        <v>0</v>
      </c>
      <c r="CX39" s="522" t="n">
        <v>30.1637</v>
      </c>
      <c r="CY39" s="522" t="n">
        <v>39.1507</v>
      </c>
      <c r="CZ39" s="219" t="n">
        <v>0</v>
      </c>
      <c r="DA39" s="522" t="n">
        <v>0</v>
      </c>
      <c r="DB39" s="222" t="inlineStr">
        <is>
          <t>-</t>
        </is>
      </c>
      <c r="DC39" s="223" t="n">
        <v>3</v>
      </c>
      <c r="DD39" s="223" t="n">
        <v>914</v>
      </c>
      <c r="DE39" s="523" t="n">
        <v>0</v>
      </c>
      <c r="DF39" s="523" t="n">
        <v>0</v>
      </c>
      <c r="DG39" s="523" t="n">
        <v>0</v>
      </c>
      <c r="DH39" s="523" t="n">
        <v>30.1637</v>
      </c>
      <c r="DI39" s="523" t="n">
        <v>39.1507</v>
      </c>
      <c r="DJ39" s="223" t="n">
        <v>0</v>
      </c>
      <c r="DK39" s="523" t="n">
        <v>0</v>
      </c>
      <c r="DL39" s="222" t="inlineStr">
        <is>
          <t>-</t>
        </is>
      </c>
      <c r="DM39" s="280">
        <f>S39+AC39+AM39+AW39+BG39+BQ39+CA39+CK39+CU39+DE39</f>
        <v/>
      </c>
      <c r="DN39" s="275">
        <f>U39+AE39+AO39+AY39+BI39+BS39+CC39+CM39+CW39+DG39</f>
        <v/>
      </c>
      <c r="DO39" s="222" t="inlineStr">
        <is>
          <t>-</t>
        </is>
      </c>
      <c r="DP39" s="226" t="n">
        <v>0</v>
      </c>
      <c r="DQ39" s="226" t="n">
        <v>0</v>
      </c>
      <c r="DR39" s="288">
        <f>IFERROR((DH39-CX39)/CX39,"-")</f>
        <v/>
      </c>
      <c r="DS39" s="223" t="n">
        <v>3</v>
      </c>
      <c r="DT39" s="223" t="n">
        <v>911</v>
      </c>
      <c r="DU39" s="223" t="n">
        <v>0</v>
      </c>
      <c r="DV39" s="223" t="n">
        <v>0.200499999999998</v>
      </c>
      <c r="DW39" s="223" t="n">
        <v>-0.200499999999998</v>
      </c>
      <c r="DX39" s="223" t="n">
        <v>30.3325</v>
      </c>
      <c r="DY39" s="223" t="n">
        <v>39.3426</v>
      </c>
      <c r="DZ39" s="223" t="n">
        <v>0</v>
      </c>
      <c r="EA39" s="223" t="n">
        <v>0</v>
      </c>
      <c r="EB39" s="222" t="inlineStr">
        <is>
          <t>-</t>
        </is>
      </c>
      <c r="EC39" s="280">
        <f>S39+AC39+AM39+AW39+BG39+BQ39+CA39+CK39+CU39+DE39+DU39</f>
        <v/>
      </c>
      <c r="ED39" s="275">
        <f>U39+AE39+AO39+AY39+BI39+BS39+CC39+CM39+CW39+DG39+DW39</f>
        <v/>
      </c>
      <c r="EE39" s="222" t="inlineStr">
        <is>
          <t>-</t>
        </is>
      </c>
      <c r="EF39" s="226">
        <f>IFERROR((DU39-DE39)/DE39,"-")</f>
        <v/>
      </c>
      <c r="EG39" s="226">
        <f>IFERROR((DW39-DG39)/DG39,"-")</f>
        <v/>
      </c>
      <c r="EH39" s="288">
        <f>IFERROR((DX39-DH39)/DH39,"-")</f>
        <v/>
      </c>
      <c r="EI39" s="222" t="inlineStr">
        <is>
          <t>-</t>
        </is>
      </c>
      <c r="EJ39" s="223" t="n">
        <v>0</v>
      </c>
      <c r="EK39" s="223" t="n">
        <v>0</v>
      </c>
      <c r="EL39" s="223" t="n">
        <v>0</v>
      </c>
      <c r="EM39" s="223" t="n">
        <v>0</v>
      </c>
      <c r="EN39" s="223" t="n">
        <v>0</v>
      </c>
      <c r="EO39" s="223" t="n">
        <v>0</v>
      </c>
      <c r="EP39" s="223" t="n">
        <v>0</v>
      </c>
      <c r="EQ39" s="223" t="n">
        <v>0</v>
      </c>
      <c r="ER39" s="223" t="n">
        <v>0</v>
      </c>
      <c r="ES39" s="222" t="inlineStr">
        <is>
          <t>-</t>
        </is>
      </c>
      <c r="ET39" s="280">
        <f>S39+AC39+AM39+AW39+BG39+BQ39+CA39+CK39+CU39+DE39+DU39+EL39</f>
        <v/>
      </c>
      <c r="EU39" s="275">
        <f>U39+AE39+AO39+AY39+BI39+BS39+CC39+CM39+CW39+DG39+DW39+EN39</f>
        <v/>
      </c>
      <c r="EV39" s="222" t="inlineStr">
        <is>
          <t>-</t>
        </is>
      </c>
      <c r="EW39" s="300">
        <f>IFERROR((EL39-DU39)/DU39,"-")</f>
        <v/>
      </c>
      <c r="EX39" s="293">
        <f>IFERROR((EN39-DW39)/DW39,"-")</f>
        <v/>
      </c>
      <c r="EY39" s="288">
        <f>IFERROR((EO39-DX39)/DX39,"-")</f>
        <v/>
      </c>
    </row>
    <row r="40" hidden="1" outlineLevel="1">
      <c r="A40" s="159" t="inlineStr">
        <is>
          <t>Gilt Fund</t>
        </is>
      </c>
      <c r="B40" s="160" t="inlineStr">
        <is>
          <t>Income/Debt Oriented Schemes</t>
        </is>
      </c>
      <c r="C40" s="160" t="inlineStr">
        <is>
          <t>Open ended Schemes</t>
        </is>
      </c>
      <c r="D40" s="160" t="inlineStr">
        <is>
          <t>Debt</t>
        </is>
      </c>
      <c r="E40" s="160" t="inlineStr">
        <is>
          <t>TD</t>
        </is>
      </c>
      <c r="F40" s="160" t="inlineStr">
        <is>
          <t>Active Debt (incl Hybrid)</t>
        </is>
      </c>
      <c r="G40" s="416" t="n"/>
      <c r="H40" s="416" t="n"/>
      <c r="I40" s="416" t="n"/>
      <c r="J40" s="416" t="n"/>
      <c r="K40" s="416">
        <f>IF(OR(I40="",J40=""),"",I40-J40)</f>
        <v/>
      </c>
      <c r="L40" s="161" t="n">
        <v>40989.93632448</v>
      </c>
      <c r="M40" s="161" t="n">
        <v>40630.62789034</v>
      </c>
      <c r="N40" s="416" t="n"/>
      <c r="O40" s="416" t="n"/>
      <c r="P40" s="162" t="inlineStr">
        <is>
          <t>-</t>
        </is>
      </c>
      <c r="Q40" s="219" t="n">
        <v>22</v>
      </c>
      <c r="R40" s="219" t="n">
        <v>223026</v>
      </c>
      <c r="S40" s="522" t="n">
        <v>2544.97328798</v>
      </c>
      <c r="T40" s="522" t="n">
        <v>2970.02299793</v>
      </c>
      <c r="U40" s="522" t="n">
        <v>-425.04970995</v>
      </c>
      <c r="V40" s="522" t="n">
        <v>41428.66182559</v>
      </c>
      <c r="W40" s="522" t="n">
        <v>41038.38403138</v>
      </c>
      <c r="X40" s="219" t="n">
        <v>0</v>
      </c>
      <c r="Y40" s="522" t="n">
        <v>0</v>
      </c>
      <c r="Z40" s="221" t="inlineStr">
        <is>
          <t>-</t>
        </is>
      </c>
      <c r="AA40" s="219" t="n">
        <v>23</v>
      </c>
      <c r="AB40" s="219" t="n">
        <v>232237</v>
      </c>
      <c r="AC40" s="522" t="n">
        <v>2738.66115282</v>
      </c>
      <c r="AD40" s="522" t="n">
        <v>1352.73214477</v>
      </c>
      <c r="AE40" s="522" t="n">
        <v>1385.92900805</v>
      </c>
      <c r="AF40" s="522" t="n">
        <v>43000.1411363</v>
      </c>
      <c r="AG40" s="522" t="n">
        <v>42256.26381576</v>
      </c>
      <c r="AH40" s="219" t="n">
        <v>0</v>
      </c>
      <c r="AI40" s="522" t="n">
        <v>0</v>
      </c>
      <c r="AJ40" s="221" t="inlineStr">
        <is>
          <t>-</t>
        </is>
      </c>
      <c r="AK40" s="219" t="n">
        <v>23</v>
      </c>
      <c r="AL40" s="219" t="n">
        <v>232057</v>
      </c>
      <c r="AM40" s="522" t="n">
        <v>1562.00740132</v>
      </c>
      <c r="AN40" s="522" t="n">
        <v>2519.33050236</v>
      </c>
      <c r="AO40" s="522" t="n">
        <v>-957.323101040001</v>
      </c>
      <c r="AP40" s="522" t="n">
        <v>41449.72321421</v>
      </c>
      <c r="AQ40" s="522" t="n">
        <v>42294.94425795</v>
      </c>
      <c r="AR40" s="219" t="n">
        <v>0</v>
      </c>
      <c r="AS40" s="522" t="n">
        <v>0</v>
      </c>
      <c r="AT40" s="221" t="inlineStr">
        <is>
          <t>-</t>
        </is>
      </c>
      <c r="AU40" s="219" t="n">
        <v>23</v>
      </c>
      <c r="AV40" s="219" t="n">
        <v>232098</v>
      </c>
      <c r="AW40" s="522" t="n">
        <v>1929.85257079</v>
      </c>
      <c r="AX40" s="522" t="n">
        <v>1769.80230155</v>
      </c>
      <c r="AY40" s="522" t="n">
        <v>160.05026924</v>
      </c>
      <c r="AZ40" s="522" t="n">
        <v>41789.56312769</v>
      </c>
      <c r="BA40" s="522" t="n">
        <v>42149.90263359</v>
      </c>
      <c r="BB40" s="219" t="n">
        <v>0</v>
      </c>
      <c r="BC40" s="522" t="n">
        <v>0</v>
      </c>
      <c r="BD40" s="221" t="inlineStr">
        <is>
          <t>-</t>
        </is>
      </c>
      <c r="BE40" s="219" t="n">
        <v>23</v>
      </c>
      <c r="BF40" s="219" t="n">
        <v>229584</v>
      </c>
      <c r="BG40" s="522" t="n">
        <v>2330.75497849</v>
      </c>
      <c r="BH40" s="522" t="n">
        <v>3259.17590615</v>
      </c>
      <c r="BI40" s="522" t="n">
        <v>-928.42092766</v>
      </c>
      <c r="BJ40" s="522" t="n">
        <v>40089.9709945</v>
      </c>
      <c r="BK40" s="522" t="n">
        <v>40439.25730103</v>
      </c>
      <c r="BL40" s="219" t="n">
        <v>0</v>
      </c>
      <c r="BM40" s="522" t="n">
        <v>0</v>
      </c>
      <c r="BN40" s="221" t="inlineStr">
        <is>
          <t>-</t>
        </is>
      </c>
      <c r="BO40" s="219" t="n">
        <v>23</v>
      </c>
      <c r="BP40" s="219" t="n">
        <v>225769</v>
      </c>
      <c r="BQ40" s="522" t="n">
        <v>2178.0677479</v>
      </c>
      <c r="BR40" s="522" t="n">
        <v>2793.05710308</v>
      </c>
      <c r="BS40" s="522" t="n">
        <v>-614.989355180001</v>
      </c>
      <c r="BT40" s="522" t="n">
        <v>40055.16841898</v>
      </c>
      <c r="BU40" s="522" t="n">
        <v>40635.104293</v>
      </c>
      <c r="BV40" s="219" t="n">
        <v>0</v>
      </c>
      <c r="BW40" s="522" t="n">
        <v>0</v>
      </c>
      <c r="BX40" s="221" t="inlineStr">
        <is>
          <t>-</t>
        </is>
      </c>
      <c r="BY40" s="219" t="n">
        <v>23</v>
      </c>
      <c r="BZ40" s="219" t="n">
        <v>222590</v>
      </c>
      <c r="CA40" s="522" t="n">
        <v>507.683404230002</v>
      </c>
      <c r="CB40" s="522" t="n">
        <v>1438.67098671</v>
      </c>
      <c r="CC40" s="522" t="n">
        <v>-930.987582479998</v>
      </c>
      <c r="CD40" s="522" t="n">
        <v>39325.01749218</v>
      </c>
      <c r="CE40" s="522" t="n">
        <v>39916.6849432</v>
      </c>
      <c r="CF40" s="219" t="n">
        <v>0</v>
      </c>
      <c r="CG40" s="522" t="n">
        <v>0</v>
      </c>
      <c r="CH40" s="221" t="inlineStr">
        <is>
          <t>-</t>
        </is>
      </c>
      <c r="CI40" s="219" t="n">
        <v>23</v>
      </c>
      <c r="CJ40" s="219" t="n">
        <v>219637</v>
      </c>
      <c r="CK40" s="522" t="n">
        <v>499.729126709999</v>
      </c>
      <c r="CL40" s="522" t="n">
        <v>676.275530859999</v>
      </c>
      <c r="CM40" s="522" t="n">
        <v>-176.54640415</v>
      </c>
      <c r="CN40" s="522" t="n">
        <v>39160.96274248</v>
      </c>
      <c r="CO40" s="522" t="n">
        <v>39290.82877819</v>
      </c>
      <c r="CP40" s="219" t="n">
        <v>0</v>
      </c>
      <c r="CQ40" s="522" t="n">
        <v>0</v>
      </c>
      <c r="CR40" s="221" t="inlineStr">
        <is>
          <t>-</t>
        </is>
      </c>
      <c r="CS40" s="219" t="n">
        <v>23</v>
      </c>
      <c r="CT40" s="219" t="n">
        <v>215424</v>
      </c>
      <c r="CU40" s="522" t="n">
        <v>516.58775363</v>
      </c>
      <c r="CV40" s="522" t="n">
        <v>1312.78189638</v>
      </c>
      <c r="CW40" s="522" t="n">
        <v>-796.194142750002</v>
      </c>
      <c r="CX40" s="522" t="n">
        <v>38514.72459571</v>
      </c>
      <c r="CY40" s="522" t="n">
        <v>38808.92500285</v>
      </c>
      <c r="CZ40" s="219" t="n">
        <v>0</v>
      </c>
      <c r="DA40" s="522" t="n">
        <v>0</v>
      </c>
      <c r="DB40" s="222" t="inlineStr">
        <is>
          <t>-</t>
        </is>
      </c>
      <c r="DC40" s="223" t="n">
        <v>23</v>
      </c>
      <c r="DD40" s="223" t="n">
        <v>211129</v>
      </c>
      <c r="DE40" s="523" t="n">
        <v>459.22893424</v>
      </c>
      <c r="DF40" s="523" t="n">
        <v>1887.72175606</v>
      </c>
      <c r="DG40" s="523" t="n">
        <v>-1428.49282182</v>
      </c>
      <c r="DH40" s="523" t="n">
        <v>37115.92701992</v>
      </c>
      <c r="DI40" s="523" t="n">
        <v>37810.51296359</v>
      </c>
      <c r="DJ40" s="223" t="n">
        <v>0</v>
      </c>
      <c r="DK40" s="523" t="n">
        <v>0</v>
      </c>
      <c r="DL40" s="222" t="inlineStr">
        <is>
          <t>-</t>
        </is>
      </c>
      <c r="DM40" s="280">
        <f>S40+AC40+AM40+AW40+BG40+BQ40+CA40+CK40+CU40+DE40</f>
        <v/>
      </c>
      <c r="DN40" s="275">
        <f>U40+AE40+AO40+AY40+BI40+BS40+CC40+CM40+CW40+DG40</f>
        <v/>
      </c>
      <c r="DO40" s="222" t="inlineStr">
        <is>
          <t>-</t>
        </is>
      </c>
      <c r="DP40" s="226">
        <f>IFERROR((DE40-CU40)/CU40,"-")</f>
        <v/>
      </c>
      <c r="DQ40" s="226">
        <f>IFERROR((DG40-CW40)/CW40,"-")</f>
        <v/>
      </c>
      <c r="DR40" s="288">
        <f>IFERROR((DH40-CX40)/CX40,"-")</f>
        <v/>
      </c>
      <c r="DS40" s="223" t="n">
        <v>23</v>
      </c>
      <c r="DT40" s="223" t="n">
        <v>208248</v>
      </c>
      <c r="DU40" s="223" t="n">
        <v>1263.95710399</v>
      </c>
      <c r="DV40" s="223" t="n">
        <v>1272.86277245</v>
      </c>
      <c r="DW40" s="223" t="n">
        <v>-8.9056684599982</v>
      </c>
      <c r="DX40" s="223" t="n">
        <v>37363.21656853</v>
      </c>
      <c r="DY40" s="223" t="n">
        <v>36854.20096474</v>
      </c>
      <c r="DZ40" s="223" t="n">
        <v>0</v>
      </c>
      <c r="EA40" s="223" t="n">
        <v>0</v>
      </c>
      <c r="EB40" s="222" t="inlineStr">
        <is>
          <t>-</t>
        </is>
      </c>
      <c r="EC40" s="280">
        <f>S40+AC40+AM40+AW40+BG40+BQ40+CA40+CK40+CU40+DE40+DU40</f>
        <v/>
      </c>
      <c r="ED40" s="275">
        <f>U40+AE40+AO40+AY40+BI40+BS40+CC40+CM40+CW40+DG40+DW40</f>
        <v/>
      </c>
      <c r="EE40" s="222" t="inlineStr">
        <is>
          <t>-</t>
        </is>
      </c>
      <c r="EF40" s="226">
        <f>IFERROR((DU40-DE40)/DE40,"-")</f>
        <v/>
      </c>
      <c r="EG40" s="226">
        <f>IFERROR((DW40-DG40)/DG40,"-")</f>
        <v/>
      </c>
      <c r="EH40" s="288">
        <f>IFERROR((DX40-DH40)/DH40,"-")</f>
        <v/>
      </c>
      <c r="EI40" s="222" t="inlineStr">
        <is>
          <t>-</t>
        </is>
      </c>
      <c r="EJ40" s="223" t="n">
        <v>23</v>
      </c>
      <c r="EK40" s="223" t="n">
        <v>203580</v>
      </c>
      <c r="EL40" s="223" t="n">
        <v>907.170086579998</v>
      </c>
      <c r="EM40" s="223" t="n">
        <v>3985.56932019</v>
      </c>
      <c r="EN40" s="223" t="n">
        <v>-3078.39923361</v>
      </c>
      <c r="EO40" s="223" t="n">
        <v>33620.53214772</v>
      </c>
      <c r="EP40" s="223" t="n">
        <v>35383.49260367</v>
      </c>
      <c r="EQ40" s="223" t="n">
        <v>0</v>
      </c>
      <c r="ER40" s="223" t="n">
        <v>0</v>
      </c>
      <c r="ES40" s="222" t="inlineStr">
        <is>
          <t>-</t>
        </is>
      </c>
      <c r="ET40" s="280">
        <f>S40+AC40+AM40+AW40+BG40+BQ40+CA40+CK40+CU40+DE40+DU40+EL40</f>
        <v/>
      </c>
      <c r="EU40" s="275">
        <f>U40+AE40+AO40+AY40+BI40+BS40+CC40+CM40+CW40+DG40+DW40+EN40</f>
        <v/>
      </c>
      <c r="EV40" s="222" t="inlineStr">
        <is>
          <t>-</t>
        </is>
      </c>
      <c r="EW40" s="300">
        <f>IFERROR((EL40-DU40)/DU40,"-")</f>
        <v/>
      </c>
      <c r="EX40" s="293">
        <f>IFERROR((EN40-DW40)/DW40,"-")</f>
        <v/>
      </c>
      <c r="EY40" s="288">
        <f>IFERROR((EO40-DX40)/DX40,"-")</f>
        <v/>
      </c>
    </row>
    <row r="41" hidden="1" outlineLevel="1">
      <c r="A41" s="159" t="inlineStr">
        <is>
          <t>Other Debt Scheme</t>
        </is>
      </c>
      <c r="B41" s="160" t="inlineStr">
        <is>
          <t>Income/Debt Oriented Schemes</t>
        </is>
      </c>
      <c r="C41" s="160" t="inlineStr">
        <is>
          <t>Close Ended Schemes</t>
        </is>
      </c>
      <c r="D41" s="160" t="inlineStr">
        <is>
          <t>Debt</t>
        </is>
      </c>
      <c r="E41" s="160" t="inlineStr">
        <is>
          <t>TD</t>
        </is>
      </c>
      <c r="F41" s="160" t="inlineStr">
        <is>
          <t>Active Debt (incl Hybrid)</t>
        </is>
      </c>
      <c r="G41" s="416" t="n"/>
      <c r="H41" s="416" t="n"/>
      <c r="I41" s="416" t="n"/>
      <c r="J41" s="416" t="n"/>
      <c r="K41" s="416">
        <f>IF(OR(I41="",J41=""),"",I41-J41)</f>
        <v/>
      </c>
      <c r="L41" s="161" t="n">
        <v>5319.12</v>
      </c>
      <c r="M41" s="161" t="n">
        <v>5265.41</v>
      </c>
      <c r="N41" s="416" t="n"/>
      <c r="O41" s="416" t="n"/>
      <c r="P41" s="162" t="inlineStr">
        <is>
          <t>-</t>
        </is>
      </c>
      <c r="Q41" s="219" t="n">
        <v>1</v>
      </c>
      <c r="R41" s="219" t="n">
        <v>190744</v>
      </c>
      <c r="S41" s="522" t="n">
        <v>18.4</v>
      </c>
      <c r="T41" s="522" t="n">
        <v>61.28</v>
      </c>
      <c r="U41" s="522" t="n">
        <v>-42.88</v>
      </c>
      <c r="V41" s="522" t="n">
        <v>5434.4</v>
      </c>
      <c r="W41" s="522" t="n">
        <v>5382.59</v>
      </c>
      <c r="X41" s="219" t="n">
        <v>0</v>
      </c>
      <c r="Y41" s="522" t="n">
        <v>0</v>
      </c>
      <c r="Z41" s="221" t="inlineStr">
        <is>
          <t>-</t>
        </is>
      </c>
      <c r="AA41" s="219" t="n">
        <v>1</v>
      </c>
      <c r="AB41" s="219" t="n">
        <v>189044</v>
      </c>
      <c r="AC41" s="522" t="n">
        <v>15.43</v>
      </c>
      <c r="AD41" s="522" t="n">
        <v>68.14</v>
      </c>
      <c r="AE41" s="522" t="n">
        <v>-52.71</v>
      </c>
      <c r="AF41" s="522" t="n">
        <v>5451.34</v>
      </c>
      <c r="AG41" s="522" t="n">
        <v>5457.69</v>
      </c>
      <c r="AH41" s="219" t="n">
        <v>0</v>
      </c>
      <c r="AI41" s="522" t="n">
        <v>0</v>
      </c>
      <c r="AJ41" s="221" t="inlineStr">
        <is>
          <t>-</t>
        </is>
      </c>
      <c r="AK41" s="219" t="n">
        <v>1</v>
      </c>
      <c r="AL41" s="219" t="n">
        <v>187506</v>
      </c>
      <c r="AM41" s="522" t="n">
        <v>15.55</v>
      </c>
      <c r="AN41" s="522" t="n">
        <v>58.91</v>
      </c>
      <c r="AO41" s="522" t="n">
        <v>-43.36</v>
      </c>
      <c r="AP41" s="522" t="n">
        <v>5472.76</v>
      </c>
      <c r="AQ41" s="522" t="n">
        <v>5464.72</v>
      </c>
      <c r="AR41" s="219" t="n">
        <v>0</v>
      </c>
      <c r="AS41" s="522" t="n">
        <v>0</v>
      </c>
      <c r="AT41" s="221" t="inlineStr">
        <is>
          <t>-</t>
        </is>
      </c>
      <c r="AU41" s="219" t="n">
        <v>1</v>
      </c>
      <c r="AV41" s="219" t="n">
        <v>185895</v>
      </c>
      <c r="AW41" s="522" t="n">
        <v>15.79</v>
      </c>
      <c r="AX41" s="522" t="n">
        <v>68.66</v>
      </c>
      <c r="AY41" s="522" t="n">
        <v>-52.87</v>
      </c>
      <c r="AZ41" s="522" t="n">
        <v>5361.28</v>
      </c>
      <c r="BA41" s="522" t="n">
        <v>5445.48</v>
      </c>
      <c r="BB41" s="219" t="n">
        <v>0</v>
      </c>
      <c r="BC41" s="522" t="n">
        <v>0</v>
      </c>
      <c r="BD41" s="221" t="inlineStr">
        <is>
          <t>-</t>
        </is>
      </c>
      <c r="BE41" s="219" t="n">
        <v>1</v>
      </c>
      <c r="BF41" s="219" t="n">
        <v>184690</v>
      </c>
      <c r="BG41" s="522" t="n">
        <v>14.32</v>
      </c>
      <c r="BH41" s="522" t="n">
        <v>48.19</v>
      </c>
      <c r="BI41" s="522" t="n">
        <v>-33.87</v>
      </c>
      <c r="BJ41" s="522" t="n">
        <v>5287.88</v>
      </c>
      <c r="BK41" s="522" t="n">
        <v>5358.01</v>
      </c>
      <c r="BL41" s="219" t="n">
        <v>0</v>
      </c>
      <c r="BM41" s="522" t="n">
        <v>0</v>
      </c>
      <c r="BN41" s="221" t="inlineStr">
        <is>
          <t>-</t>
        </is>
      </c>
      <c r="BO41" s="219" t="n">
        <v>1</v>
      </c>
      <c r="BP41" s="219" t="n">
        <v>183213</v>
      </c>
      <c r="BQ41" s="522" t="n">
        <v>15.3</v>
      </c>
      <c r="BR41" s="522" t="n">
        <v>57.76</v>
      </c>
      <c r="BS41" s="522" t="n">
        <v>-42.46</v>
      </c>
      <c r="BT41" s="522" t="n">
        <v>5278.36</v>
      </c>
      <c r="BU41" s="522" t="n">
        <v>5363.34</v>
      </c>
      <c r="BV41" s="219" t="n">
        <v>0</v>
      </c>
      <c r="BW41" s="522" t="n">
        <v>0</v>
      </c>
      <c r="BX41" s="221" t="inlineStr">
        <is>
          <t>-</t>
        </is>
      </c>
      <c r="BY41" s="219" t="n">
        <v>1</v>
      </c>
      <c r="BZ41" s="219" t="n">
        <v>181974</v>
      </c>
      <c r="CA41" s="522" t="n">
        <v>14.53</v>
      </c>
      <c r="CB41" s="522" t="n">
        <v>73.26000000000001</v>
      </c>
      <c r="CC41" s="522" t="n">
        <v>-58.73</v>
      </c>
      <c r="CD41" s="522" t="n">
        <v>5307.27</v>
      </c>
      <c r="CE41" s="522" t="n">
        <v>5349.38</v>
      </c>
      <c r="CF41" s="219" t="n">
        <v>0</v>
      </c>
      <c r="CG41" s="522" t="n">
        <v>0</v>
      </c>
      <c r="CH41" s="221" t="inlineStr">
        <is>
          <t>-</t>
        </is>
      </c>
      <c r="CI41" s="219" t="n">
        <v>1</v>
      </c>
      <c r="CJ41" s="219" t="n">
        <v>180825</v>
      </c>
      <c r="CK41" s="522" t="n">
        <v>14.16</v>
      </c>
      <c r="CL41" s="522" t="n">
        <v>51.23</v>
      </c>
      <c r="CM41" s="522" t="n">
        <v>-37.07</v>
      </c>
      <c r="CN41" s="522" t="n">
        <v>5284.85</v>
      </c>
      <c r="CO41" s="522" t="n">
        <v>5309.67</v>
      </c>
      <c r="CP41" s="219" t="n">
        <v>0</v>
      </c>
      <c r="CQ41" s="522" t="n">
        <v>0</v>
      </c>
      <c r="CR41" s="221" t="inlineStr">
        <is>
          <t>-</t>
        </is>
      </c>
      <c r="CS41" s="219" t="n">
        <v>1</v>
      </c>
      <c r="CT41" s="219" t="n">
        <v>179801</v>
      </c>
      <c r="CU41" s="522" t="n">
        <v>15.74</v>
      </c>
      <c r="CV41" s="522" t="n">
        <v>55.01</v>
      </c>
      <c r="CW41" s="522" t="n">
        <v>-39.2700000000001</v>
      </c>
      <c r="CX41" s="522" t="n">
        <v>5195.84</v>
      </c>
      <c r="CY41" s="522" t="n">
        <v>5243.3</v>
      </c>
      <c r="CZ41" s="219" t="n">
        <v>0</v>
      </c>
      <c r="DA41" s="522" t="n">
        <v>0</v>
      </c>
      <c r="DB41" s="222" t="inlineStr">
        <is>
          <t>-</t>
        </is>
      </c>
      <c r="DC41" s="223" t="n">
        <v>1</v>
      </c>
      <c r="DD41" s="223" t="n">
        <v>178857</v>
      </c>
      <c r="DE41" s="523" t="n">
        <v>15.41</v>
      </c>
      <c r="DF41" s="523" t="n">
        <v>49.4699999999999</v>
      </c>
      <c r="DG41" s="523" t="n">
        <v>-34.0599999999999</v>
      </c>
      <c r="DH41" s="523" t="n">
        <v>5067.75</v>
      </c>
      <c r="DI41" s="523" t="n">
        <v>5149.78</v>
      </c>
      <c r="DJ41" s="223" t="n">
        <v>0</v>
      </c>
      <c r="DK41" s="523" t="n">
        <v>0</v>
      </c>
      <c r="DL41" s="222" t="inlineStr">
        <is>
          <t>-</t>
        </is>
      </c>
      <c r="DM41" s="280">
        <f>S41+AC41+AM41+AW41+BG41+BQ41+CA41+CK41+CU41+DE41</f>
        <v/>
      </c>
      <c r="DN41" s="275">
        <f>U41+AE41+AO41+AY41+BI41+BS41+CC41+CM41+CW41+DG41</f>
        <v/>
      </c>
      <c r="DO41" s="222" t="inlineStr">
        <is>
          <t>-</t>
        </is>
      </c>
      <c r="DP41" s="226">
        <f>IFERROR((DE41-CU41)/CU41,"-")</f>
        <v/>
      </c>
      <c r="DQ41" s="226">
        <f>IFERROR((DG41-CW41)/CW41,"-")</f>
        <v/>
      </c>
      <c r="DR41" s="288">
        <f>IFERROR((DH41-CX41)/CX41,"-")</f>
        <v/>
      </c>
      <c r="DS41" s="223" t="n">
        <v>1</v>
      </c>
      <c r="DT41" s="223" t="n">
        <v>177809</v>
      </c>
      <c r="DU41" s="223" t="n">
        <v>14.99</v>
      </c>
      <c r="DV41" s="223" t="n">
        <v>44.27</v>
      </c>
      <c r="DW41" s="223" t="n">
        <v>-29.28</v>
      </c>
      <c r="DX41" s="223" t="n">
        <v>5019.12</v>
      </c>
      <c r="DY41" s="223" t="n">
        <v>5088.88</v>
      </c>
      <c r="DZ41" s="223" t="n">
        <v>0</v>
      </c>
      <c r="EA41" s="223" t="n">
        <v>0</v>
      </c>
      <c r="EB41" s="222" t="inlineStr">
        <is>
          <t>-</t>
        </is>
      </c>
      <c r="EC41" s="280">
        <f>S41+AC41+AM41+AW41+BG41+BQ41+CA41+CK41+CU41+DE41+DU41</f>
        <v/>
      </c>
      <c r="ED41" s="275">
        <f>U41+AE41+AO41+AY41+BI41+BS41+CC41+CM41+CW41+DG41+DW41</f>
        <v/>
      </c>
      <c r="EE41" s="222" t="inlineStr">
        <is>
          <t>-</t>
        </is>
      </c>
      <c r="EF41" s="226">
        <f>IFERROR((DU41-DE41)/DE41,"-")</f>
        <v/>
      </c>
      <c r="EG41" s="226">
        <f>IFERROR((DW41-DG41)/DG41,"-")</f>
        <v/>
      </c>
      <c r="EH41" s="288">
        <f>IFERROR((DX41-DH41)/DH41,"-")</f>
        <v/>
      </c>
      <c r="EI41" s="222" t="inlineStr">
        <is>
          <t>-</t>
        </is>
      </c>
      <c r="EJ41" s="223" t="n">
        <v>1</v>
      </c>
      <c r="EK41" s="223" t="n">
        <v>176949</v>
      </c>
      <c r="EL41" s="223" t="n">
        <v>19.47</v>
      </c>
      <c r="EM41" s="223" t="n">
        <v>35.9100000000001</v>
      </c>
      <c r="EN41" s="223" t="n">
        <v>-16.4400000000001</v>
      </c>
      <c r="EO41" s="223" t="n">
        <v>4748.07</v>
      </c>
      <c r="EP41" s="223" t="n">
        <v>4891.44</v>
      </c>
      <c r="EQ41" s="223" t="n">
        <v>0</v>
      </c>
      <c r="ER41" s="223" t="n">
        <v>0</v>
      </c>
      <c r="ES41" s="222" t="inlineStr">
        <is>
          <t>-</t>
        </is>
      </c>
      <c r="ET41" s="280">
        <f>S41+AC41+AM41+AW41+BG41+BQ41+CA41+CK41+CU41+DE41+DU41+EL41</f>
        <v/>
      </c>
      <c r="EU41" s="275">
        <f>U41+AE41+AO41+AY41+BI41+BS41+CC41+CM41+CW41+DG41+DW41+EN41</f>
        <v/>
      </c>
      <c r="EV41" s="222" t="inlineStr">
        <is>
          <t>-</t>
        </is>
      </c>
      <c r="EW41" s="300">
        <f>IFERROR((EL41-DU41)/DU41,"-")</f>
        <v/>
      </c>
      <c r="EX41" s="293">
        <f>IFERROR((EN41-DW41)/DW41,"-")</f>
        <v/>
      </c>
      <c r="EY41" s="288">
        <f>IFERROR((EO41-DX41)/DX41,"-")</f>
        <v/>
      </c>
    </row>
    <row r="42" hidden="1" outlineLevel="1">
      <c r="A42" s="159" t="inlineStr">
        <is>
          <t>Conservative Hybrid Fund</t>
        </is>
      </c>
      <c r="B42" s="160" t="inlineStr">
        <is>
          <t>Hybrid Schemes</t>
        </is>
      </c>
      <c r="C42" s="160" t="inlineStr">
        <is>
          <t>Open ended Schemes</t>
        </is>
      </c>
      <c r="D42" s="160" t="inlineStr">
        <is>
          <t>Debt</t>
        </is>
      </c>
      <c r="E42" s="160" t="inlineStr">
        <is>
          <t>Debt-Hybrid Schemes</t>
        </is>
      </c>
      <c r="F42" s="160" t="inlineStr">
        <is>
          <t>Active Debt (incl Hybrid)</t>
        </is>
      </c>
      <c r="G42" s="416" t="n"/>
      <c r="H42" s="416" t="n"/>
      <c r="I42" s="416" t="n"/>
      <c r="J42" s="416" t="n"/>
      <c r="K42" s="416">
        <f>IF(OR(I42="",J42=""),"",I42-J42)</f>
        <v/>
      </c>
      <c r="L42" s="161" t="n">
        <v>28124.4855275</v>
      </c>
      <c r="M42" s="161" t="n">
        <v>27918.75272202</v>
      </c>
      <c r="N42" s="416" t="n"/>
      <c r="O42" s="416" t="n"/>
      <c r="P42" s="162" t="inlineStr">
        <is>
          <t>-</t>
        </is>
      </c>
      <c r="Q42" s="219" t="n">
        <v>18</v>
      </c>
      <c r="R42" s="219" t="n">
        <v>550659</v>
      </c>
      <c r="S42" s="522" t="n">
        <v>311.47520924</v>
      </c>
      <c r="T42" s="522" t="n">
        <v>547.87967494</v>
      </c>
      <c r="U42" s="522" t="n">
        <v>-236.4044657</v>
      </c>
      <c r="V42" s="522" t="n">
        <v>28359.40550768</v>
      </c>
      <c r="W42" s="522" t="n">
        <v>28180.96931756</v>
      </c>
      <c r="X42" s="219" t="n">
        <v>1</v>
      </c>
      <c r="Y42" s="522" t="n">
        <v>0</v>
      </c>
      <c r="Z42" s="221" t="inlineStr">
        <is>
          <t>-</t>
        </is>
      </c>
      <c r="AA42" s="219" t="n">
        <v>18</v>
      </c>
      <c r="AB42" s="219" t="n">
        <v>555080</v>
      </c>
      <c r="AC42" s="522" t="n">
        <v>470.82032983</v>
      </c>
      <c r="AD42" s="522" t="n">
        <v>381.51204807</v>
      </c>
      <c r="AE42" s="522" t="n">
        <v>89.30828176</v>
      </c>
      <c r="AF42" s="522" t="n">
        <v>28825.3479287</v>
      </c>
      <c r="AG42" s="522" t="n">
        <v>28579.25769863</v>
      </c>
      <c r="AH42" s="219" t="n">
        <v>1</v>
      </c>
      <c r="AI42" s="522" t="n">
        <v>0</v>
      </c>
      <c r="AJ42" s="221" t="inlineStr">
        <is>
          <t>-</t>
        </is>
      </c>
      <c r="AK42" s="219" t="n">
        <v>18</v>
      </c>
      <c r="AL42" s="219" t="n">
        <v>560827</v>
      </c>
      <c r="AM42" s="522" t="n">
        <v>496.84869965</v>
      </c>
      <c r="AN42" s="522" t="n">
        <v>358.67259826</v>
      </c>
      <c r="AO42" s="522" t="n">
        <v>138.17610139</v>
      </c>
      <c r="AP42" s="522" t="n">
        <v>29084.82881079</v>
      </c>
      <c r="AQ42" s="522" t="n">
        <v>28953.16499812</v>
      </c>
      <c r="AR42" s="219" t="n">
        <v>1</v>
      </c>
      <c r="AS42" s="522" t="n">
        <v>0</v>
      </c>
      <c r="AT42" s="221" t="inlineStr">
        <is>
          <t>-</t>
        </is>
      </c>
      <c r="AU42" s="219" t="n">
        <v>18</v>
      </c>
      <c r="AV42" s="219" t="n">
        <v>566649</v>
      </c>
      <c r="AW42" s="522" t="n">
        <v>738.40746182</v>
      </c>
      <c r="AX42" s="522" t="n">
        <v>430.23692902</v>
      </c>
      <c r="AY42" s="522" t="n">
        <v>308.1705328</v>
      </c>
      <c r="AZ42" s="522" t="n">
        <v>29421.04246799</v>
      </c>
      <c r="BA42" s="522" t="n">
        <v>29335.74526753</v>
      </c>
      <c r="BB42" s="219" t="n">
        <v>1</v>
      </c>
      <c r="BC42" s="522" t="n">
        <v>0</v>
      </c>
      <c r="BD42" s="221" t="inlineStr">
        <is>
          <t>-</t>
        </is>
      </c>
      <c r="BE42" s="219" t="n">
        <v>18</v>
      </c>
      <c r="BF42" s="219" t="n">
        <v>570583</v>
      </c>
      <c r="BG42" s="522" t="n">
        <v>390.59679705</v>
      </c>
      <c r="BH42" s="522" t="n">
        <v>346.97811289</v>
      </c>
      <c r="BI42" s="522" t="n">
        <v>43.6186841599999</v>
      </c>
      <c r="BJ42" s="522" t="n">
        <v>29268.17792339</v>
      </c>
      <c r="BK42" s="522" t="n">
        <v>29406.61505616</v>
      </c>
      <c r="BL42" s="219" t="n">
        <v>1</v>
      </c>
      <c r="BM42" s="522" t="n">
        <v>0</v>
      </c>
      <c r="BN42" s="221" t="inlineStr">
        <is>
          <t>-</t>
        </is>
      </c>
      <c r="BO42" s="219" t="n">
        <v>18</v>
      </c>
      <c r="BP42" s="219" t="n">
        <v>572447</v>
      </c>
      <c r="BQ42" s="522" t="n">
        <v>400.75326372</v>
      </c>
      <c r="BR42" s="522" t="n">
        <v>446.74661541</v>
      </c>
      <c r="BS42" s="522" t="n">
        <v>-45.9933516899996</v>
      </c>
      <c r="BT42" s="522" t="n">
        <v>29492.1140183</v>
      </c>
      <c r="BU42" s="522" t="n">
        <v>29523.28089088</v>
      </c>
      <c r="BV42" s="219" t="n">
        <v>1</v>
      </c>
      <c r="BW42" s="522" t="n">
        <v>0</v>
      </c>
      <c r="BX42" s="221" t="inlineStr">
        <is>
          <t>-</t>
        </is>
      </c>
      <c r="BY42" s="219" t="n">
        <v>18</v>
      </c>
      <c r="BZ42" s="219" t="n">
        <v>573771</v>
      </c>
      <c r="CA42" s="522" t="n">
        <v>479.6423888</v>
      </c>
      <c r="CB42" s="522" t="n">
        <v>477.80317936</v>
      </c>
      <c r="CC42" s="522" t="n">
        <v>1.83920943999965</v>
      </c>
      <c r="CD42" s="522" t="n">
        <v>29877.7012392</v>
      </c>
      <c r="CE42" s="522" t="n">
        <v>29834.40377778</v>
      </c>
      <c r="CF42" s="219" t="n">
        <v>1</v>
      </c>
      <c r="CG42" s="522" t="n">
        <v>0</v>
      </c>
      <c r="CH42" s="221" t="inlineStr">
        <is>
          <t>-</t>
        </is>
      </c>
      <c r="CI42" s="219" t="n">
        <v>18</v>
      </c>
      <c r="CJ42" s="219" t="n">
        <v>575592</v>
      </c>
      <c r="CK42" s="522" t="n">
        <v>367.15741281</v>
      </c>
      <c r="CL42" s="522" t="n">
        <v>461.62355572</v>
      </c>
      <c r="CM42" s="522" t="n">
        <v>-94.4661429099997</v>
      </c>
      <c r="CN42" s="522" t="n">
        <v>29936.93840142</v>
      </c>
      <c r="CO42" s="522" t="n">
        <v>29947.10215958</v>
      </c>
      <c r="CP42" s="219" t="n">
        <v>1</v>
      </c>
      <c r="CQ42" s="522" t="n">
        <v>0</v>
      </c>
      <c r="CR42" s="221" t="inlineStr">
        <is>
          <t>-</t>
        </is>
      </c>
      <c r="CS42" s="219" t="n">
        <v>18</v>
      </c>
      <c r="CT42" s="219" t="n">
        <v>575909</v>
      </c>
      <c r="CU42" s="522" t="n">
        <v>381.58755112</v>
      </c>
      <c r="CV42" s="522" t="n">
        <v>499.98232431</v>
      </c>
      <c r="CW42" s="522" t="n">
        <v>-118.39477319</v>
      </c>
      <c r="CX42" s="522" t="n">
        <v>29769.23550701</v>
      </c>
      <c r="CY42" s="522" t="n">
        <v>29829.43203038</v>
      </c>
      <c r="CZ42" s="219" t="n">
        <v>1</v>
      </c>
      <c r="DA42" s="522" t="n">
        <v>0</v>
      </c>
      <c r="DB42" s="222" t="inlineStr">
        <is>
          <t>-</t>
        </is>
      </c>
      <c r="DC42" s="223" t="n">
        <v>18</v>
      </c>
      <c r="DD42" s="223" t="n">
        <v>576220</v>
      </c>
      <c r="DE42" s="523" t="n">
        <v>424.27986911</v>
      </c>
      <c r="DF42" s="523" t="n">
        <v>501.493571800001</v>
      </c>
      <c r="DG42" s="523" t="n">
        <v>-77.2137026900004</v>
      </c>
      <c r="DH42" s="523" t="n">
        <v>29527.20377438</v>
      </c>
      <c r="DI42" s="523" t="n">
        <v>29674.29655294</v>
      </c>
      <c r="DJ42" s="223" t="n">
        <v>1</v>
      </c>
      <c r="DK42" s="523" t="n">
        <v>0</v>
      </c>
      <c r="DL42" s="222" t="inlineStr">
        <is>
          <t>-</t>
        </is>
      </c>
      <c r="DM42" s="280">
        <f>S42+AC42+AM42+AW42+BG42+BQ42+CA42+CK42+CU42+DE42</f>
        <v/>
      </c>
      <c r="DN42" s="275">
        <f>U42+AE42+AO42+AY42+BI42+BS42+CC42+CM42+CW42+DG42</f>
        <v/>
      </c>
      <c r="DO42" s="222" t="inlineStr">
        <is>
          <t>-</t>
        </is>
      </c>
      <c r="DP42" s="226">
        <f>IFERROR((DE42-CU42)/CU42,"-")</f>
        <v/>
      </c>
      <c r="DQ42" s="226">
        <f>IFERROR((DG42-CW42)/CW42,"-")</f>
        <v/>
      </c>
      <c r="DR42" s="288">
        <f>IFERROR((DH42-CX42)/CX42,"-")</f>
        <v/>
      </c>
      <c r="DS42" s="223" t="n">
        <v>18</v>
      </c>
      <c r="DT42" s="223" t="n">
        <v>579547</v>
      </c>
      <c r="DU42" s="223" t="n">
        <v>369.64113142</v>
      </c>
      <c r="DV42" s="223" t="n">
        <v>437.50883858</v>
      </c>
      <c r="DW42" s="223" t="n">
        <v>-67.86770716000051</v>
      </c>
      <c r="DX42" s="223" t="n">
        <v>29737.15769212</v>
      </c>
      <c r="DY42" s="223" t="n">
        <v>29744.41180982</v>
      </c>
      <c r="DZ42" s="223" t="n">
        <v>1</v>
      </c>
      <c r="EA42" s="223" t="n">
        <v>0</v>
      </c>
      <c r="EB42" s="222" t="inlineStr">
        <is>
          <t>-</t>
        </is>
      </c>
      <c r="EC42" s="280">
        <f>S42+AC42+AM42+AW42+BG42+BQ42+CA42+CK42+CU42+DE42+DU42</f>
        <v/>
      </c>
      <c r="ED42" s="275">
        <f>U42+AE42+AO42+AY42+BI42+BS42+CC42+CM42+CW42+DG42+DW42</f>
        <v/>
      </c>
      <c r="EE42" s="222" t="inlineStr">
        <is>
          <t>-</t>
        </is>
      </c>
      <c r="EF42" s="226">
        <f>IFERROR((DU42-DE42)/DE42,"-")</f>
        <v/>
      </c>
      <c r="EG42" s="226">
        <f>IFERROR((DW42-DG42)/DG42,"-")</f>
        <v/>
      </c>
      <c r="EH42" s="288">
        <f>IFERROR((DX42-DH42)/DH42,"-")</f>
        <v/>
      </c>
      <c r="EI42" s="222" t="inlineStr">
        <is>
          <t>-</t>
        </is>
      </c>
      <c r="EJ42" s="223" t="n">
        <v>18</v>
      </c>
      <c r="EK42" s="223" t="n">
        <v>580399</v>
      </c>
      <c r="EL42" s="223" t="n">
        <v>354.219651930001</v>
      </c>
      <c r="EM42" s="223" t="n">
        <v>572.566682989999</v>
      </c>
      <c r="EN42" s="223" t="n">
        <v>-218.347031059999</v>
      </c>
      <c r="EO42" s="223" t="n">
        <v>28648.53749393</v>
      </c>
      <c r="EP42" s="223" t="n">
        <v>29226.46005316</v>
      </c>
      <c r="EQ42" s="223" t="n">
        <v>1</v>
      </c>
      <c r="ER42" s="223" t="n">
        <v>0</v>
      </c>
      <c r="ES42" s="222" t="inlineStr">
        <is>
          <t>-</t>
        </is>
      </c>
      <c r="ET42" s="280">
        <f>S42+AC42+AM42+AW42+BG42+BQ42+CA42+CK42+CU42+DE42+DU42+EL42</f>
        <v/>
      </c>
      <c r="EU42" s="275">
        <f>U42+AE42+AO42+AY42+BI42+BS42+CC42+CM42+CW42+DG42+DW42+EN42</f>
        <v/>
      </c>
      <c r="EV42" s="222" t="inlineStr">
        <is>
          <t>-</t>
        </is>
      </c>
      <c r="EW42" s="300">
        <f>IFERROR((EL42-DU42)/DU42,"-")</f>
        <v/>
      </c>
      <c r="EX42" s="293">
        <f>IFERROR((EN42-DW42)/DW42,"-")</f>
        <v/>
      </c>
      <c r="EY42" s="288">
        <f>IFERROR((EO42-DX42)/DX42,"-")</f>
        <v/>
      </c>
    </row>
    <row r="43" hidden="1" outlineLevel="1">
      <c r="A43" s="159" t="inlineStr">
        <is>
          <t>Medium Duration Fund</t>
        </is>
      </c>
      <c r="B43" s="160" t="inlineStr">
        <is>
          <t>Income/Debt Oriented Schemes</t>
        </is>
      </c>
      <c r="C43" s="160" t="inlineStr">
        <is>
          <t>Open ended Schemes</t>
        </is>
      </c>
      <c r="D43" s="160" t="inlineStr">
        <is>
          <t>Debt</t>
        </is>
      </c>
      <c r="E43" s="160" t="inlineStr">
        <is>
          <t>TD</t>
        </is>
      </c>
      <c r="F43" s="160" t="inlineStr">
        <is>
          <t>Active Debt (incl Hybrid)</t>
        </is>
      </c>
      <c r="G43" s="416" t="n"/>
      <c r="H43" s="416" t="n"/>
      <c r="I43" s="416" t="n"/>
      <c r="J43" s="416" t="n"/>
      <c r="K43" s="416">
        <f>IF(OR(I43="",J43=""),"",I43-J43)</f>
        <v/>
      </c>
      <c r="L43" s="161" t="n">
        <v>24666.49533919</v>
      </c>
      <c r="M43" s="161" t="n">
        <v>24832.79290794</v>
      </c>
      <c r="N43" s="416" t="n"/>
      <c r="O43" s="416" t="n"/>
      <c r="P43" s="162" t="inlineStr">
        <is>
          <t>-</t>
        </is>
      </c>
      <c r="Q43" s="219" t="n">
        <v>13</v>
      </c>
      <c r="R43" s="219" t="n">
        <v>219285</v>
      </c>
      <c r="S43" s="522" t="n">
        <v>665.09613515</v>
      </c>
      <c r="T43" s="522" t="n">
        <v>530.9689117299999</v>
      </c>
      <c r="U43" s="522" t="n">
        <v>134.12722342</v>
      </c>
      <c r="V43" s="522" t="n">
        <v>25163.71872743</v>
      </c>
      <c r="W43" s="522" t="n">
        <v>25082.7163822</v>
      </c>
      <c r="X43" s="219" t="n">
        <v>2</v>
      </c>
      <c r="Y43" s="522" t="n">
        <v>0</v>
      </c>
      <c r="Z43" s="221" t="inlineStr">
        <is>
          <t>-</t>
        </is>
      </c>
      <c r="AA43" s="219" t="n">
        <v>13</v>
      </c>
      <c r="AB43" s="219" t="n">
        <v>223104</v>
      </c>
      <c r="AC43" s="522" t="n">
        <v>345.67110336</v>
      </c>
      <c r="AD43" s="522" t="n">
        <v>392.7768737</v>
      </c>
      <c r="AE43" s="522" t="n">
        <v>-47.10577034</v>
      </c>
      <c r="AF43" s="522" t="n">
        <v>25365.58479613</v>
      </c>
      <c r="AG43" s="522" t="n">
        <v>25294.92654737</v>
      </c>
      <c r="AH43" s="219" t="n">
        <v>2</v>
      </c>
      <c r="AI43" s="522" t="n">
        <v>0</v>
      </c>
      <c r="AJ43" s="221" t="inlineStr">
        <is>
          <t>-</t>
        </is>
      </c>
      <c r="AK43" s="219" t="n">
        <v>13</v>
      </c>
      <c r="AL43" s="219" t="n">
        <v>226670</v>
      </c>
      <c r="AM43" s="522" t="n">
        <v>378.53568204</v>
      </c>
      <c r="AN43" s="522" t="n">
        <v>439.51407904</v>
      </c>
      <c r="AO43" s="522" t="n">
        <v>-60.978397</v>
      </c>
      <c r="AP43" s="522" t="n">
        <v>25335.97711312</v>
      </c>
      <c r="AQ43" s="522" t="n">
        <v>25330.04911105</v>
      </c>
      <c r="AR43" s="219" t="n">
        <v>2</v>
      </c>
      <c r="AS43" s="522" t="n">
        <v>0</v>
      </c>
      <c r="AT43" s="221" t="inlineStr">
        <is>
          <t>-</t>
        </is>
      </c>
      <c r="AU43" s="219" t="n">
        <v>13</v>
      </c>
      <c r="AV43" s="219" t="n">
        <v>230916</v>
      </c>
      <c r="AW43" s="522" t="n">
        <v>582.91793036</v>
      </c>
      <c r="AX43" s="522" t="n">
        <v>558.94179081</v>
      </c>
      <c r="AY43" s="522" t="n">
        <v>23.97613955</v>
      </c>
      <c r="AZ43" s="522" t="n">
        <v>25513.37993014</v>
      </c>
      <c r="BA43" s="522" t="n">
        <v>25549.30425005</v>
      </c>
      <c r="BB43" s="219" t="n">
        <v>2</v>
      </c>
      <c r="BC43" s="522" t="n">
        <v>0</v>
      </c>
      <c r="BD43" s="221" t="inlineStr">
        <is>
          <t>-</t>
        </is>
      </c>
      <c r="BE43" s="219" t="n">
        <v>13</v>
      </c>
      <c r="BF43" s="219" t="n">
        <v>233423</v>
      </c>
      <c r="BG43" s="522" t="n">
        <v>502.3155195</v>
      </c>
      <c r="BH43" s="522" t="n">
        <v>390.34261727</v>
      </c>
      <c r="BI43" s="522" t="n">
        <v>111.97290223</v>
      </c>
      <c r="BJ43" s="522" t="n">
        <v>25590.07204737</v>
      </c>
      <c r="BK43" s="522" t="n">
        <v>25600.14227157</v>
      </c>
      <c r="BL43" s="219" t="n">
        <v>2</v>
      </c>
      <c r="BM43" s="522" t="n">
        <v>0</v>
      </c>
      <c r="BN43" s="221" t="inlineStr">
        <is>
          <t>-</t>
        </is>
      </c>
      <c r="BO43" s="219" t="n">
        <v>13</v>
      </c>
      <c r="BP43" s="219" t="n">
        <v>234720</v>
      </c>
      <c r="BQ43" s="522" t="n">
        <v>794.73203132</v>
      </c>
      <c r="BR43" s="522" t="n">
        <v>951.57533255</v>
      </c>
      <c r="BS43" s="522" t="n">
        <v>-156.84330123</v>
      </c>
      <c r="BT43" s="522" t="n">
        <v>25661.93072557</v>
      </c>
      <c r="BU43" s="522" t="n">
        <v>25664.17109362</v>
      </c>
      <c r="BV43" s="219" t="n">
        <v>2</v>
      </c>
      <c r="BW43" s="522" t="n">
        <v>0</v>
      </c>
      <c r="BX43" s="221" t="inlineStr">
        <is>
          <t>-</t>
        </is>
      </c>
      <c r="BY43" s="219" t="n">
        <v>13</v>
      </c>
      <c r="BZ43" s="219" t="n">
        <v>236962</v>
      </c>
      <c r="CA43" s="522" t="n">
        <v>684.79692091</v>
      </c>
      <c r="CB43" s="522" t="n">
        <v>295.2787248</v>
      </c>
      <c r="CC43" s="522" t="n">
        <v>389.51819611</v>
      </c>
      <c r="CD43" s="522" t="n">
        <v>26254.4124387</v>
      </c>
      <c r="CE43" s="522" t="n">
        <v>26080.4732134</v>
      </c>
      <c r="CF43" s="219" t="n">
        <v>2</v>
      </c>
      <c r="CG43" s="522" t="n">
        <v>0</v>
      </c>
      <c r="CH43" s="221" t="inlineStr">
        <is>
          <t>-</t>
        </is>
      </c>
      <c r="CI43" s="219" t="n">
        <v>13</v>
      </c>
      <c r="CJ43" s="219" t="n">
        <v>239520</v>
      </c>
      <c r="CK43" s="522" t="n">
        <v>385.63070726</v>
      </c>
      <c r="CL43" s="522" t="n">
        <v>399.25632079</v>
      </c>
      <c r="CM43" s="522" t="n">
        <v>-13.6256135299996</v>
      </c>
      <c r="CN43" s="522" t="n">
        <v>26406.04742476</v>
      </c>
      <c r="CO43" s="522" t="n">
        <v>26318.32423957</v>
      </c>
      <c r="CP43" s="219" t="n">
        <v>2</v>
      </c>
      <c r="CQ43" s="522" t="n">
        <v>0</v>
      </c>
      <c r="CR43" s="221" t="inlineStr">
        <is>
          <t>-</t>
        </is>
      </c>
      <c r="CS43" s="219" t="n">
        <v>13</v>
      </c>
      <c r="CT43" s="219" t="n">
        <v>240819</v>
      </c>
      <c r="CU43" s="522" t="n">
        <v>412.92306889</v>
      </c>
      <c r="CV43" s="522" t="n">
        <v>642.23621916</v>
      </c>
      <c r="CW43" s="522" t="n">
        <v>-229.31315027</v>
      </c>
      <c r="CX43" s="522" t="n">
        <v>26252.28666523</v>
      </c>
      <c r="CY43" s="522" t="n">
        <v>26375.7541927</v>
      </c>
      <c r="CZ43" s="219" t="n">
        <v>2</v>
      </c>
      <c r="DA43" s="522" t="n">
        <v>0</v>
      </c>
      <c r="DB43" s="222" t="inlineStr">
        <is>
          <t>-</t>
        </is>
      </c>
      <c r="DC43" s="223" t="n">
        <v>13</v>
      </c>
      <c r="DD43" s="223" t="n">
        <v>240538</v>
      </c>
      <c r="DE43" s="523" t="n">
        <v>276.48161323</v>
      </c>
      <c r="DF43" s="523" t="n">
        <v>384.11133749</v>
      </c>
      <c r="DG43" s="523" t="n">
        <v>-107.629724259999</v>
      </c>
      <c r="DH43" s="523" t="n">
        <v>26229.00769833</v>
      </c>
      <c r="DI43" s="523" t="n">
        <v>26273.4000508</v>
      </c>
      <c r="DJ43" s="223" t="n">
        <v>2</v>
      </c>
      <c r="DK43" s="523" t="n">
        <v>0</v>
      </c>
      <c r="DL43" s="222" t="inlineStr">
        <is>
          <t>-</t>
        </is>
      </c>
      <c r="DM43" s="280">
        <f>S43+AC43+AM43+AW43+BG43+BQ43+CA43+CK43+CU43+DE43</f>
        <v/>
      </c>
      <c r="DN43" s="275">
        <f>U43+AE43+AO43+AY43+BI43+BS43+CC43+CM43+CW43+DG43</f>
        <v/>
      </c>
      <c r="DO43" s="222" t="inlineStr">
        <is>
          <t>-</t>
        </is>
      </c>
      <c r="DP43" s="226">
        <f>IFERROR((DE43-CU43)/CU43,"-")</f>
        <v/>
      </c>
      <c r="DQ43" s="226">
        <f>IFERROR((DG43-CW43)/CW43,"-")</f>
        <v/>
      </c>
      <c r="DR43" s="288">
        <f>IFERROR((DH43-CX43)/CX43,"-")</f>
        <v/>
      </c>
      <c r="DS43" s="223" t="n">
        <v>13</v>
      </c>
      <c r="DT43" s="223" t="n">
        <v>241737</v>
      </c>
      <c r="DU43" s="223" t="n">
        <v>387.83614798</v>
      </c>
      <c r="DV43" s="223" t="n">
        <v>458.092664360001</v>
      </c>
      <c r="DW43" s="223" t="n">
        <v>-70.2565163800009</v>
      </c>
      <c r="DX43" s="223" t="n">
        <v>26376.91926461</v>
      </c>
      <c r="DY43" s="223" t="n">
        <v>26281.13836973</v>
      </c>
      <c r="DZ43" s="223" t="n">
        <v>2</v>
      </c>
      <c r="EA43" s="223" t="n">
        <v>0</v>
      </c>
      <c r="EB43" s="222" t="inlineStr">
        <is>
          <t>-</t>
        </is>
      </c>
      <c r="EC43" s="280">
        <f>S43+AC43+AM43+AW43+BG43+BQ43+CA43+CK43+CU43+DE43+DU43</f>
        <v/>
      </c>
      <c r="ED43" s="275">
        <f>U43+AE43+AO43+AY43+BI43+BS43+CC43+CM43+CW43+DG43+DW43</f>
        <v/>
      </c>
      <c r="EE43" s="222" t="inlineStr">
        <is>
          <t>-</t>
        </is>
      </c>
      <c r="EF43" s="226">
        <f>IFERROR((DU43-DE43)/DE43,"-")</f>
        <v/>
      </c>
      <c r="EG43" s="226">
        <f>IFERROR((DW43-DG43)/DG43,"-")</f>
        <v/>
      </c>
      <c r="EH43" s="288">
        <f>IFERROR((DX43-DH43)/DH43,"-")</f>
        <v/>
      </c>
      <c r="EI43" s="222" t="inlineStr">
        <is>
          <t>-</t>
        </is>
      </c>
      <c r="EJ43" s="223" t="n">
        <v>13</v>
      </c>
      <c r="EK43" s="223" t="n">
        <v>240909</v>
      </c>
      <c r="EL43" s="223" t="n">
        <v>1728.8406281</v>
      </c>
      <c r="EM43" s="223" t="n">
        <v>2443.15192707</v>
      </c>
      <c r="EN43" s="223" t="n">
        <v>-714.3112989700001</v>
      </c>
      <c r="EO43" s="223" t="n">
        <v>25528.53990605</v>
      </c>
      <c r="EP43" s="223" t="n">
        <v>25990.30451363</v>
      </c>
      <c r="EQ43" s="223" t="n">
        <v>2</v>
      </c>
      <c r="ER43" s="223" t="n">
        <v>0</v>
      </c>
      <c r="ES43" s="222" t="inlineStr">
        <is>
          <t>-</t>
        </is>
      </c>
      <c r="ET43" s="280">
        <f>S43+AC43+AM43+AW43+BG43+BQ43+CA43+CK43+CU43+DE43+DU43+EL43</f>
        <v/>
      </c>
      <c r="EU43" s="275">
        <f>U43+AE43+AO43+AY43+BI43+BS43+CC43+CM43+CW43+DG43+DW43+EN43</f>
        <v/>
      </c>
      <c r="EV43" s="222" t="inlineStr">
        <is>
          <t>-</t>
        </is>
      </c>
      <c r="EW43" s="300">
        <f>IFERROR((EL43-DU43)/DU43,"-")</f>
        <v/>
      </c>
      <c r="EX43" s="293">
        <f>IFERROR((EN43-DW43)/DW43,"-")</f>
        <v/>
      </c>
      <c r="EY43" s="288">
        <f>IFERROR((EO43-DX43)/DX43,"-")</f>
        <v/>
      </c>
    </row>
    <row r="44" hidden="1" outlineLevel="1">
      <c r="A44" s="159" t="inlineStr">
        <is>
          <t>Credit Risk Fund</t>
        </is>
      </c>
      <c r="B44" s="160" t="inlineStr">
        <is>
          <t>Income/Debt Oriented Schemes</t>
        </is>
      </c>
      <c r="C44" s="160" t="inlineStr">
        <is>
          <t>Open ended Schemes</t>
        </is>
      </c>
      <c r="D44" s="160" t="inlineStr">
        <is>
          <t>Debt</t>
        </is>
      </c>
      <c r="E44" s="160" t="inlineStr">
        <is>
          <t>TD</t>
        </is>
      </c>
      <c r="F44" s="160" t="inlineStr">
        <is>
          <t>Active Debt (incl Hybrid)</t>
        </is>
      </c>
      <c r="G44" s="416" t="n"/>
      <c r="H44" s="416" t="n"/>
      <c r="I44" s="416" t="n"/>
      <c r="J44" s="416" t="n"/>
      <c r="K44" s="416">
        <f>IF(OR(I44="",J44=""),"",I44-J44)</f>
        <v/>
      </c>
      <c r="L44" s="161" t="n">
        <v>20462.72708445</v>
      </c>
      <c r="M44" s="161" t="n">
        <v>20507.46970306</v>
      </c>
      <c r="N44" s="416" t="n"/>
      <c r="O44" s="416" t="n"/>
      <c r="P44" s="162" t="inlineStr">
        <is>
          <t>-</t>
        </is>
      </c>
      <c r="Q44" s="219" t="n">
        <v>14</v>
      </c>
      <c r="R44" s="219" t="n">
        <v>181652</v>
      </c>
      <c r="S44" s="522" t="n">
        <v>71.22838061</v>
      </c>
      <c r="T44" s="522" t="n">
        <v>372.91809213</v>
      </c>
      <c r="U44" s="522" t="n">
        <v>-301.68971152</v>
      </c>
      <c r="V44" s="522" t="n">
        <v>20485.35501038</v>
      </c>
      <c r="W44" s="522" t="n">
        <v>20475.68391026</v>
      </c>
      <c r="X44" s="219" t="n">
        <v>4</v>
      </c>
      <c r="Y44" s="522" t="n">
        <v>0</v>
      </c>
      <c r="Z44" s="221" t="inlineStr">
        <is>
          <t>-</t>
        </is>
      </c>
      <c r="AA44" s="219" t="n">
        <v>14</v>
      </c>
      <c r="AB44" s="219" t="n">
        <v>182494</v>
      </c>
      <c r="AC44" s="522" t="n">
        <v>59.35996394</v>
      </c>
      <c r="AD44" s="522" t="n">
        <v>307.29461653</v>
      </c>
      <c r="AE44" s="522" t="n">
        <v>-247.93465259</v>
      </c>
      <c r="AF44" s="522" t="n">
        <v>20437.00065867</v>
      </c>
      <c r="AG44" s="522" t="n">
        <v>20457.26921808</v>
      </c>
      <c r="AH44" s="219" t="n">
        <v>4</v>
      </c>
      <c r="AI44" s="522" t="n">
        <v>0</v>
      </c>
      <c r="AJ44" s="221" t="inlineStr">
        <is>
          <t>-</t>
        </is>
      </c>
      <c r="AK44" s="219" t="n">
        <v>14</v>
      </c>
      <c r="AL44" s="219" t="n">
        <v>183524</v>
      </c>
      <c r="AM44" s="522" t="n">
        <v>103.10758285</v>
      </c>
      <c r="AN44" s="522" t="n">
        <v>271.28980701</v>
      </c>
      <c r="AO44" s="522" t="n">
        <v>-168.18222416</v>
      </c>
      <c r="AP44" s="522" t="n">
        <v>20349.88953361</v>
      </c>
      <c r="AQ44" s="522" t="n">
        <v>20396.08565939</v>
      </c>
      <c r="AR44" s="219" t="n">
        <v>4</v>
      </c>
      <c r="AS44" s="522" t="n">
        <v>0</v>
      </c>
      <c r="AT44" s="221" t="inlineStr">
        <is>
          <t>-</t>
        </is>
      </c>
      <c r="AU44" s="219" t="n">
        <v>14</v>
      </c>
      <c r="AV44" s="219" t="n">
        <v>185095</v>
      </c>
      <c r="AW44" s="522" t="n">
        <v>81.48746828</v>
      </c>
      <c r="AX44" s="522" t="n">
        <v>353.00244541</v>
      </c>
      <c r="AY44" s="522" t="n">
        <v>-271.51497713</v>
      </c>
      <c r="AZ44" s="522" t="n">
        <v>20229.41342454</v>
      </c>
      <c r="BA44" s="522" t="n">
        <v>20304.90826599</v>
      </c>
      <c r="BB44" s="219" t="n">
        <v>4</v>
      </c>
      <c r="BC44" s="522" t="n">
        <v>0</v>
      </c>
      <c r="BD44" s="221" t="inlineStr">
        <is>
          <t>-</t>
        </is>
      </c>
      <c r="BE44" s="219" t="n">
        <v>14</v>
      </c>
      <c r="BF44" s="219" t="n">
        <v>186961</v>
      </c>
      <c r="BG44" s="522" t="n">
        <v>86.34382106</v>
      </c>
      <c r="BH44" s="522" t="n">
        <v>329.91117425</v>
      </c>
      <c r="BI44" s="522" t="n">
        <v>-243.56735319</v>
      </c>
      <c r="BJ44" s="522" t="n">
        <v>20028.42642128</v>
      </c>
      <c r="BK44" s="522" t="n">
        <v>20110.69219149</v>
      </c>
      <c r="BL44" s="219" t="n">
        <v>4</v>
      </c>
      <c r="BM44" s="522" t="n">
        <v>0</v>
      </c>
      <c r="BN44" s="221" t="inlineStr">
        <is>
          <t>-</t>
        </is>
      </c>
      <c r="BO44" s="219" t="n">
        <v>14</v>
      </c>
      <c r="BP44" s="219" t="n">
        <v>188983</v>
      </c>
      <c r="BQ44" s="522" t="n">
        <v>95.33744052999999</v>
      </c>
      <c r="BR44" s="522" t="n">
        <v>350.9937802</v>
      </c>
      <c r="BS44" s="522" t="n">
        <v>-255.65633967</v>
      </c>
      <c r="BT44" s="522" t="n">
        <v>19949.78024023</v>
      </c>
      <c r="BU44" s="522" t="n">
        <v>20018.72699925</v>
      </c>
      <c r="BV44" s="219" t="n">
        <v>4</v>
      </c>
      <c r="BW44" s="522" t="n">
        <v>0</v>
      </c>
      <c r="BX44" s="221" t="inlineStr">
        <is>
          <t>-</t>
        </is>
      </c>
      <c r="BY44" s="219" t="n">
        <v>14</v>
      </c>
      <c r="BZ44" s="219" t="n">
        <v>191121</v>
      </c>
      <c r="CA44" s="522" t="n">
        <v>254.11933129</v>
      </c>
      <c r="CB44" s="522" t="n">
        <v>337.90036295</v>
      </c>
      <c r="CC44" s="522" t="n">
        <v>-83.7810316599999</v>
      </c>
      <c r="CD44" s="522" t="n">
        <v>20018.42710518</v>
      </c>
      <c r="CE44" s="522" t="n">
        <v>20050.95903829</v>
      </c>
      <c r="CF44" s="219" t="n">
        <v>4</v>
      </c>
      <c r="CG44" s="522" t="n">
        <v>0</v>
      </c>
      <c r="CH44" s="221" t="inlineStr">
        <is>
          <t>-</t>
        </is>
      </c>
      <c r="CI44" s="219" t="n">
        <v>14</v>
      </c>
      <c r="CJ44" s="219" t="n">
        <v>193115</v>
      </c>
      <c r="CK44" s="522" t="n">
        <v>118.46635634</v>
      </c>
      <c r="CL44" s="522" t="n">
        <v>236.33669675</v>
      </c>
      <c r="CM44" s="522" t="n">
        <v>-117.87034041</v>
      </c>
      <c r="CN44" s="522" t="n">
        <v>20028.14874541</v>
      </c>
      <c r="CO44" s="522" t="n">
        <v>20016.61488678</v>
      </c>
      <c r="CP44" s="219" t="n">
        <v>4</v>
      </c>
      <c r="CQ44" s="522" t="n">
        <v>0</v>
      </c>
      <c r="CR44" s="221" t="inlineStr">
        <is>
          <t>-</t>
        </is>
      </c>
      <c r="CS44" s="219" t="n">
        <v>14</v>
      </c>
      <c r="CT44" s="219" t="n">
        <v>194207</v>
      </c>
      <c r="CU44" s="522" t="n">
        <v>130.15949038</v>
      </c>
      <c r="CV44" s="522" t="n">
        <v>302.77148824</v>
      </c>
      <c r="CW44" s="522" t="n">
        <v>-172.61199786</v>
      </c>
      <c r="CX44" s="522" t="n">
        <v>19929.94486506</v>
      </c>
      <c r="CY44" s="522" t="n">
        <v>19965.05877096</v>
      </c>
      <c r="CZ44" s="219" t="n">
        <v>4</v>
      </c>
      <c r="DA44" s="522" t="n">
        <v>0</v>
      </c>
      <c r="DB44" s="222" t="inlineStr">
        <is>
          <t>-</t>
        </is>
      </c>
      <c r="DC44" s="223" t="n">
        <v>14</v>
      </c>
      <c r="DD44" s="223" t="n">
        <v>196410</v>
      </c>
      <c r="DE44" s="523" t="n">
        <v>172.69281473</v>
      </c>
      <c r="DF44" s="523" t="n">
        <v>298.54252325</v>
      </c>
      <c r="DG44" s="523" t="n">
        <v>-125.84970852</v>
      </c>
      <c r="DH44" s="523" t="n">
        <v>19893.2254098</v>
      </c>
      <c r="DI44" s="523" t="n">
        <v>19933.05925865</v>
      </c>
      <c r="DJ44" s="223" t="n">
        <v>4</v>
      </c>
      <c r="DK44" s="523" t="n">
        <v>0</v>
      </c>
      <c r="DL44" s="222" t="inlineStr">
        <is>
          <t>-</t>
        </is>
      </c>
      <c r="DM44" s="280">
        <f>S44+AC44+AM44+AW44+BG44+BQ44+CA44+CK44+CU44+DE44</f>
        <v/>
      </c>
      <c r="DN44" s="275">
        <f>U44+AE44+AO44+AY44+BI44+BS44+CC44+CM44+CW44+DG44</f>
        <v/>
      </c>
      <c r="DO44" s="222" t="inlineStr">
        <is>
          <t>-</t>
        </is>
      </c>
      <c r="DP44" s="226">
        <f>IFERROR((DE44-CU44)/CU44,"-")</f>
        <v/>
      </c>
      <c r="DQ44" s="226">
        <f>IFERROR((DG44-CW44)/CW44,"-")</f>
        <v/>
      </c>
      <c r="DR44" s="288">
        <f>IFERROR((DH44-CX44)/CX44,"-")</f>
        <v/>
      </c>
      <c r="DS44" s="223" t="n">
        <v>14</v>
      </c>
      <c r="DT44" s="223" t="n">
        <v>199856</v>
      </c>
      <c r="DU44" s="223" t="n">
        <v>167.72830363</v>
      </c>
      <c r="DV44" s="223" t="n">
        <v>261.91829231</v>
      </c>
      <c r="DW44" s="223" t="n">
        <v>-94.1899886799997</v>
      </c>
      <c r="DX44" s="223" t="n">
        <v>19966.41847906</v>
      </c>
      <c r="DY44" s="223" t="n">
        <v>19934.92402589</v>
      </c>
      <c r="DZ44" s="223" t="n">
        <v>4</v>
      </c>
      <c r="EA44" s="223" t="n">
        <v>0</v>
      </c>
      <c r="EB44" s="222" t="inlineStr">
        <is>
          <t>-</t>
        </is>
      </c>
      <c r="EC44" s="280">
        <f>S44+AC44+AM44+AW44+BG44+BQ44+CA44+CK44+CU44+DE44+DU44</f>
        <v/>
      </c>
      <c r="ED44" s="275">
        <f>U44+AE44+AO44+AY44+BI44+BS44+CC44+CM44+CW44+DG44+DW44</f>
        <v/>
      </c>
      <c r="EE44" s="222" t="inlineStr">
        <is>
          <t>-</t>
        </is>
      </c>
      <c r="EF44" s="226">
        <f>IFERROR((DU44-DE44)/DE44,"-")</f>
        <v/>
      </c>
      <c r="EG44" s="226">
        <f>IFERROR((DW44-DG44)/DG44,"-")</f>
        <v/>
      </c>
      <c r="EH44" s="288">
        <f>IFERROR((DX44-DH44)/DH44,"-")</f>
        <v/>
      </c>
      <c r="EI44" s="222" t="inlineStr">
        <is>
          <t>-</t>
        </is>
      </c>
      <c r="EJ44" s="223" t="n">
        <v>14</v>
      </c>
      <c r="EK44" s="223" t="n">
        <v>201026</v>
      </c>
      <c r="EL44" s="223" t="n">
        <v>189.653849</v>
      </c>
      <c r="EM44" s="223" t="n">
        <v>519.20336288</v>
      </c>
      <c r="EN44" s="223" t="n">
        <v>-329.54951388</v>
      </c>
      <c r="EO44" s="223" t="n">
        <v>19611.23562911</v>
      </c>
      <c r="EP44" s="223" t="n">
        <v>19769.03769462</v>
      </c>
      <c r="EQ44" s="223" t="n">
        <v>4</v>
      </c>
      <c r="ER44" s="223" t="n">
        <v>0</v>
      </c>
      <c r="ES44" s="222" t="inlineStr">
        <is>
          <t>-</t>
        </is>
      </c>
      <c r="ET44" s="280">
        <f>S44+AC44+AM44+AW44+BG44+BQ44+CA44+CK44+CU44+DE44+DU44+EL44</f>
        <v/>
      </c>
      <c r="EU44" s="275">
        <f>U44+AE44+AO44+AY44+BI44+BS44+CC44+CM44+CW44+DG44+DW44+EN44</f>
        <v/>
      </c>
      <c r="EV44" s="222" t="inlineStr">
        <is>
          <t>-</t>
        </is>
      </c>
      <c r="EW44" s="300">
        <f>IFERROR((EL44-DU44)/DU44,"-")</f>
        <v/>
      </c>
      <c r="EX44" s="293">
        <f>IFERROR((EN44-DW44)/DW44,"-")</f>
        <v/>
      </c>
      <c r="EY44" s="288">
        <f>IFERROR((EO44-DX44)/DX44,"-")</f>
        <v/>
      </c>
    </row>
    <row r="45" hidden="1" outlineLevel="1">
      <c r="A45" s="159" t="inlineStr">
        <is>
          <t>Medium to Long Duration Fund</t>
        </is>
      </c>
      <c r="B45" s="160" t="inlineStr">
        <is>
          <t>Income/Debt Oriented Schemes</t>
        </is>
      </c>
      <c r="C45" s="160" t="inlineStr">
        <is>
          <t>Open ended Schemes</t>
        </is>
      </c>
      <c r="D45" s="160" t="inlineStr">
        <is>
          <t>Debt</t>
        </is>
      </c>
      <c r="E45" s="160" t="inlineStr">
        <is>
          <t>TD</t>
        </is>
      </c>
      <c r="F45" s="160" t="inlineStr">
        <is>
          <t>Active Debt (incl Hybrid)</t>
        </is>
      </c>
      <c r="G45" s="416" t="n"/>
      <c r="H45" s="416" t="n"/>
      <c r="I45" s="416" t="n"/>
      <c r="J45" s="416" t="n"/>
      <c r="K45" s="416">
        <f>IF(OR(I45="",J45=""),"",I45-J45)</f>
        <v/>
      </c>
      <c r="L45" s="161" t="n">
        <v>11553.68474798</v>
      </c>
      <c r="M45" s="161" t="n">
        <v>11605.29832223</v>
      </c>
      <c r="N45" s="416" t="n"/>
      <c r="O45" s="416" t="n"/>
      <c r="P45" s="162" t="inlineStr">
        <is>
          <t>-</t>
        </is>
      </c>
      <c r="Q45" s="219" t="n">
        <v>13</v>
      </c>
      <c r="R45" s="219" t="n">
        <v>103165</v>
      </c>
      <c r="S45" s="522" t="n">
        <v>310.3820326</v>
      </c>
      <c r="T45" s="522" t="n">
        <v>210.34638044</v>
      </c>
      <c r="U45" s="522" t="n">
        <v>100.03565216</v>
      </c>
      <c r="V45" s="522" t="n">
        <v>11859.04401364</v>
      </c>
      <c r="W45" s="522" t="n">
        <v>11767.79070523</v>
      </c>
      <c r="X45" s="219" t="n">
        <v>0</v>
      </c>
      <c r="Y45" s="522" t="n">
        <v>0</v>
      </c>
      <c r="Z45" s="221" t="inlineStr">
        <is>
          <t>-</t>
        </is>
      </c>
      <c r="AA45" s="219" t="n">
        <v>13</v>
      </c>
      <c r="AB45" s="219" t="n">
        <v>104030</v>
      </c>
      <c r="AC45" s="522" t="n">
        <v>155.87825828</v>
      </c>
      <c r="AD45" s="522" t="n">
        <v>111.74406523</v>
      </c>
      <c r="AE45" s="522" t="n">
        <v>44.13419305</v>
      </c>
      <c r="AF45" s="522" t="n">
        <v>11999.01649909</v>
      </c>
      <c r="AG45" s="522" t="n">
        <v>11934.71040623</v>
      </c>
      <c r="AH45" s="219" t="n">
        <v>0</v>
      </c>
      <c r="AI45" s="522" t="n">
        <v>0</v>
      </c>
      <c r="AJ45" s="221" t="inlineStr">
        <is>
          <t>-</t>
        </is>
      </c>
      <c r="AK45" s="219" t="n">
        <v>13</v>
      </c>
      <c r="AL45" s="219" t="n">
        <v>104283</v>
      </c>
      <c r="AM45" s="522" t="n">
        <v>162.22431699</v>
      </c>
      <c r="AN45" s="522" t="n">
        <v>227.9931863</v>
      </c>
      <c r="AO45" s="522" t="n">
        <v>-65.7688693100001</v>
      </c>
      <c r="AP45" s="522" t="n">
        <v>11852.05125145</v>
      </c>
      <c r="AQ45" s="522" t="n">
        <v>11934.07255038</v>
      </c>
      <c r="AR45" s="219" t="n">
        <v>0</v>
      </c>
      <c r="AS45" s="522" t="n">
        <v>0</v>
      </c>
      <c r="AT45" s="221" t="inlineStr">
        <is>
          <t>-</t>
        </is>
      </c>
      <c r="AU45" s="219" t="n">
        <v>13</v>
      </c>
      <c r="AV45" s="219" t="n">
        <v>104610</v>
      </c>
      <c r="AW45" s="522" t="n">
        <v>119.44429603</v>
      </c>
      <c r="AX45" s="522" t="n">
        <v>340.89714733</v>
      </c>
      <c r="AY45" s="522" t="n">
        <v>-221.4528513</v>
      </c>
      <c r="AZ45" s="522" t="n">
        <v>11687.03010382</v>
      </c>
      <c r="BA45" s="522" t="n">
        <v>11799.95563986</v>
      </c>
      <c r="BB45" s="219" t="n">
        <v>0</v>
      </c>
      <c r="BC45" s="522" t="n">
        <v>0</v>
      </c>
      <c r="BD45" s="221" t="inlineStr">
        <is>
          <t>-</t>
        </is>
      </c>
      <c r="BE45" s="219" t="n">
        <v>13</v>
      </c>
      <c r="BF45" s="219" t="n">
        <v>104533</v>
      </c>
      <c r="BG45" s="522" t="n">
        <v>53.2879014599999</v>
      </c>
      <c r="BH45" s="522" t="n">
        <v>81.17459755</v>
      </c>
      <c r="BI45" s="522" t="n">
        <v>-27.8866960900001</v>
      </c>
      <c r="BJ45" s="522" t="n">
        <v>11520.3320989</v>
      </c>
      <c r="BK45" s="522" t="n">
        <v>11601.78378949</v>
      </c>
      <c r="BL45" s="219" t="n">
        <v>0</v>
      </c>
      <c r="BM45" s="522" t="n">
        <v>0</v>
      </c>
      <c r="BN45" s="221" t="inlineStr">
        <is>
          <t>-</t>
        </is>
      </c>
      <c r="BO45" s="219" t="n">
        <v>13</v>
      </c>
      <c r="BP45" s="219" t="n">
        <v>103999</v>
      </c>
      <c r="BQ45" s="522" t="n">
        <v>249.43866316</v>
      </c>
      <c r="BR45" s="522" t="n">
        <v>146.0476088</v>
      </c>
      <c r="BS45" s="522" t="n">
        <v>103.39105436</v>
      </c>
      <c r="BT45" s="522" t="n">
        <v>11734.90085074</v>
      </c>
      <c r="BU45" s="522" t="n">
        <v>11591.96167597</v>
      </c>
      <c r="BV45" s="219" t="n">
        <v>0</v>
      </c>
      <c r="BW45" s="522" t="n">
        <v>0</v>
      </c>
      <c r="BX45" s="221" t="inlineStr">
        <is>
          <t>-</t>
        </is>
      </c>
      <c r="BY45" s="219" t="n">
        <v>13</v>
      </c>
      <c r="BZ45" s="219" t="n">
        <v>103489</v>
      </c>
      <c r="CA45" s="522" t="n">
        <v>219.47797973</v>
      </c>
      <c r="CB45" s="522" t="n">
        <v>202.74744324</v>
      </c>
      <c r="CC45" s="522" t="n">
        <v>16.7305364899998</v>
      </c>
      <c r="CD45" s="522" t="n">
        <v>11825.91515568</v>
      </c>
      <c r="CE45" s="522" t="n">
        <v>11845.59817005</v>
      </c>
      <c r="CF45" s="219" t="n">
        <v>0</v>
      </c>
      <c r="CG45" s="522" t="n">
        <v>0</v>
      </c>
      <c r="CH45" s="221" t="inlineStr">
        <is>
          <t>-</t>
        </is>
      </c>
      <c r="CI45" s="219" t="n">
        <v>13</v>
      </c>
      <c r="CJ45" s="219" t="n">
        <v>102988</v>
      </c>
      <c r="CK45" s="522" t="n">
        <v>107.98126175</v>
      </c>
      <c r="CL45" s="522" t="n">
        <v>116.60897934</v>
      </c>
      <c r="CM45" s="522" t="n">
        <v>-8.627717589999749</v>
      </c>
      <c r="CN45" s="522" t="n">
        <v>11855.91101534</v>
      </c>
      <c r="CO45" s="522" t="n">
        <v>11875.31767265</v>
      </c>
      <c r="CP45" s="219" t="n">
        <v>0</v>
      </c>
      <c r="CQ45" s="522" t="n">
        <v>0</v>
      </c>
      <c r="CR45" s="221" t="inlineStr">
        <is>
          <t>-</t>
        </is>
      </c>
      <c r="CS45" s="219" t="n">
        <v>13</v>
      </c>
      <c r="CT45" s="219" t="n">
        <v>102111</v>
      </c>
      <c r="CU45" s="522" t="n">
        <v>61.09846057</v>
      </c>
      <c r="CV45" s="522" t="n">
        <v>249.05716311</v>
      </c>
      <c r="CW45" s="522" t="n">
        <v>-187.95870254</v>
      </c>
      <c r="CX45" s="522" t="n">
        <v>11692.1400837</v>
      </c>
      <c r="CY45" s="522" t="n">
        <v>11771.08877059</v>
      </c>
      <c r="CZ45" s="219" t="n">
        <v>0</v>
      </c>
      <c r="DA45" s="522" t="n">
        <v>0</v>
      </c>
      <c r="DB45" s="222" t="inlineStr">
        <is>
          <t>-</t>
        </is>
      </c>
      <c r="DC45" s="223" t="n">
        <v>13</v>
      </c>
      <c r="DD45" s="223" t="n">
        <v>101359</v>
      </c>
      <c r="DE45" s="523" t="n">
        <v>41.9562007</v>
      </c>
      <c r="DF45" s="523" t="n">
        <v>216.33057675</v>
      </c>
      <c r="DG45" s="523" t="n">
        <v>-174.37437605</v>
      </c>
      <c r="DH45" s="523" t="n">
        <v>11512.90157486</v>
      </c>
      <c r="DI45" s="523" t="n">
        <v>11555.98996275</v>
      </c>
      <c r="DJ45" s="223" t="n">
        <v>0</v>
      </c>
      <c r="DK45" s="523" t="n">
        <v>0</v>
      </c>
      <c r="DL45" s="222" t="inlineStr">
        <is>
          <t>-</t>
        </is>
      </c>
      <c r="DM45" s="280">
        <f>S45+AC45+AM45+AW45+BG45+BQ45+CA45+CK45+CU45+DE45</f>
        <v/>
      </c>
      <c r="DN45" s="275">
        <f>U45+AE45+AO45+AY45+BI45+BS45+CC45+CM45+CW45+DG45</f>
        <v/>
      </c>
      <c r="DO45" s="222" t="inlineStr">
        <is>
          <t>-</t>
        </is>
      </c>
      <c r="DP45" s="226">
        <f>IFERROR((DE45-CU45)/CU45,"-")</f>
        <v/>
      </c>
      <c r="DQ45" s="226">
        <f>IFERROR((DG45-CW45)/CW45,"-")</f>
        <v/>
      </c>
      <c r="DR45" s="288">
        <f>IFERROR((DH45-CX45)/CX45,"-")</f>
        <v/>
      </c>
      <c r="DS45" s="223" t="n">
        <v>13</v>
      </c>
      <c r="DT45" s="223" t="n">
        <v>101256</v>
      </c>
      <c r="DU45" s="223" t="n">
        <v>28.2147922300001</v>
      </c>
      <c r="DV45" s="223" t="n">
        <v>299.43258761</v>
      </c>
      <c r="DW45" s="223" t="n">
        <v>-271.21779538</v>
      </c>
      <c r="DX45" s="223" t="n">
        <v>11321.51429704</v>
      </c>
      <c r="DY45" s="223" t="n">
        <v>11432.11758154</v>
      </c>
      <c r="DZ45" s="223" t="n">
        <v>0</v>
      </c>
      <c r="EA45" s="223" t="n">
        <v>0</v>
      </c>
      <c r="EB45" s="222" t="inlineStr">
        <is>
          <t>-</t>
        </is>
      </c>
      <c r="EC45" s="280">
        <f>S45+AC45+AM45+AW45+BG45+BQ45+CA45+CK45+CU45+DE45+DU45</f>
        <v/>
      </c>
      <c r="ED45" s="275">
        <f>U45+AE45+AO45+AY45+BI45+BS45+CC45+CM45+CW45+DG45+DW45</f>
        <v/>
      </c>
      <c r="EE45" s="222" t="inlineStr">
        <is>
          <t>-</t>
        </is>
      </c>
      <c r="EF45" s="226">
        <f>IFERROR((DU45-DE45)/DE45,"-")</f>
        <v/>
      </c>
      <c r="EG45" s="226">
        <f>IFERROR((DW45-DG45)/DG45,"-")</f>
        <v/>
      </c>
      <c r="EH45" s="288">
        <f>IFERROR((DX45-DH45)/DH45,"-")</f>
        <v/>
      </c>
      <c r="EI45" s="222" t="inlineStr">
        <is>
          <t>-</t>
        </is>
      </c>
      <c r="EJ45" s="223" t="n">
        <v>13</v>
      </c>
      <c r="EK45" s="223" t="n">
        <v>100704</v>
      </c>
      <c r="EL45" s="223" t="n">
        <v>107.54066105</v>
      </c>
      <c r="EM45" s="223" t="n">
        <v>515.15856604</v>
      </c>
      <c r="EN45" s="223" t="n">
        <v>-407.61790499</v>
      </c>
      <c r="EO45" s="223" t="n">
        <v>10769.24515424</v>
      </c>
      <c r="EP45" s="223" t="n">
        <v>11113.12083903</v>
      </c>
      <c r="EQ45" s="223" t="n">
        <v>0</v>
      </c>
      <c r="ER45" s="223" t="n">
        <v>0</v>
      </c>
      <c r="ES45" s="222" t="inlineStr">
        <is>
          <t>-</t>
        </is>
      </c>
      <c r="ET45" s="280">
        <f>S45+AC45+AM45+AW45+BG45+BQ45+CA45+CK45+CU45+DE45+DU45+EL45</f>
        <v/>
      </c>
      <c r="EU45" s="275">
        <f>U45+AE45+AO45+AY45+BI45+BS45+CC45+CM45+CW45+DG45+DW45+EN45</f>
        <v/>
      </c>
      <c r="EV45" s="222" t="inlineStr">
        <is>
          <t>-</t>
        </is>
      </c>
      <c r="EW45" s="300">
        <f>IFERROR((EL45-DU45)/DU45,"-")</f>
        <v/>
      </c>
      <c r="EX45" s="293">
        <f>IFERROR((EN45-DW45)/DW45,"-")</f>
        <v/>
      </c>
      <c r="EY45" s="288">
        <f>IFERROR((EO45-DX45)/DX45,"-")</f>
        <v/>
      </c>
    </row>
    <row r="46" hidden="1" outlineLevel="1">
      <c r="A46" s="159" t="inlineStr">
        <is>
          <t>Dynamic Bond Fund</t>
        </is>
      </c>
      <c r="B46" s="160" t="inlineStr">
        <is>
          <t>Income/Debt Oriented Schemes</t>
        </is>
      </c>
      <c r="C46" s="160" t="inlineStr">
        <is>
          <t>Open ended Schemes</t>
        </is>
      </c>
      <c r="D46" s="160" t="inlineStr">
        <is>
          <t>Debt</t>
        </is>
      </c>
      <c r="E46" s="160" t="inlineStr">
        <is>
          <t>TD</t>
        </is>
      </c>
      <c r="F46" s="160" t="inlineStr">
        <is>
          <t>Active Debt (incl Hybrid)</t>
        </is>
      </c>
      <c r="G46" s="416" t="n"/>
      <c r="H46" s="416" t="n"/>
      <c r="I46" s="416" t="n"/>
      <c r="J46" s="416" t="n"/>
      <c r="K46" s="416">
        <f>IF(OR(I46="",J46=""),"",I46-J46)</f>
        <v/>
      </c>
      <c r="L46" s="161" t="n">
        <v>35591.65309906</v>
      </c>
      <c r="M46" s="161" t="n">
        <v>35527.22445417</v>
      </c>
      <c r="N46" s="416" t="n"/>
      <c r="O46" s="416" t="n"/>
      <c r="P46" s="162" t="inlineStr">
        <is>
          <t>-</t>
        </is>
      </c>
      <c r="Q46" s="219" t="n">
        <v>22</v>
      </c>
      <c r="R46" s="219" t="n">
        <v>230028</v>
      </c>
      <c r="S46" s="522" t="n">
        <v>943.76910244</v>
      </c>
      <c r="T46" s="522" t="n">
        <v>953.99735949</v>
      </c>
      <c r="U46" s="522" t="n">
        <v>-10.22825705</v>
      </c>
      <c r="V46" s="522" t="n">
        <v>36231.28848032</v>
      </c>
      <c r="W46" s="522" t="n">
        <v>35961.97448186</v>
      </c>
      <c r="X46" s="219" t="n">
        <v>0</v>
      </c>
      <c r="Y46" s="522" t="n">
        <v>0</v>
      </c>
      <c r="Z46" s="221" t="inlineStr">
        <is>
          <t>-</t>
        </is>
      </c>
      <c r="AA46" s="219" t="n">
        <v>22</v>
      </c>
      <c r="AB46" s="219" t="n">
        <v>234872</v>
      </c>
      <c r="AC46" s="522" t="n">
        <v>1256.23980786</v>
      </c>
      <c r="AD46" s="522" t="n">
        <v>689.5046966800001</v>
      </c>
      <c r="AE46" s="522" t="n">
        <v>566.73511118</v>
      </c>
      <c r="AF46" s="522" t="n">
        <v>37087.94598151</v>
      </c>
      <c r="AG46" s="522" t="n">
        <v>36676.61097202</v>
      </c>
      <c r="AH46" s="219" t="n">
        <v>0</v>
      </c>
      <c r="AI46" s="522" t="n">
        <v>0</v>
      </c>
      <c r="AJ46" s="221" t="inlineStr">
        <is>
          <t>-</t>
        </is>
      </c>
      <c r="AK46" s="219" t="n">
        <v>22</v>
      </c>
      <c r="AL46" s="219" t="n">
        <v>236833</v>
      </c>
      <c r="AM46" s="522" t="n">
        <v>741.05260604</v>
      </c>
      <c r="AN46" s="522" t="n">
        <v>697.02166413</v>
      </c>
      <c r="AO46" s="522" t="n">
        <v>44.0309419099997</v>
      </c>
      <c r="AP46" s="522" t="n">
        <v>36912.2963087</v>
      </c>
      <c r="AQ46" s="522" t="n">
        <v>37020.31427987</v>
      </c>
      <c r="AR46" s="219" t="n">
        <v>0</v>
      </c>
      <c r="AS46" s="522" t="n">
        <v>0</v>
      </c>
      <c r="AT46" s="221" t="inlineStr">
        <is>
          <t>-</t>
        </is>
      </c>
      <c r="AU46" s="219" t="n">
        <v>22</v>
      </c>
      <c r="AV46" s="219" t="n">
        <v>239570</v>
      </c>
      <c r="AW46" s="522" t="n">
        <v>729.20336167</v>
      </c>
      <c r="AX46" s="522" t="n">
        <v>666.6572714</v>
      </c>
      <c r="AY46" s="522" t="n">
        <v>62.5460902700002</v>
      </c>
      <c r="AZ46" s="522" t="n">
        <v>37174.04119474</v>
      </c>
      <c r="BA46" s="522" t="n">
        <v>37095.50251039</v>
      </c>
      <c r="BB46" s="219" t="n">
        <v>0</v>
      </c>
      <c r="BC46" s="522" t="n">
        <v>0</v>
      </c>
      <c r="BD46" s="221" t="inlineStr">
        <is>
          <t>-</t>
        </is>
      </c>
      <c r="BE46" s="219" t="n">
        <v>22</v>
      </c>
      <c r="BF46" s="219" t="n">
        <v>240006</v>
      </c>
      <c r="BG46" s="522" t="n">
        <v>547.09510411</v>
      </c>
      <c r="BH46" s="522" t="n">
        <v>941.7501221700001</v>
      </c>
      <c r="BI46" s="522" t="n">
        <v>-394.65501806</v>
      </c>
      <c r="BJ46" s="522" t="n">
        <v>36424.15500006</v>
      </c>
      <c r="BK46" s="522" t="n">
        <v>36872.25271226</v>
      </c>
      <c r="BL46" s="219" t="n">
        <v>0</v>
      </c>
      <c r="BM46" s="522" t="n">
        <v>0</v>
      </c>
      <c r="BN46" s="221" t="inlineStr">
        <is>
          <t>-</t>
        </is>
      </c>
      <c r="BO46" s="219" t="n">
        <v>22</v>
      </c>
      <c r="BP46" s="219" t="n">
        <v>239543</v>
      </c>
      <c r="BQ46" s="522" t="n">
        <v>1364.27190786</v>
      </c>
      <c r="BR46" s="522" t="n">
        <v>844.85944598</v>
      </c>
      <c r="BS46" s="522" t="n">
        <v>519.41246188</v>
      </c>
      <c r="BT46" s="522" t="n">
        <v>37322.66733367</v>
      </c>
      <c r="BU46" s="522" t="n">
        <v>36649.0872591</v>
      </c>
      <c r="BV46" s="219" t="n">
        <v>0</v>
      </c>
      <c r="BW46" s="522" t="n">
        <v>0</v>
      </c>
      <c r="BX46" s="221" t="inlineStr">
        <is>
          <t>-</t>
        </is>
      </c>
      <c r="BY46" s="219" t="n">
        <v>22</v>
      </c>
      <c r="BZ46" s="219" t="n">
        <v>237849</v>
      </c>
      <c r="CA46" s="522" t="n">
        <v>686.53433994</v>
      </c>
      <c r="CB46" s="522" t="n">
        <v>919.22148077</v>
      </c>
      <c r="CC46" s="522" t="n">
        <v>-232.68714083</v>
      </c>
      <c r="CD46" s="522" t="n">
        <v>37333.95936108</v>
      </c>
      <c r="CE46" s="522" t="n">
        <v>37527.7464101</v>
      </c>
      <c r="CF46" s="219" t="n">
        <v>0</v>
      </c>
      <c r="CG46" s="522" t="n">
        <v>0</v>
      </c>
      <c r="CH46" s="221" t="inlineStr">
        <is>
          <t>-</t>
        </is>
      </c>
      <c r="CI46" s="219" t="n">
        <v>22</v>
      </c>
      <c r="CJ46" s="219" t="n">
        <v>235965</v>
      </c>
      <c r="CK46" s="522" t="n">
        <v>328.9269678</v>
      </c>
      <c r="CL46" s="522" t="n">
        <v>935.48769576</v>
      </c>
      <c r="CM46" s="522" t="n">
        <v>-606.56072796</v>
      </c>
      <c r="CN46" s="522" t="n">
        <v>36857.41631324</v>
      </c>
      <c r="CO46" s="522" t="n">
        <v>37067.95935616</v>
      </c>
      <c r="CP46" s="219" t="n">
        <v>0</v>
      </c>
      <c r="CQ46" s="522" t="n">
        <v>0</v>
      </c>
      <c r="CR46" s="221" t="inlineStr">
        <is>
          <t>-</t>
        </is>
      </c>
      <c r="CS46" s="219" t="n">
        <v>22</v>
      </c>
      <c r="CT46" s="219" t="n">
        <v>232827</v>
      </c>
      <c r="CU46" s="522" t="n">
        <v>440.37437006</v>
      </c>
      <c r="CV46" s="522" t="n">
        <v>1283.45087166</v>
      </c>
      <c r="CW46" s="522" t="n">
        <v>-843.0765016</v>
      </c>
      <c r="CX46" s="522" t="n">
        <v>36108.33526384</v>
      </c>
      <c r="CY46" s="522" t="n">
        <v>36540.31186927</v>
      </c>
      <c r="CZ46" s="219" t="n">
        <v>0</v>
      </c>
      <c r="DA46" s="522" t="n">
        <v>0</v>
      </c>
      <c r="DB46" s="222" t="inlineStr">
        <is>
          <t>-</t>
        </is>
      </c>
      <c r="DC46" s="223" t="n">
        <v>22</v>
      </c>
      <c r="DD46" s="223" t="n">
        <v>229369</v>
      </c>
      <c r="DE46" s="523" t="n">
        <v>202.80745061</v>
      </c>
      <c r="DF46" s="523" t="n">
        <v>1637.76074839</v>
      </c>
      <c r="DG46" s="523" t="n">
        <v>-1434.95329778</v>
      </c>
      <c r="DH46" s="523" t="n">
        <v>34718.25826871</v>
      </c>
      <c r="DI46" s="523" t="n">
        <v>35462.8739543</v>
      </c>
      <c r="DJ46" s="223" t="n">
        <v>0</v>
      </c>
      <c r="DK46" s="523" t="n">
        <v>0</v>
      </c>
      <c r="DL46" s="222" t="inlineStr">
        <is>
          <t>-</t>
        </is>
      </c>
      <c r="DM46" s="280">
        <f>S46+AC46+AM46+AW46+BG46+BQ46+CA46+CK46+CU46+DE46</f>
        <v/>
      </c>
      <c r="DN46" s="275">
        <f>U46+AE46+AO46+AY46+BI46+BS46+CC46+CM46+CW46+DG46</f>
        <v/>
      </c>
      <c r="DO46" s="222" t="inlineStr">
        <is>
          <t>-</t>
        </is>
      </c>
      <c r="DP46" s="226">
        <f>IFERROR((DE46-CU46)/CU46,"-")</f>
        <v/>
      </c>
      <c r="DQ46" s="226">
        <f>IFERROR((DG46-CW46)/CW46,"-")</f>
        <v/>
      </c>
      <c r="DR46" s="288">
        <f>IFERROR((DH46-CX46)/CX46,"-")</f>
        <v/>
      </c>
      <c r="DS46" s="223" t="n">
        <v>22</v>
      </c>
      <c r="DT46" s="223" t="n">
        <v>227542</v>
      </c>
      <c r="DU46" s="223" t="n">
        <v>214.31769873</v>
      </c>
      <c r="DV46" s="223" t="n">
        <v>765.806269369999</v>
      </c>
      <c r="DW46" s="223" t="n">
        <v>-551.488570639999</v>
      </c>
      <c r="DX46" s="223" t="n">
        <v>34439.09349532</v>
      </c>
      <c r="DY46" s="223" t="n">
        <v>34448.31040578</v>
      </c>
      <c r="DZ46" s="223" t="n">
        <v>0</v>
      </c>
      <c r="EA46" s="223" t="n">
        <v>0</v>
      </c>
      <c r="EB46" s="222" t="inlineStr">
        <is>
          <t>-</t>
        </is>
      </c>
      <c r="EC46" s="280">
        <f>S46+AC46+AM46+AW46+BG46+BQ46+CA46+CK46+CU46+DE46+DU46</f>
        <v/>
      </c>
      <c r="ED46" s="275">
        <f>U46+AE46+AO46+AY46+BI46+BS46+CC46+CM46+CW46+DG46+DW46</f>
        <v/>
      </c>
      <c r="EE46" s="222" t="inlineStr">
        <is>
          <t>-</t>
        </is>
      </c>
      <c r="EF46" s="226">
        <f>IFERROR((DU46-DE46)/DE46,"-")</f>
        <v/>
      </c>
      <c r="EG46" s="226">
        <f>IFERROR((DW46-DG46)/DG46,"-")</f>
        <v/>
      </c>
      <c r="EH46" s="288">
        <f>IFERROR((DX46-DH46)/DH46,"-")</f>
        <v/>
      </c>
      <c r="EI46" s="222" t="inlineStr">
        <is>
          <t>-</t>
        </is>
      </c>
      <c r="EJ46" s="223" t="n">
        <v>22</v>
      </c>
      <c r="EK46" s="223" t="n">
        <v>224312</v>
      </c>
      <c r="EL46" s="223" t="n">
        <v>289.84312779</v>
      </c>
      <c r="EM46" s="223" t="n">
        <v>2030.88769346</v>
      </c>
      <c r="EN46" s="223" t="n">
        <v>-1741.04456567</v>
      </c>
      <c r="EO46" s="223" t="n">
        <v>32385.86606688</v>
      </c>
      <c r="EP46" s="223" t="n">
        <v>33601.9751504</v>
      </c>
      <c r="EQ46" s="223" t="n">
        <v>0</v>
      </c>
      <c r="ER46" s="223" t="n">
        <v>0</v>
      </c>
      <c r="ES46" s="222" t="inlineStr">
        <is>
          <t>-</t>
        </is>
      </c>
      <c r="ET46" s="280">
        <f>S46+AC46+AM46+AW46+BG46+BQ46+CA46+CK46+CU46+DE46+DU46+EL46</f>
        <v/>
      </c>
      <c r="EU46" s="275">
        <f>U46+AE46+AO46+AY46+BI46+BS46+CC46+CM46+CW46+DG46+DW46+EN46</f>
        <v/>
      </c>
      <c r="EV46" s="222" t="inlineStr">
        <is>
          <t>-</t>
        </is>
      </c>
      <c r="EW46" s="300">
        <f>IFERROR((EL46-DU46)/DU46,"-")</f>
        <v/>
      </c>
      <c r="EX46" s="293">
        <f>IFERROR((EN46-DW46)/DW46,"-")</f>
        <v/>
      </c>
      <c r="EY46" s="288">
        <f>IFERROR((EO46-DX46)/DX46,"-")</f>
        <v/>
      </c>
    </row>
    <row r="47" hidden="1" outlineLevel="1">
      <c r="A47" s="159" t="inlineStr">
        <is>
          <t>Long Duration Fund</t>
        </is>
      </c>
      <c r="B47" s="160" t="inlineStr">
        <is>
          <t>Income/Debt Oriented Schemes</t>
        </is>
      </c>
      <c r="C47" s="160" t="inlineStr">
        <is>
          <t>Open ended Schemes</t>
        </is>
      </c>
      <c r="D47" s="160" t="inlineStr">
        <is>
          <t>Debt</t>
        </is>
      </c>
      <c r="E47" s="160" t="inlineStr">
        <is>
          <t>TD</t>
        </is>
      </c>
      <c r="F47" s="160" t="inlineStr">
        <is>
          <t>Active Debt (incl Hybrid)</t>
        </is>
      </c>
      <c r="G47" s="416" t="n"/>
      <c r="H47" s="416" t="n"/>
      <c r="I47" s="416" t="n"/>
      <c r="J47" s="416" t="n"/>
      <c r="K47" s="416">
        <f>IF(OR(I47="",J47=""),"",I47-J47)</f>
        <v/>
      </c>
      <c r="L47" s="161" t="n">
        <v>20344.31995645</v>
      </c>
      <c r="M47" s="161" t="n">
        <v>20342.76439736</v>
      </c>
      <c r="N47" s="416" t="n"/>
      <c r="O47" s="416" t="n"/>
      <c r="P47" s="162" t="inlineStr">
        <is>
          <t>-</t>
        </is>
      </c>
      <c r="Q47" s="219" t="n">
        <v>11</v>
      </c>
      <c r="R47" s="219" t="n">
        <v>94353</v>
      </c>
      <c r="S47" s="522" t="n">
        <v>874.43264871</v>
      </c>
      <c r="T47" s="522" t="n">
        <v>792.44603734</v>
      </c>
      <c r="U47" s="522" t="n">
        <v>81.98661137000001</v>
      </c>
      <c r="V47" s="522" t="n">
        <v>20873.89212486</v>
      </c>
      <c r="W47" s="522" t="n">
        <v>20835.25174</v>
      </c>
      <c r="X47" s="219" t="n">
        <v>0</v>
      </c>
      <c r="Y47" s="522" t="n">
        <v>0</v>
      </c>
      <c r="Z47" s="221" t="inlineStr">
        <is>
          <t>-</t>
        </is>
      </c>
      <c r="AA47" s="219" t="n">
        <v>11</v>
      </c>
      <c r="AB47" s="219" t="n">
        <v>97786</v>
      </c>
      <c r="AC47" s="522" t="n">
        <v>875.20306723</v>
      </c>
      <c r="AD47" s="522" t="n">
        <v>409.0686067</v>
      </c>
      <c r="AE47" s="522" t="n">
        <v>466.13446053</v>
      </c>
      <c r="AF47" s="522" t="n">
        <v>21415.24944877</v>
      </c>
      <c r="AG47" s="522" t="n">
        <v>21119.18520438</v>
      </c>
      <c r="AH47" s="219" t="n">
        <v>0</v>
      </c>
      <c r="AI47" s="522" t="n">
        <v>0</v>
      </c>
      <c r="AJ47" s="221" t="inlineStr">
        <is>
          <t>-</t>
        </is>
      </c>
      <c r="AK47" s="219" t="n">
        <v>11</v>
      </c>
      <c r="AL47" s="219" t="n">
        <v>96767</v>
      </c>
      <c r="AM47" s="522" t="n">
        <v>594.44027105</v>
      </c>
      <c r="AN47" s="522" t="n">
        <v>1040.32267857</v>
      </c>
      <c r="AO47" s="522" t="n">
        <v>-445.88240752</v>
      </c>
      <c r="AP47" s="522" t="n">
        <v>20538.5978213</v>
      </c>
      <c r="AQ47" s="522" t="n">
        <v>20907.17071553</v>
      </c>
      <c r="AR47" s="219" t="n">
        <v>0</v>
      </c>
      <c r="AS47" s="522" t="n">
        <v>0</v>
      </c>
      <c r="AT47" s="221" t="inlineStr">
        <is>
          <t>-</t>
        </is>
      </c>
      <c r="AU47" s="219" t="n">
        <v>11</v>
      </c>
      <c r="AV47" s="219" t="n">
        <v>96032</v>
      </c>
      <c r="AW47" s="522" t="n">
        <v>291.87644555</v>
      </c>
      <c r="AX47" s="522" t="n">
        <v>708.35910209</v>
      </c>
      <c r="AY47" s="522" t="n">
        <v>-416.48265654</v>
      </c>
      <c r="AZ47" s="522" t="n">
        <v>20260.14815533</v>
      </c>
      <c r="BA47" s="522" t="n">
        <v>20350.74185182</v>
      </c>
      <c r="BB47" s="219" t="n">
        <v>0</v>
      </c>
      <c r="BC47" s="522" t="n">
        <v>0</v>
      </c>
      <c r="BD47" s="221" t="inlineStr">
        <is>
          <t>-</t>
        </is>
      </c>
      <c r="BE47" s="219" t="n">
        <v>11</v>
      </c>
      <c r="BF47" s="219" t="n">
        <v>94316</v>
      </c>
      <c r="BG47" s="522" t="n">
        <v>697.8757114</v>
      </c>
      <c r="BH47" s="522" t="n">
        <v>760.06026198</v>
      </c>
      <c r="BI47" s="522" t="n">
        <v>-62.1845505799997</v>
      </c>
      <c r="BJ47" s="522" t="n">
        <v>19719.61377788</v>
      </c>
      <c r="BK47" s="522" t="n">
        <v>19860.45007966</v>
      </c>
      <c r="BL47" s="219" t="n">
        <v>0</v>
      </c>
      <c r="BM47" s="522" t="n">
        <v>0</v>
      </c>
      <c r="BN47" s="221" t="inlineStr">
        <is>
          <t>-</t>
        </is>
      </c>
      <c r="BO47" s="219" t="n">
        <v>11</v>
      </c>
      <c r="BP47" s="219" t="n">
        <v>91968</v>
      </c>
      <c r="BQ47" s="522" t="n">
        <v>767.119690500001</v>
      </c>
      <c r="BR47" s="522" t="n">
        <v>705.8262787899999</v>
      </c>
      <c r="BS47" s="522" t="n">
        <v>61.2934117100003</v>
      </c>
      <c r="BT47" s="522" t="n">
        <v>20069.37036197</v>
      </c>
      <c r="BU47" s="522" t="n">
        <v>20076.98018637</v>
      </c>
      <c r="BV47" s="219" t="n">
        <v>0</v>
      </c>
      <c r="BW47" s="522" t="n">
        <v>0</v>
      </c>
      <c r="BX47" s="221" t="inlineStr">
        <is>
          <t>-</t>
        </is>
      </c>
      <c r="BY47" s="219" t="n">
        <v>11</v>
      </c>
      <c r="BZ47" s="219" t="n">
        <v>89830</v>
      </c>
      <c r="CA47" s="522" t="n">
        <v>99.8458432699999</v>
      </c>
      <c r="CB47" s="522" t="n">
        <v>1042.55717648</v>
      </c>
      <c r="CC47" s="522" t="n">
        <v>-942.71133321</v>
      </c>
      <c r="CD47" s="522" t="n">
        <v>19194.20298243</v>
      </c>
      <c r="CE47" s="522" t="n">
        <v>19723.73881446</v>
      </c>
      <c r="CF47" s="219" t="n">
        <v>0</v>
      </c>
      <c r="CG47" s="522" t="n">
        <v>0</v>
      </c>
      <c r="CH47" s="221" t="inlineStr">
        <is>
          <t>-</t>
        </is>
      </c>
      <c r="CI47" s="219" t="n">
        <v>11</v>
      </c>
      <c r="CJ47" s="219" t="n">
        <v>87932</v>
      </c>
      <c r="CK47" s="522" t="n">
        <v>232.059315609999</v>
      </c>
      <c r="CL47" s="522" t="n">
        <v>598.50694574</v>
      </c>
      <c r="CM47" s="522" t="n">
        <v>-366.447630130001</v>
      </c>
      <c r="CN47" s="522" t="n">
        <v>18856.54526252</v>
      </c>
      <c r="CO47" s="522" t="n">
        <v>19028.9312843</v>
      </c>
      <c r="CP47" s="219" t="n">
        <v>0</v>
      </c>
      <c r="CQ47" s="522" t="n">
        <v>0</v>
      </c>
      <c r="CR47" s="221" t="inlineStr">
        <is>
          <t>-</t>
        </is>
      </c>
      <c r="CS47" s="219" t="n">
        <v>11</v>
      </c>
      <c r="CT47" s="219" t="n">
        <v>85438</v>
      </c>
      <c r="CU47" s="522" t="n">
        <v>70.76227918000041</v>
      </c>
      <c r="CV47" s="522" t="n">
        <v>1373.92930424</v>
      </c>
      <c r="CW47" s="522" t="n">
        <v>-1303.16702506</v>
      </c>
      <c r="CX47" s="522" t="n">
        <v>17608.27058688</v>
      </c>
      <c r="CY47" s="522" t="n">
        <v>17965.20976391</v>
      </c>
      <c r="CZ47" s="219" t="n">
        <v>0</v>
      </c>
      <c r="DA47" s="522" t="n">
        <v>0</v>
      </c>
      <c r="DB47" s="222" t="inlineStr">
        <is>
          <t>-</t>
        </is>
      </c>
      <c r="DC47" s="223" t="n">
        <v>11</v>
      </c>
      <c r="DD47" s="223" t="n">
        <v>82999</v>
      </c>
      <c r="DE47" s="523" t="n">
        <v>28.9110151300001</v>
      </c>
      <c r="DF47" s="523" t="n">
        <v>1365.240512</v>
      </c>
      <c r="DG47" s="523" t="n">
        <v>-1336.32949687</v>
      </c>
      <c r="DH47" s="523" t="n">
        <v>16221.17152598</v>
      </c>
      <c r="DI47" s="523" t="n">
        <v>16754.33746791</v>
      </c>
      <c r="DJ47" s="223" t="n">
        <v>0</v>
      </c>
      <c r="DK47" s="523" t="n">
        <v>0</v>
      </c>
      <c r="DL47" s="222" t="inlineStr">
        <is>
          <t>-</t>
        </is>
      </c>
      <c r="DM47" s="280">
        <f>S47+AC47+AM47+AW47+BG47+BQ47+CA47+CK47+CU47+DE47</f>
        <v/>
      </c>
      <c r="DN47" s="275">
        <f>U47+AE47+AO47+AY47+BI47+BS47+CC47+CM47+CW47+DG47</f>
        <v/>
      </c>
      <c r="DO47" s="222" t="inlineStr">
        <is>
          <t>-</t>
        </is>
      </c>
      <c r="DP47" s="226">
        <f>IFERROR((DE47-CU47)/CU47,"-")</f>
        <v/>
      </c>
      <c r="DQ47" s="226">
        <f>IFERROR((DG47-CW47)/CW47,"-")</f>
        <v/>
      </c>
      <c r="DR47" s="288">
        <f>IFERROR((DH47-CX47)/CX47,"-")</f>
        <v/>
      </c>
      <c r="DS47" s="223" t="n">
        <v>11</v>
      </c>
      <c r="DT47" s="223" t="n">
        <v>81398</v>
      </c>
      <c r="DU47" s="223" t="n">
        <v>153.209607819999</v>
      </c>
      <c r="DV47" s="223" t="n">
        <v>782.136637080001</v>
      </c>
      <c r="DW47" s="223" t="n">
        <v>-628.9270292600009</v>
      </c>
      <c r="DX47" s="223" t="n">
        <v>15671.68312661</v>
      </c>
      <c r="DY47" s="223" t="n">
        <v>15806.6977869</v>
      </c>
      <c r="DZ47" s="223" t="n">
        <v>0</v>
      </c>
      <c r="EA47" s="223" t="n">
        <v>0</v>
      </c>
      <c r="EB47" s="222" t="inlineStr">
        <is>
          <t>-</t>
        </is>
      </c>
      <c r="EC47" s="280">
        <f>S47+AC47+AM47+AW47+BG47+BQ47+CA47+CK47+CU47+DE47+DU47</f>
        <v/>
      </c>
      <c r="ED47" s="275">
        <f>U47+AE47+AO47+AY47+BI47+BS47+CC47+CM47+CW47+DG47+DW47</f>
        <v/>
      </c>
      <c r="EE47" s="222" t="inlineStr">
        <is>
          <t>-</t>
        </is>
      </c>
      <c r="EF47" s="226">
        <f>IFERROR((DU47-DE47)/DE47,"-")</f>
        <v/>
      </c>
      <c r="EG47" s="226">
        <f>IFERROR((DW47-DG47)/DG47,"-")</f>
        <v/>
      </c>
      <c r="EH47" s="288">
        <f>IFERROR((DX47-DH47)/DH47,"-")</f>
        <v/>
      </c>
      <c r="EI47" s="222" t="inlineStr">
        <is>
          <t>-</t>
        </is>
      </c>
      <c r="EJ47" s="223" t="n">
        <v>11</v>
      </c>
      <c r="EK47" s="223" t="n">
        <v>79190</v>
      </c>
      <c r="EL47" s="223" t="n">
        <v>244.31826516</v>
      </c>
      <c r="EM47" s="223" t="n">
        <v>1291.67572002</v>
      </c>
      <c r="EN47" s="223" t="n">
        <v>-1047.35745486</v>
      </c>
      <c r="EO47" s="223" t="n">
        <v>14158.72994</v>
      </c>
      <c r="EP47" s="223" t="n">
        <v>15132.48102336</v>
      </c>
      <c r="EQ47" s="223" t="n">
        <v>0</v>
      </c>
      <c r="ER47" s="223" t="n">
        <v>0</v>
      </c>
      <c r="ES47" s="222" t="inlineStr">
        <is>
          <t>-</t>
        </is>
      </c>
      <c r="ET47" s="280">
        <f>S47+AC47+AM47+AW47+BG47+BQ47+CA47+CK47+CU47+DE47+DU47+EL47</f>
        <v/>
      </c>
      <c r="EU47" s="275">
        <f>U47+AE47+AO47+AY47+BI47+BS47+CC47+CM47+CW47+DG47+DW47+EN47</f>
        <v/>
      </c>
      <c r="EV47" s="222" t="inlineStr">
        <is>
          <t>-</t>
        </is>
      </c>
      <c r="EW47" s="300">
        <f>IFERROR((EL47-DU47)/DU47,"-")</f>
        <v/>
      </c>
      <c r="EX47" s="293">
        <f>IFERROR((EN47-DW47)/DW47,"-")</f>
        <v/>
      </c>
      <c r="EY47" s="288">
        <f>IFERROR((EO47-DX47)/DX47,"-")</f>
        <v/>
      </c>
    </row>
    <row r="48" hidden="1" outlineLevel="1">
      <c r="A48" s="159" t="inlineStr">
        <is>
          <t>Banking and PSU Fund</t>
        </is>
      </c>
      <c r="B48" s="160" t="inlineStr">
        <is>
          <t>Income/Debt Oriented Schemes</t>
        </is>
      </c>
      <c r="C48" s="160" t="inlineStr">
        <is>
          <t>Open ended Schemes</t>
        </is>
      </c>
      <c r="D48" s="160" t="inlineStr">
        <is>
          <t>Debt</t>
        </is>
      </c>
      <c r="E48" s="160" t="inlineStr">
        <is>
          <t>TD</t>
        </is>
      </c>
      <c r="F48" s="160" t="inlineStr">
        <is>
          <t>Active Debt (incl Hybrid)</t>
        </is>
      </c>
      <c r="G48" s="416" t="n"/>
      <c r="H48" s="416" t="n"/>
      <c r="I48" s="416" t="n"/>
      <c r="J48" s="416" t="n"/>
      <c r="K48" s="416">
        <f>IF(OR(I48="",J48=""),"",I48-J48)</f>
        <v/>
      </c>
      <c r="L48" s="161" t="n">
        <v>78850.09761763</v>
      </c>
      <c r="M48" s="161" t="n">
        <v>78721.83389485</v>
      </c>
      <c r="N48" s="416" t="n"/>
      <c r="O48" s="416" t="n"/>
      <c r="P48" s="162" t="inlineStr">
        <is>
          <t>-</t>
        </is>
      </c>
      <c r="Q48" s="219" t="n">
        <v>22</v>
      </c>
      <c r="R48" s="219" t="n">
        <v>237042</v>
      </c>
      <c r="S48" s="522" t="n">
        <v>2069.19231338</v>
      </c>
      <c r="T48" s="522" t="n">
        <v>1433.30494587</v>
      </c>
      <c r="U48" s="522" t="n">
        <v>635.88736751</v>
      </c>
      <c r="V48" s="522" t="n">
        <v>80597.86235503999</v>
      </c>
      <c r="W48" s="522" t="n">
        <v>79692.99716550999</v>
      </c>
      <c r="X48" s="219" t="n">
        <v>0</v>
      </c>
      <c r="Y48" s="522" t="n">
        <v>0</v>
      </c>
      <c r="Z48" s="221" t="inlineStr">
        <is>
          <t>-</t>
        </is>
      </c>
      <c r="AA48" s="219" t="n">
        <v>22</v>
      </c>
      <c r="AB48" s="219" t="n">
        <v>238455</v>
      </c>
      <c r="AC48" s="522" t="n">
        <v>1608.12674015</v>
      </c>
      <c r="AD48" s="522" t="n">
        <v>1123.99304065</v>
      </c>
      <c r="AE48" s="522" t="n">
        <v>484.1336995</v>
      </c>
      <c r="AF48" s="522" t="n">
        <v>81949.60272014</v>
      </c>
      <c r="AG48" s="522" t="n">
        <v>81268.73108472</v>
      </c>
      <c r="AH48" s="219" t="n">
        <v>0</v>
      </c>
      <c r="AI48" s="522" t="n">
        <v>0</v>
      </c>
      <c r="AJ48" s="221" t="inlineStr">
        <is>
          <t>-</t>
        </is>
      </c>
      <c r="AK48" s="219" t="n">
        <v>22</v>
      </c>
      <c r="AL48" s="219" t="n">
        <v>239295</v>
      </c>
      <c r="AM48" s="522" t="n">
        <v>1969.78490349</v>
      </c>
      <c r="AN48" s="522" t="n">
        <v>1731.18655668</v>
      </c>
      <c r="AO48" s="522" t="n">
        <v>238.59834681</v>
      </c>
      <c r="AP48" s="522" t="n">
        <v>82228.63629058001</v>
      </c>
      <c r="AQ48" s="522" t="n">
        <v>82588.26998726001</v>
      </c>
      <c r="AR48" s="219" t="n">
        <v>0</v>
      </c>
      <c r="AS48" s="522" t="n">
        <v>0</v>
      </c>
      <c r="AT48" s="221" t="inlineStr">
        <is>
          <t>-</t>
        </is>
      </c>
      <c r="AU48" s="219" t="n">
        <v>22</v>
      </c>
      <c r="AV48" s="219" t="n">
        <v>240020</v>
      </c>
      <c r="AW48" s="522" t="n">
        <v>1295.24290088</v>
      </c>
      <c r="AX48" s="522" t="n">
        <v>1956.97304561</v>
      </c>
      <c r="AY48" s="522" t="n">
        <v>-661.73014473</v>
      </c>
      <c r="AZ48" s="522" t="n">
        <v>82041.63578811</v>
      </c>
      <c r="BA48" s="522" t="n">
        <v>81868.29421536</v>
      </c>
      <c r="BB48" s="219" t="n">
        <v>0</v>
      </c>
      <c r="BC48" s="522" t="n">
        <v>0</v>
      </c>
      <c r="BD48" s="221" t="inlineStr">
        <is>
          <t>-</t>
        </is>
      </c>
      <c r="BE48" s="219" t="n">
        <v>22</v>
      </c>
      <c r="BF48" s="219" t="n">
        <v>240524</v>
      </c>
      <c r="BG48" s="522" t="n">
        <v>947.25648395</v>
      </c>
      <c r="BH48" s="522" t="n">
        <v>1747.70556384</v>
      </c>
      <c r="BI48" s="522" t="n">
        <v>-800.44907989</v>
      </c>
      <c r="BJ48" s="522" t="n">
        <v>81161.20400409</v>
      </c>
      <c r="BK48" s="522" t="n">
        <v>81717.48502982</v>
      </c>
      <c r="BL48" s="219" t="n">
        <v>0</v>
      </c>
      <c r="BM48" s="522" t="n">
        <v>0</v>
      </c>
      <c r="BN48" s="221" t="inlineStr">
        <is>
          <t>-</t>
        </is>
      </c>
      <c r="BO48" s="219" t="n">
        <v>22</v>
      </c>
      <c r="BP48" s="219" t="n">
        <v>239947</v>
      </c>
      <c r="BQ48" s="522" t="n">
        <v>742.078487039999</v>
      </c>
      <c r="BR48" s="522" t="n">
        <v>2709.38802295</v>
      </c>
      <c r="BS48" s="522" t="n">
        <v>-1967.30953591</v>
      </c>
      <c r="BT48" s="522" t="n">
        <v>79724.0980694</v>
      </c>
      <c r="BU48" s="522" t="n">
        <v>80533.19329220999</v>
      </c>
      <c r="BV48" s="219" t="n">
        <v>0</v>
      </c>
      <c r="BW48" s="522" t="n">
        <v>0</v>
      </c>
      <c r="BX48" s="221" t="inlineStr">
        <is>
          <t>-</t>
        </is>
      </c>
      <c r="BY48" s="219" t="n">
        <v>21</v>
      </c>
      <c r="BZ48" s="219" t="n">
        <v>239409</v>
      </c>
      <c r="CA48" s="522" t="n">
        <v>1534.79323874</v>
      </c>
      <c r="CB48" s="522" t="n">
        <v>1322.52045698</v>
      </c>
      <c r="CC48" s="522" t="n">
        <v>212.272781759999</v>
      </c>
      <c r="CD48" s="522" t="n">
        <v>80699.62600705</v>
      </c>
      <c r="CE48" s="522" t="n">
        <v>79815.88695742001</v>
      </c>
      <c r="CF48" s="219" t="n">
        <v>0</v>
      </c>
      <c r="CG48" s="522" t="n">
        <v>0</v>
      </c>
      <c r="CH48" s="221" t="inlineStr">
        <is>
          <t>-</t>
        </is>
      </c>
      <c r="CI48" s="219" t="n">
        <v>21</v>
      </c>
      <c r="CJ48" s="219" t="n">
        <v>240003</v>
      </c>
      <c r="CK48" s="522" t="n">
        <v>509.090941160001</v>
      </c>
      <c r="CL48" s="522" t="n">
        <v>1361.18724795</v>
      </c>
      <c r="CM48" s="522" t="n">
        <v>-852.0963067899989</v>
      </c>
      <c r="CN48" s="522" t="n">
        <v>80299.52019316</v>
      </c>
      <c r="CO48" s="522" t="n">
        <v>80543.60613494</v>
      </c>
      <c r="CP48" s="219" t="n">
        <v>0</v>
      </c>
      <c r="CQ48" s="522" t="n">
        <v>0</v>
      </c>
      <c r="CR48" s="221" t="inlineStr">
        <is>
          <t>-</t>
        </is>
      </c>
      <c r="CS48" s="219" t="n">
        <v>21</v>
      </c>
      <c r="CT48" s="219" t="n">
        <v>239818</v>
      </c>
      <c r="CU48" s="522" t="n">
        <v>769.56581256</v>
      </c>
      <c r="CV48" s="522" t="n">
        <v>1745.66025281</v>
      </c>
      <c r="CW48" s="522" t="n">
        <v>-976.094440249999</v>
      </c>
      <c r="CX48" s="522" t="n">
        <v>79417.25882279999</v>
      </c>
      <c r="CY48" s="522" t="n">
        <v>79512.4165257</v>
      </c>
      <c r="CZ48" s="219" t="n">
        <v>0</v>
      </c>
      <c r="DA48" s="522" t="n">
        <v>0</v>
      </c>
      <c r="DB48" s="222" t="inlineStr">
        <is>
          <t>-</t>
        </is>
      </c>
      <c r="DC48" s="223" t="n">
        <v>21</v>
      </c>
      <c r="DD48" s="223" t="n">
        <v>239116</v>
      </c>
      <c r="DE48" s="523" t="n">
        <v>514.3541242400011</v>
      </c>
      <c r="DF48" s="523" t="n">
        <v>1733.234838</v>
      </c>
      <c r="DG48" s="523" t="n">
        <v>-1218.88071376</v>
      </c>
      <c r="DH48" s="523" t="n">
        <v>78169.94395751</v>
      </c>
      <c r="DI48" s="523" t="n">
        <v>78906.71779806</v>
      </c>
      <c r="DJ48" s="223" t="n">
        <v>0</v>
      </c>
      <c r="DK48" s="523" t="n">
        <v>0</v>
      </c>
      <c r="DL48" s="222" t="inlineStr">
        <is>
          <t>-</t>
        </is>
      </c>
      <c r="DM48" s="280">
        <f>S48+AC48+AM48+AW48+BG48+BQ48+CA48+CK48+CU48+DE48</f>
        <v/>
      </c>
      <c r="DN48" s="275">
        <f>U48+AE48+AO48+AY48+BI48+BS48+CC48+CM48+CW48+DG48</f>
        <v/>
      </c>
      <c r="DO48" s="222" t="inlineStr">
        <is>
          <t>-</t>
        </is>
      </c>
      <c r="DP48" s="226">
        <f>IFERROR((DE48-CU48)/CU48,"-")</f>
        <v/>
      </c>
      <c r="DQ48" s="226">
        <f>IFERROR((DG48-CW48)/CW48,"-")</f>
        <v/>
      </c>
      <c r="DR48" s="288">
        <f>IFERROR((DH48-CX48)/CX48,"-")</f>
        <v/>
      </c>
      <c r="DS48" s="223" t="n">
        <v>20</v>
      </c>
      <c r="DT48" s="223" t="n">
        <v>239763</v>
      </c>
      <c r="DU48" s="223" t="n">
        <v>447.09189519</v>
      </c>
      <c r="DV48" s="223" t="n">
        <v>1919.85832381</v>
      </c>
      <c r="DW48" s="223" t="n">
        <v>-1472.76642862</v>
      </c>
      <c r="DX48" s="223" t="n">
        <v>77138.93681465001</v>
      </c>
      <c r="DY48" s="223" t="n">
        <v>77708.44193697</v>
      </c>
      <c r="DZ48" s="223" t="n">
        <v>0</v>
      </c>
      <c r="EA48" s="223" t="n">
        <v>0</v>
      </c>
      <c r="EB48" s="222" t="inlineStr">
        <is>
          <t>-</t>
        </is>
      </c>
      <c r="EC48" s="280">
        <f>S48+AC48+AM48+AW48+BG48+BQ48+CA48+CK48+CU48+DE48+DU48</f>
        <v/>
      </c>
      <c r="ED48" s="275">
        <f>U48+AE48+AO48+AY48+BI48+BS48+CC48+CM48+CW48+DG48+DW48</f>
        <v/>
      </c>
      <c r="EE48" s="222" t="inlineStr">
        <is>
          <t>-</t>
        </is>
      </c>
      <c r="EF48" s="226">
        <f>IFERROR((DU48-DE48)/DE48,"-")</f>
        <v/>
      </c>
      <c r="EG48" s="226">
        <f>IFERROR((DW48-DG48)/DG48,"-")</f>
        <v/>
      </c>
      <c r="EH48" s="288">
        <f>IFERROR((DX48-DH48)/DH48,"-")</f>
        <v/>
      </c>
      <c r="EI48" s="222" t="inlineStr">
        <is>
          <t>-</t>
        </is>
      </c>
      <c r="EJ48" s="223" t="n">
        <v>20</v>
      </c>
      <c r="EK48" s="223" t="n">
        <v>239277</v>
      </c>
      <c r="EL48" s="223" t="n">
        <v>425.158446439998</v>
      </c>
      <c r="EM48" s="223" t="n">
        <v>2699.23492479</v>
      </c>
      <c r="EN48" s="223" t="n">
        <v>-2274.07647835</v>
      </c>
      <c r="EO48" s="223" t="n">
        <v>74619.67757391</v>
      </c>
      <c r="EP48" s="223" t="n">
        <v>75970.21799840999</v>
      </c>
      <c r="EQ48" s="223" t="n">
        <v>0</v>
      </c>
      <c r="ER48" s="223" t="n">
        <v>0</v>
      </c>
      <c r="ES48" s="222" t="inlineStr">
        <is>
          <t>-</t>
        </is>
      </c>
      <c r="ET48" s="280">
        <f>S48+AC48+AM48+AW48+BG48+BQ48+CA48+CK48+CU48+DE48+DU48+EL48</f>
        <v/>
      </c>
      <c r="EU48" s="275">
        <f>U48+AE48+AO48+AY48+BI48+BS48+CC48+CM48+CW48+DG48+DW48+EN48</f>
        <v/>
      </c>
      <c r="EV48" s="222" t="inlineStr">
        <is>
          <t>-</t>
        </is>
      </c>
      <c r="EW48" s="300">
        <f>IFERROR((EL48-DU48)/DU48,"-")</f>
        <v/>
      </c>
      <c r="EX48" s="293">
        <f>IFERROR((EN48-DW48)/DW48,"-")</f>
        <v/>
      </c>
      <c r="EY48" s="288">
        <f>IFERROR((EO48-DX48)/DX48,"-")</f>
        <v/>
      </c>
    </row>
    <row r="49" hidden="1" outlineLevel="1">
      <c r="A49" s="159" t="inlineStr">
        <is>
          <t>Short Duration Fund</t>
        </is>
      </c>
      <c r="B49" s="160" t="inlineStr">
        <is>
          <t>Income/Debt Oriented Schemes</t>
        </is>
      </c>
      <c r="C49" s="160" t="inlineStr">
        <is>
          <t>Open ended Schemes</t>
        </is>
      </c>
      <c r="D49" s="160" t="inlineStr">
        <is>
          <t>Debt</t>
        </is>
      </c>
      <c r="E49" s="160" t="inlineStr">
        <is>
          <t>TD</t>
        </is>
      </c>
      <c r="F49" s="160" t="inlineStr">
        <is>
          <t>Active Debt (incl Hybrid)</t>
        </is>
      </c>
      <c r="G49" s="416" t="n"/>
      <c r="H49" s="416" t="n"/>
      <c r="I49" s="416" t="n"/>
      <c r="J49" s="416" t="n"/>
      <c r="K49" s="416">
        <f>IF(OR(I49="",J49=""),"",I49-J49)</f>
        <v/>
      </c>
      <c r="L49" s="161" t="n">
        <v>113320.85564314</v>
      </c>
      <c r="M49" s="161" t="n">
        <v>112254.19366911</v>
      </c>
      <c r="N49" s="416" t="n"/>
      <c r="O49" s="416" t="n"/>
      <c r="P49" s="162" t="inlineStr">
        <is>
          <t>-</t>
        </is>
      </c>
      <c r="Q49" s="219" t="n">
        <v>24</v>
      </c>
      <c r="R49" s="219" t="n">
        <v>463334</v>
      </c>
      <c r="S49" s="522" t="n">
        <v>10139.49474144</v>
      </c>
      <c r="T49" s="522" t="n">
        <v>5376.2797415</v>
      </c>
      <c r="U49" s="522" t="n">
        <v>4763.21499994</v>
      </c>
      <c r="V49" s="522" t="n">
        <v>119708.54111172</v>
      </c>
      <c r="W49" s="522" t="n">
        <v>118413.30492126</v>
      </c>
      <c r="X49" s="219" t="n">
        <v>0</v>
      </c>
      <c r="Y49" s="522" t="n">
        <v>0</v>
      </c>
      <c r="Z49" s="221" t="inlineStr">
        <is>
          <t>-</t>
        </is>
      </c>
      <c r="AA49" s="219" t="n">
        <v>24</v>
      </c>
      <c r="AB49" s="219" t="n">
        <v>475177</v>
      </c>
      <c r="AC49" s="522" t="n">
        <v>7633.76436118</v>
      </c>
      <c r="AD49" s="522" t="n">
        <v>5843.97627835</v>
      </c>
      <c r="AE49" s="522" t="n">
        <v>1789.78808283</v>
      </c>
      <c r="AF49" s="522" t="n">
        <v>122759.56146968</v>
      </c>
      <c r="AG49" s="522" t="n">
        <v>121092.00313984</v>
      </c>
      <c r="AH49" s="219" t="n">
        <v>0</v>
      </c>
      <c r="AI49" s="522" t="n">
        <v>0</v>
      </c>
      <c r="AJ49" s="221" t="inlineStr">
        <is>
          <t>-</t>
        </is>
      </c>
      <c r="AK49" s="219" t="n">
        <v>24</v>
      </c>
      <c r="AL49" s="219" t="n">
        <v>488358</v>
      </c>
      <c r="AM49" s="522" t="n">
        <v>20113.17620728</v>
      </c>
      <c r="AN49" s="522" t="n">
        <v>9836.427708159999</v>
      </c>
      <c r="AO49" s="522" t="n">
        <v>10276.74849912</v>
      </c>
      <c r="AP49" s="522" t="n">
        <v>133337.00368256</v>
      </c>
      <c r="AQ49" s="522" t="n">
        <v>132173.68078332</v>
      </c>
      <c r="AR49" s="219" t="n">
        <v>0</v>
      </c>
      <c r="AS49" s="522" t="n">
        <v>0</v>
      </c>
      <c r="AT49" s="221" t="inlineStr">
        <is>
          <t>-</t>
        </is>
      </c>
      <c r="AU49" s="219" t="n">
        <v>24</v>
      </c>
      <c r="AV49" s="219" t="n">
        <v>506036</v>
      </c>
      <c r="AW49" s="522" t="n">
        <v>6866.89957897</v>
      </c>
      <c r="AX49" s="522" t="n">
        <v>5037.57011297</v>
      </c>
      <c r="AY49" s="522" t="n">
        <v>1829.329466</v>
      </c>
      <c r="AZ49" s="522" t="n">
        <v>136020.58462625</v>
      </c>
      <c r="BA49" s="522" t="n">
        <v>136121.87865355</v>
      </c>
      <c r="BB49" s="219" t="n">
        <v>0</v>
      </c>
      <c r="BC49" s="522" t="n">
        <v>0</v>
      </c>
      <c r="BD49" s="221" t="inlineStr">
        <is>
          <t>-</t>
        </is>
      </c>
      <c r="BE49" s="219" t="n">
        <v>24</v>
      </c>
      <c r="BF49" s="219" t="n">
        <v>517942</v>
      </c>
      <c r="BG49" s="522" t="n">
        <v>4807.25524375</v>
      </c>
      <c r="BH49" s="522" t="n">
        <v>4241.99489259</v>
      </c>
      <c r="BI49" s="522" t="n">
        <v>565.260351159999</v>
      </c>
      <c r="BJ49" s="522" t="n">
        <v>136582.7493315</v>
      </c>
      <c r="BK49" s="522" t="n">
        <v>136154.00157457</v>
      </c>
      <c r="BL49" s="219" t="n">
        <v>0</v>
      </c>
      <c r="BM49" s="522" t="n">
        <v>0</v>
      </c>
      <c r="BN49" s="221" t="inlineStr">
        <is>
          <t>-</t>
        </is>
      </c>
      <c r="BO49" s="219" t="n">
        <v>24</v>
      </c>
      <c r="BP49" s="219" t="n">
        <v>525052</v>
      </c>
      <c r="BQ49" s="522" t="n">
        <v>4069.72252902</v>
      </c>
      <c r="BR49" s="522" t="n">
        <v>6242.95666087</v>
      </c>
      <c r="BS49" s="522" t="n">
        <v>-2173.23413185</v>
      </c>
      <c r="BT49" s="522" t="n">
        <v>135290.95383791</v>
      </c>
      <c r="BU49" s="522" t="n">
        <v>136485.12496971</v>
      </c>
      <c r="BV49" s="219" t="n">
        <v>0</v>
      </c>
      <c r="BW49" s="522" t="n">
        <v>0</v>
      </c>
      <c r="BX49" s="221" t="inlineStr">
        <is>
          <t>-</t>
        </is>
      </c>
      <c r="BY49" s="219" t="n">
        <v>24</v>
      </c>
      <c r="BZ49" s="219" t="n">
        <v>539194</v>
      </c>
      <c r="CA49" s="522" t="n">
        <v>6049.2509701</v>
      </c>
      <c r="CB49" s="522" t="n">
        <v>3279.73606268</v>
      </c>
      <c r="CC49" s="522" t="n">
        <v>2769.51490742</v>
      </c>
      <c r="CD49" s="522" t="n">
        <v>139124.76402025</v>
      </c>
      <c r="CE49" s="522" t="n">
        <v>137918.11517653</v>
      </c>
      <c r="CF49" s="219" t="n">
        <v>0</v>
      </c>
      <c r="CG49" s="522" t="n">
        <v>0</v>
      </c>
      <c r="CH49" s="221" t="inlineStr">
        <is>
          <t>-</t>
        </is>
      </c>
      <c r="CI49" s="219" t="n">
        <v>24</v>
      </c>
      <c r="CJ49" s="219" t="n">
        <v>553771</v>
      </c>
      <c r="CK49" s="522" t="n">
        <v>4756.07998204</v>
      </c>
      <c r="CL49" s="522" t="n">
        <v>2650.45577812</v>
      </c>
      <c r="CM49" s="522" t="n">
        <v>2105.62420392</v>
      </c>
      <c r="CN49" s="522" t="n">
        <v>142040.83594222</v>
      </c>
      <c r="CO49" s="522" t="n">
        <v>140524.53614992</v>
      </c>
      <c r="CP49" s="219" t="n">
        <v>0</v>
      </c>
      <c r="CQ49" s="522" t="n">
        <v>0</v>
      </c>
      <c r="CR49" s="221" t="inlineStr">
        <is>
          <t>-</t>
        </is>
      </c>
      <c r="CS49" s="219" t="n">
        <v>24</v>
      </c>
      <c r="CT49" s="219" t="n">
        <v>561636</v>
      </c>
      <c r="CU49" s="522" t="n">
        <v>3648.42312541001</v>
      </c>
      <c r="CV49" s="522" t="n">
        <v>9338.029412059999</v>
      </c>
      <c r="CW49" s="522" t="n">
        <v>-5689.60628664999</v>
      </c>
      <c r="CX49" s="522" t="n">
        <v>136600.71419993</v>
      </c>
      <c r="CY49" s="522" t="n">
        <v>140221.97763986</v>
      </c>
      <c r="CZ49" s="219" t="n">
        <v>0</v>
      </c>
      <c r="DA49" s="522" t="n">
        <v>0</v>
      </c>
      <c r="DB49" s="222" t="inlineStr">
        <is>
          <t>-</t>
        </is>
      </c>
      <c r="DC49" s="223" t="n">
        <v>25</v>
      </c>
      <c r="DD49" s="223" t="n">
        <v>563688</v>
      </c>
      <c r="DE49" s="523" t="n">
        <v>5931.16454951999</v>
      </c>
      <c r="DF49" s="523" t="n">
        <v>8819.713180180001</v>
      </c>
      <c r="DG49" s="523" t="n">
        <v>-2888.54863066001</v>
      </c>
      <c r="DH49" s="523" t="n">
        <v>133810.2083889</v>
      </c>
      <c r="DI49" s="523" t="n">
        <v>136139.32127963</v>
      </c>
      <c r="DJ49" s="223" t="n">
        <v>0</v>
      </c>
      <c r="DK49" s="523" t="n">
        <v>0</v>
      </c>
      <c r="DL49" s="222" t="inlineStr">
        <is>
          <t>-</t>
        </is>
      </c>
      <c r="DM49" s="280">
        <f>S49+AC49+AM49+AW49+BG49+BQ49+CA49+CK49+CU49+DE49</f>
        <v/>
      </c>
      <c r="DN49" s="275">
        <f>U49+AE49+AO49+AY49+BI49+BS49+CC49+CM49+CW49+DG49</f>
        <v/>
      </c>
      <c r="DO49" s="222" t="inlineStr">
        <is>
          <t>-</t>
        </is>
      </c>
      <c r="DP49" s="226">
        <f>IFERROR((DE49-CU49)/CU49,"-")</f>
        <v/>
      </c>
      <c r="DQ49" s="226">
        <f>IFERROR((DG49-CW49)/CW49,"-")</f>
        <v/>
      </c>
      <c r="DR49" s="288">
        <f>IFERROR((DH49-CX49)/CX49,"-")</f>
        <v/>
      </c>
      <c r="DS49" s="223" t="n">
        <v>25</v>
      </c>
      <c r="DT49" s="223" t="n">
        <v>569039</v>
      </c>
      <c r="DU49" s="223" t="n">
        <v>2456.45862277001</v>
      </c>
      <c r="DV49" s="223" t="n">
        <v>4373.26817229</v>
      </c>
      <c r="DW49" s="223" t="n">
        <v>-1916.80954952</v>
      </c>
      <c r="DX49" s="223" t="n">
        <v>133399.04416862</v>
      </c>
      <c r="DY49" s="223" t="n">
        <v>133295.51742003</v>
      </c>
      <c r="DZ49" s="223" t="n">
        <v>0</v>
      </c>
      <c r="EA49" s="223" t="n">
        <v>0</v>
      </c>
      <c r="EB49" s="222" t="inlineStr">
        <is>
          <t>-</t>
        </is>
      </c>
      <c r="EC49" s="280">
        <f>S49+AC49+AM49+AW49+BG49+BQ49+CA49+CK49+CU49+DE49+DU49</f>
        <v/>
      </c>
      <c r="ED49" s="275">
        <f>U49+AE49+AO49+AY49+BI49+BS49+CC49+CM49+CW49+DG49+DW49</f>
        <v/>
      </c>
      <c r="EE49" s="222" t="inlineStr">
        <is>
          <t>-</t>
        </is>
      </c>
      <c r="EF49" s="226">
        <f>IFERROR((DU49-DE49)/DE49,"-")</f>
        <v/>
      </c>
      <c r="EG49" s="226">
        <f>IFERROR((DW49-DG49)/DG49,"-")</f>
        <v/>
      </c>
      <c r="EH49" s="288">
        <f>IFERROR((DX49-DH49)/DH49,"-")</f>
        <v/>
      </c>
      <c r="EI49" s="222" t="inlineStr">
        <is>
          <t>-</t>
        </is>
      </c>
      <c r="EJ49" s="223" t="n">
        <v>25</v>
      </c>
      <c r="EK49" s="223" t="n">
        <v>567436</v>
      </c>
      <c r="EL49" s="223" t="n">
        <v>13663.23436891</v>
      </c>
      <c r="EM49" s="223" t="n">
        <v>35856.73536003</v>
      </c>
      <c r="EN49" s="223" t="n">
        <v>-22193.50099112</v>
      </c>
      <c r="EO49" s="223" t="n">
        <v>110851.24663584</v>
      </c>
      <c r="EP49" s="223" t="n">
        <v>123966.82131139</v>
      </c>
      <c r="EQ49" s="223" t="n">
        <v>0</v>
      </c>
      <c r="ER49" s="223" t="n">
        <v>0</v>
      </c>
      <c r="ES49" s="222" t="inlineStr">
        <is>
          <t>-</t>
        </is>
      </c>
      <c r="ET49" s="280">
        <f>S49+AC49+AM49+AW49+BG49+BQ49+CA49+CK49+CU49+DE49+DU49+EL49</f>
        <v/>
      </c>
      <c r="EU49" s="275">
        <f>U49+AE49+AO49+AY49+BI49+BS49+CC49+CM49+CW49+DG49+DW49+EN49</f>
        <v/>
      </c>
      <c r="EV49" s="222" t="inlineStr">
        <is>
          <t>-</t>
        </is>
      </c>
      <c r="EW49" s="300">
        <f>IFERROR((EL49-DU49)/DU49,"-")</f>
        <v/>
      </c>
      <c r="EX49" s="293">
        <f>IFERROR((EN49-DW49)/DW49,"-")</f>
        <v/>
      </c>
      <c r="EY49" s="288">
        <f>IFERROR((EO49-DX49)/DX49,"-")</f>
        <v/>
      </c>
    </row>
    <row r="50" hidden="1" outlineLevel="1">
      <c r="A50" s="159" t="inlineStr">
        <is>
          <t>Corporate Bond Fund</t>
        </is>
      </c>
      <c r="B50" s="160" t="inlineStr">
        <is>
          <t>Income/Debt Oriented Schemes</t>
        </is>
      </c>
      <c r="C50" s="160" t="inlineStr">
        <is>
          <t>Open ended Schemes</t>
        </is>
      </c>
      <c r="D50" s="160" t="inlineStr">
        <is>
          <t>Debt</t>
        </is>
      </c>
      <c r="E50" s="160" t="inlineStr">
        <is>
          <t>TD</t>
        </is>
      </c>
      <c r="F50" s="160" t="inlineStr">
        <is>
          <t>Active Debt (incl Hybrid)</t>
        </is>
      </c>
      <c r="G50" s="416" t="n"/>
      <c r="H50" s="416" t="n"/>
      <c r="I50" s="416" t="n"/>
      <c r="J50" s="416" t="n"/>
      <c r="K50" s="416">
        <f>IF(OR(I50="",J50=""),"",I50-J50)</f>
        <v/>
      </c>
      <c r="L50" s="161" t="n">
        <v>175800.18152363</v>
      </c>
      <c r="M50" s="161" t="n">
        <v>172372.73506713</v>
      </c>
      <c r="N50" s="416" t="n"/>
      <c r="O50" s="416" t="n"/>
      <c r="P50" s="162" t="inlineStr">
        <is>
          <t>-</t>
        </is>
      </c>
      <c r="Q50" s="219" t="n">
        <v>21</v>
      </c>
      <c r="R50" s="219" t="n">
        <v>534052</v>
      </c>
      <c r="S50" s="522" t="n">
        <v>12529.9635385</v>
      </c>
      <c r="T50" s="522" t="n">
        <v>9071.546719190001</v>
      </c>
      <c r="U50" s="522" t="n">
        <v>3458.41681931</v>
      </c>
      <c r="V50" s="522" t="n">
        <v>181953.76370177</v>
      </c>
      <c r="W50" s="522" t="n">
        <v>181608.56058097</v>
      </c>
      <c r="X50" s="219" t="n">
        <v>0</v>
      </c>
      <c r="Y50" s="522" t="n">
        <v>0</v>
      </c>
      <c r="Z50" s="221" t="inlineStr">
        <is>
          <t>-</t>
        </is>
      </c>
      <c r="AA50" s="219" t="n">
        <v>21</v>
      </c>
      <c r="AB50" s="219" t="n">
        <v>541227</v>
      </c>
      <c r="AC50" s="522" t="n">
        <v>15313.76702472</v>
      </c>
      <c r="AD50" s="522" t="n">
        <v>3330.41260458</v>
      </c>
      <c r="AE50" s="522" t="n">
        <v>11983.35442014</v>
      </c>
      <c r="AF50" s="522" t="n">
        <v>195987.38581591</v>
      </c>
      <c r="AG50" s="522" t="n">
        <v>188971.46605395</v>
      </c>
      <c r="AH50" s="219" t="n">
        <v>0</v>
      </c>
      <c r="AI50" s="522" t="n">
        <v>0</v>
      </c>
      <c r="AJ50" s="221" t="inlineStr">
        <is>
          <t>-</t>
        </is>
      </c>
      <c r="AK50" s="219" t="n">
        <v>21</v>
      </c>
      <c r="AL50" s="219" t="n">
        <v>546232</v>
      </c>
      <c r="AM50" s="522" t="n">
        <v>13196.20892516</v>
      </c>
      <c r="AN50" s="522" t="n">
        <v>6071.72728707</v>
      </c>
      <c r="AO50" s="522" t="n">
        <v>7124.48163809</v>
      </c>
      <c r="AP50" s="522" t="n">
        <v>203199.04055811</v>
      </c>
      <c r="AQ50" s="522" t="n">
        <v>201197.78849591</v>
      </c>
      <c r="AR50" s="219" t="n">
        <v>0</v>
      </c>
      <c r="AS50" s="522" t="n">
        <v>0</v>
      </c>
      <c r="AT50" s="221" t="inlineStr">
        <is>
          <t>-</t>
        </is>
      </c>
      <c r="AU50" s="219" t="n">
        <v>21</v>
      </c>
      <c r="AV50" s="219" t="n">
        <v>560211</v>
      </c>
      <c r="AW50" s="522" t="n">
        <v>8478.36968199</v>
      </c>
      <c r="AX50" s="522" t="n">
        <v>7056.80268779</v>
      </c>
      <c r="AY50" s="522" t="n">
        <v>1421.5669942</v>
      </c>
      <c r="AZ50" s="522" t="n">
        <v>205891.35673839</v>
      </c>
      <c r="BA50" s="522" t="n">
        <v>205113.73942273</v>
      </c>
      <c r="BB50" s="219" t="n">
        <v>0</v>
      </c>
      <c r="BC50" s="522" t="n">
        <v>0</v>
      </c>
      <c r="BD50" s="221" t="inlineStr">
        <is>
          <t>-</t>
        </is>
      </c>
      <c r="BE50" s="219" t="n">
        <v>21</v>
      </c>
      <c r="BF50" s="219" t="n">
        <v>565827</v>
      </c>
      <c r="BG50" s="522" t="n">
        <v>4102.5744515</v>
      </c>
      <c r="BH50" s="522" t="n">
        <v>4927.57285506</v>
      </c>
      <c r="BI50" s="522" t="n">
        <v>-824.9984035599959</v>
      </c>
      <c r="BJ50" s="522" t="n">
        <v>204712.23180295</v>
      </c>
      <c r="BK50" s="522" t="n">
        <v>205196.620084</v>
      </c>
      <c r="BL50" s="219" t="n">
        <v>0</v>
      </c>
      <c r="BM50" s="522" t="n">
        <v>0</v>
      </c>
      <c r="BN50" s="221" t="inlineStr">
        <is>
          <t>-</t>
        </is>
      </c>
      <c r="BO50" s="219" t="n">
        <v>21</v>
      </c>
      <c r="BP50" s="219" t="n">
        <v>567992</v>
      </c>
      <c r="BQ50" s="522" t="n">
        <v>5884.58041703</v>
      </c>
      <c r="BR50" s="522" t="n">
        <v>7328.18798428</v>
      </c>
      <c r="BS50" s="522" t="n">
        <v>-1443.60756725</v>
      </c>
      <c r="BT50" s="522" t="n">
        <v>204656.55086479</v>
      </c>
      <c r="BU50" s="522" t="n">
        <v>204969.01838108</v>
      </c>
      <c r="BV50" s="219" t="n">
        <v>0</v>
      </c>
      <c r="BW50" s="522" t="n">
        <v>0</v>
      </c>
      <c r="BX50" s="221" t="inlineStr">
        <is>
          <t>-</t>
        </is>
      </c>
      <c r="BY50" s="219" t="n">
        <v>21</v>
      </c>
      <c r="BZ50" s="219" t="n">
        <v>573717</v>
      </c>
      <c r="CA50" s="522" t="n">
        <v>9118.146573120001</v>
      </c>
      <c r="CB50" s="522" t="n">
        <v>3996.2351529</v>
      </c>
      <c r="CC50" s="522" t="n">
        <v>5121.91142022</v>
      </c>
      <c r="CD50" s="522" t="n">
        <v>211442.32500574</v>
      </c>
      <c r="CE50" s="522" t="n">
        <v>208944.82320764</v>
      </c>
      <c r="CF50" s="219" t="n">
        <v>0</v>
      </c>
      <c r="CG50" s="522" t="n">
        <v>0</v>
      </c>
      <c r="CH50" s="221" t="inlineStr">
        <is>
          <t>-</t>
        </is>
      </c>
      <c r="CI50" s="219" t="n">
        <v>21</v>
      </c>
      <c r="CJ50" s="219" t="n">
        <v>579465</v>
      </c>
      <c r="CK50" s="522" t="n">
        <v>4128.72311941</v>
      </c>
      <c r="CL50" s="522" t="n">
        <v>2603.58132223001</v>
      </c>
      <c r="CM50" s="522" t="n">
        <v>1525.14179718</v>
      </c>
      <c r="CN50" s="522" t="n">
        <v>214156.40079624</v>
      </c>
      <c r="CO50" s="522" t="n">
        <v>212838.71248725</v>
      </c>
      <c r="CP50" s="219" t="n">
        <v>0</v>
      </c>
      <c r="CQ50" s="522" t="n">
        <v>0</v>
      </c>
      <c r="CR50" s="221" t="inlineStr">
        <is>
          <t>-</t>
        </is>
      </c>
      <c r="CS50" s="219" t="n">
        <v>21</v>
      </c>
      <c r="CT50" s="219" t="n">
        <v>580979</v>
      </c>
      <c r="CU50" s="522" t="n">
        <v>3723.58611672001</v>
      </c>
      <c r="CV50" s="522" t="n">
        <v>11143.09127583</v>
      </c>
      <c r="CW50" s="522" t="n">
        <v>-7419.50515910999</v>
      </c>
      <c r="CX50" s="522" t="n">
        <v>207005.94555655</v>
      </c>
      <c r="CY50" s="522" t="n">
        <v>209245.39989184</v>
      </c>
      <c r="CZ50" s="219" t="n">
        <v>0</v>
      </c>
      <c r="DA50" s="522" t="n">
        <v>0</v>
      </c>
      <c r="DB50" s="222" t="inlineStr">
        <is>
          <t>-</t>
        </is>
      </c>
      <c r="DC50" s="223" t="n">
        <v>21</v>
      </c>
      <c r="DD50" s="223" t="n">
        <v>577039</v>
      </c>
      <c r="DE50" s="523" t="n">
        <v>1626.59835187999</v>
      </c>
      <c r="DF50" s="523" t="n">
        <v>13099.38999656</v>
      </c>
      <c r="DG50" s="523" t="n">
        <v>-11472.79164468</v>
      </c>
      <c r="DH50" s="523" t="n">
        <v>195400.06888728</v>
      </c>
      <c r="DI50" s="523" t="n">
        <v>201314.95437845</v>
      </c>
      <c r="DJ50" s="223" t="n">
        <v>0</v>
      </c>
      <c r="DK50" s="523" t="n">
        <v>0</v>
      </c>
      <c r="DL50" s="222" t="inlineStr">
        <is>
          <t>-</t>
        </is>
      </c>
      <c r="DM50" s="280">
        <f>S50+AC50+AM50+AW50+BG50+BQ50+CA50+CK50+CU50+DE50</f>
        <v/>
      </c>
      <c r="DN50" s="275">
        <f>U50+AE50+AO50+AY50+BI50+BS50+CC50+CM50+CW50+DG50</f>
        <v/>
      </c>
      <c r="DO50" s="222" t="inlineStr">
        <is>
          <t>-</t>
        </is>
      </c>
      <c r="DP50" s="226">
        <f>IFERROR((DE50-CU50)/CU50,"-")</f>
        <v/>
      </c>
      <c r="DQ50" s="226">
        <f>IFERROR((DG50-CW50)/CW50,"-")</f>
        <v/>
      </c>
      <c r="DR50" s="288">
        <f>IFERROR((DH50-CX50)/CX50,"-")</f>
        <v/>
      </c>
      <c r="DS50" s="223" t="n">
        <v>21</v>
      </c>
      <c r="DT50" s="223" t="n">
        <v>573786</v>
      </c>
      <c r="DU50" s="223" t="n">
        <v>1673.77810187</v>
      </c>
      <c r="DV50" s="223" t="n">
        <v>3975.92051263001</v>
      </c>
      <c r="DW50" s="223" t="n">
        <v>-2302.14241076</v>
      </c>
      <c r="DX50" s="223" t="n">
        <v>194780.95596255</v>
      </c>
      <c r="DY50" s="223" t="n">
        <v>194992.93282184</v>
      </c>
      <c r="DZ50" s="223" t="n">
        <v>0</v>
      </c>
      <c r="EA50" s="223" t="n">
        <v>0</v>
      </c>
      <c r="EB50" s="222" t="inlineStr">
        <is>
          <t>-</t>
        </is>
      </c>
      <c r="EC50" s="280">
        <f>S50+AC50+AM50+AW50+BG50+BQ50+CA50+CK50+CU50+DE50+DU50</f>
        <v/>
      </c>
      <c r="ED50" s="275">
        <f>U50+AE50+AO50+AY50+BI50+BS50+CC50+CM50+CW50+DG50+DW50</f>
        <v/>
      </c>
      <c r="EE50" s="222" t="inlineStr">
        <is>
          <t>-</t>
        </is>
      </c>
      <c r="EF50" s="226">
        <f>IFERROR((DU50-DE50)/DE50,"-")</f>
        <v/>
      </c>
      <c r="EG50" s="226">
        <f>IFERROR((DW50-DG50)/DG50,"-")</f>
        <v/>
      </c>
      <c r="EH50" s="288">
        <f>IFERROR((DX50-DH50)/DH50,"-")</f>
        <v/>
      </c>
      <c r="EI50" s="222" t="inlineStr">
        <is>
          <t>-</t>
        </is>
      </c>
      <c r="EJ50" s="223" t="n">
        <v>21</v>
      </c>
      <c r="EK50" s="223" t="n">
        <v>573401</v>
      </c>
      <c r="EL50" s="223" t="n">
        <v>8680.95297658999</v>
      </c>
      <c r="EM50" s="223" t="n">
        <v>23973.53936111</v>
      </c>
      <c r="EN50" s="223" t="n">
        <v>-15292.58638452</v>
      </c>
      <c r="EO50" s="223" t="n">
        <v>178430.60697247</v>
      </c>
      <c r="EP50" s="223" t="n">
        <v>186940.84361135</v>
      </c>
      <c r="EQ50" s="223" t="n">
        <v>0</v>
      </c>
      <c r="ER50" s="223" t="n">
        <v>0</v>
      </c>
      <c r="ES50" s="222" t="inlineStr">
        <is>
          <t>-</t>
        </is>
      </c>
      <c r="ET50" s="280">
        <f>S50+AC50+AM50+AW50+BG50+BQ50+CA50+CK50+CU50+DE50+DU50+EL50</f>
        <v/>
      </c>
      <c r="EU50" s="275">
        <f>U50+AE50+AO50+AY50+BI50+BS50+CC50+CM50+CW50+DG50+DW50+EN50</f>
        <v/>
      </c>
      <c r="EV50" s="222" t="inlineStr">
        <is>
          <t>-</t>
        </is>
      </c>
      <c r="EW50" s="300">
        <f>IFERROR((EL50-DU50)/DU50,"-")</f>
        <v/>
      </c>
      <c r="EX50" s="293">
        <f>IFERROR((EN50-DW50)/DW50,"-")</f>
        <v/>
      </c>
      <c r="EY50" s="288">
        <f>IFERROR((EO50-DX50)/DX50,"-")</f>
        <v/>
      </c>
    </row>
    <row r="51" hidden="1" outlineLevel="1">
      <c r="A51" s="181" t="inlineStr">
        <is>
          <t>Ultra Short Duration Fund</t>
        </is>
      </c>
      <c r="B51" s="182" t="inlineStr">
        <is>
          <t>Income/Debt Oriented Schemes</t>
        </is>
      </c>
      <c r="C51" s="182" t="inlineStr">
        <is>
          <t>Open ended Schemes</t>
        </is>
      </c>
      <c r="D51" s="182" t="inlineStr">
        <is>
          <t>Debt</t>
        </is>
      </c>
      <c r="E51" s="182" t="inlineStr">
        <is>
          <t>TD</t>
        </is>
      </c>
      <c r="F51" s="182" t="inlineStr">
        <is>
          <t>Active Debt (incl Hybrid)</t>
        </is>
      </c>
      <c r="G51" s="421" t="n"/>
      <c r="H51" s="421" t="n"/>
      <c r="I51" s="421" t="n"/>
      <c r="J51" s="421" t="n"/>
      <c r="K51" s="421">
        <f>IF(OR(I51="",J51=""),"",I51-J51)</f>
        <v/>
      </c>
      <c r="L51" s="183" t="n">
        <v>98541.79392059</v>
      </c>
      <c r="M51" s="183" t="n">
        <v>103614.95456268</v>
      </c>
      <c r="N51" s="421" t="n"/>
      <c r="O51" s="421" t="n"/>
      <c r="P51" s="184" t="inlineStr">
        <is>
          <t>-</t>
        </is>
      </c>
      <c r="Q51" s="232" t="n">
        <v>25</v>
      </c>
      <c r="R51" s="232" t="n">
        <v>672543</v>
      </c>
      <c r="S51" s="528" t="n">
        <v>41099.83000011</v>
      </c>
      <c r="T51" s="528" t="n">
        <v>14366.02169934</v>
      </c>
      <c r="U51" s="528" t="n">
        <v>26733.80830077</v>
      </c>
      <c r="V51" s="528" t="n">
        <v>126436.7044589</v>
      </c>
      <c r="W51" s="528" t="n">
        <v>114947.48547228</v>
      </c>
      <c r="X51" s="232" t="n">
        <v>0</v>
      </c>
      <c r="Y51" s="528" t="n">
        <v>0</v>
      </c>
      <c r="Z51" s="234" t="inlineStr">
        <is>
          <t>-</t>
        </is>
      </c>
      <c r="AA51" s="232" t="n">
        <v>25</v>
      </c>
      <c r="AB51" s="232" t="n">
        <v>695720</v>
      </c>
      <c r="AC51" s="528" t="n">
        <v>20775.121818</v>
      </c>
      <c r="AD51" s="528" t="n">
        <v>18927.5474764</v>
      </c>
      <c r="AE51" s="528" t="n">
        <v>1847.5743416</v>
      </c>
      <c r="AF51" s="528" t="n">
        <v>129109.99864276</v>
      </c>
      <c r="AG51" s="528" t="n">
        <v>128267.06667957</v>
      </c>
      <c r="AH51" s="232" t="n">
        <v>0</v>
      </c>
      <c r="AI51" s="528" t="n">
        <v>0</v>
      </c>
      <c r="AJ51" s="234" t="inlineStr">
        <is>
          <t>-</t>
        </is>
      </c>
      <c r="AK51" s="232" t="n">
        <v>25</v>
      </c>
      <c r="AL51" s="232" t="n">
        <v>718333</v>
      </c>
      <c r="AM51" s="528" t="n">
        <v>31480.34206052</v>
      </c>
      <c r="AN51" s="528" t="n">
        <v>28536.58100294</v>
      </c>
      <c r="AO51" s="528" t="n">
        <v>2943.76105757999</v>
      </c>
      <c r="AP51" s="528" t="n">
        <v>132827.31502891</v>
      </c>
      <c r="AQ51" s="528" t="n">
        <v>130140.43332136</v>
      </c>
      <c r="AR51" s="232" t="n">
        <v>0</v>
      </c>
      <c r="AS51" s="528" t="n">
        <v>0</v>
      </c>
      <c r="AT51" s="234" t="inlineStr">
        <is>
          <t>-</t>
        </is>
      </c>
      <c r="AU51" s="232" t="n">
        <v>25</v>
      </c>
      <c r="AV51" s="232" t="n">
        <v>724730</v>
      </c>
      <c r="AW51" s="528" t="n">
        <v>35894.96291432</v>
      </c>
      <c r="AX51" s="528" t="n">
        <v>33618.33848503</v>
      </c>
      <c r="AY51" s="528" t="n">
        <v>2276.62442929</v>
      </c>
      <c r="AZ51" s="528" t="n">
        <v>135868.21758363</v>
      </c>
      <c r="BA51" s="528" t="n">
        <v>135111.63352102</v>
      </c>
      <c r="BB51" s="232" t="n">
        <v>0</v>
      </c>
      <c r="BC51" s="528" t="n">
        <v>0</v>
      </c>
      <c r="BD51" s="234" t="inlineStr">
        <is>
          <t>-</t>
        </is>
      </c>
      <c r="BE51" s="232" t="n">
        <v>25</v>
      </c>
      <c r="BF51" s="232" t="n">
        <v>732657</v>
      </c>
      <c r="BG51" s="528" t="n">
        <v>22318.35246367</v>
      </c>
      <c r="BH51" s="528" t="n">
        <v>21944.82932613</v>
      </c>
      <c r="BI51" s="528" t="n">
        <v>373.523137540004</v>
      </c>
      <c r="BJ51" s="528" t="n">
        <v>136833.53667692</v>
      </c>
      <c r="BK51" s="528" t="n">
        <v>136704.26724756</v>
      </c>
      <c r="BL51" s="232" t="n">
        <v>0</v>
      </c>
      <c r="BM51" s="528" t="n">
        <v>0</v>
      </c>
      <c r="BN51" s="234" t="inlineStr">
        <is>
          <t>-</t>
        </is>
      </c>
      <c r="BO51" s="232" t="n">
        <v>25</v>
      </c>
      <c r="BP51" s="232" t="n">
        <v>735253</v>
      </c>
      <c r="BQ51" s="528" t="n">
        <v>22792.09711356</v>
      </c>
      <c r="BR51" s="528" t="n">
        <v>36397.75862624</v>
      </c>
      <c r="BS51" s="528" t="n">
        <v>-13605.66151268</v>
      </c>
      <c r="BT51" s="528" t="n">
        <v>123935.95614186</v>
      </c>
      <c r="BU51" s="528" t="n">
        <v>133900.20358605</v>
      </c>
      <c r="BV51" s="232" t="n">
        <v>0</v>
      </c>
      <c r="BW51" s="528" t="n">
        <v>0</v>
      </c>
      <c r="BX51" s="234" t="inlineStr">
        <is>
          <t>-</t>
        </is>
      </c>
      <c r="BY51" s="232" t="n">
        <v>25</v>
      </c>
      <c r="BZ51" s="232" t="n">
        <v>744239</v>
      </c>
      <c r="CA51" s="528" t="n">
        <v>37282.72590895</v>
      </c>
      <c r="CB51" s="528" t="n">
        <v>22216.0890708</v>
      </c>
      <c r="CC51" s="528" t="n">
        <v>15066.63683815</v>
      </c>
      <c r="CD51" s="528" t="n">
        <v>139715.14575925</v>
      </c>
      <c r="CE51" s="528" t="n">
        <v>134716.34386194</v>
      </c>
      <c r="CF51" s="232" t="n">
        <v>0</v>
      </c>
      <c r="CG51" s="528" t="n">
        <v>0</v>
      </c>
      <c r="CH51" s="234" t="inlineStr">
        <is>
          <t>-</t>
        </is>
      </c>
      <c r="CI51" s="232" t="n">
        <v>25</v>
      </c>
      <c r="CJ51" s="232" t="n">
        <v>763342</v>
      </c>
      <c r="CK51" s="528" t="n">
        <v>30363.09717227</v>
      </c>
      <c r="CL51" s="528" t="n">
        <v>22002.18767219</v>
      </c>
      <c r="CM51" s="528" t="n">
        <v>8360.909500080021</v>
      </c>
      <c r="CN51" s="528" t="n">
        <v>148782.98307932</v>
      </c>
      <c r="CO51" s="528" t="n">
        <v>143671.9780919</v>
      </c>
      <c r="CP51" s="232" t="n">
        <v>0</v>
      </c>
      <c r="CQ51" s="528" t="n">
        <v>0</v>
      </c>
      <c r="CR51" s="234" t="inlineStr">
        <is>
          <t>-</t>
        </is>
      </c>
      <c r="CS51" s="232" t="n">
        <v>25</v>
      </c>
      <c r="CT51" s="232" t="n">
        <v>766379</v>
      </c>
      <c r="CU51" s="528" t="n">
        <v>24881.02638754</v>
      </c>
      <c r="CV51" s="528" t="n">
        <v>42529.18159107</v>
      </c>
      <c r="CW51" s="528" t="n">
        <v>-17648.15520353</v>
      </c>
      <c r="CX51" s="528" t="n">
        <v>131827.25616552</v>
      </c>
      <c r="CY51" s="528" t="n">
        <v>146522.95734219</v>
      </c>
      <c r="CZ51" s="232" t="n">
        <v>0</v>
      </c>
      <c r="DA51" s="528" t="n">
        <v>0</v>
      </c>
      <c r="DB51" s="235" t="inlineStr">
        <is>
          <t>-</t>
        </is>
      </c>
      <c r="DC51" s="236" t="n">
        <v>25</v>
      </c>
      <c r="DD51" s="236" t="n">
        <v>768654</v>
      </c>
      <c r="DE51" s="529" t="n">
        <v>29442.04454707</v>
      </c>
      <c r="DF51" s="529" t="n">
        <v>29186.67588912</v>
      </c>
      <c r="DG51" s="529" t="n">
        <v>255.368657949963</v>
      </c>
      <c r="DH51" s="529" t="n">
        <v>132482.34510576</v>
      </c>
      <c r="DI51" s="529" t="n">
        <v>136859.04170287</v>
      </c>
      <c r="DJ51" s="236" t="n">
        <v>0</v>
      </c>
      <c r="DK51" s="529" t="n">
        <v>0</v>
      </c>
      <c r="DL51" s="235" t="inlineStr">
        <is>
          <t>-</t>
        </is>
      </c>
      <c r="DM51" s="281">
        <f>S51+AC51+AM51+AW51+BG51+BQ51+CA51+CK51+CU51+DE51</f>
        <v/>
      </c>
      <c r="DN51" s="286">
        <f>U51+AE51+AO51+AY51+BI51+BS51+CC51+CM51+CW51+DG51</f>
        <v/>
      </c>
      <c r="DO51" s="235" t="inlineStr">
        <is>
          <t>-</t>
        </is>
      </c>
      <c r="DP51" s="238">
        <f>IFERROR((DE51-CU51)/CU51,"-")</f>
        <v/>
      </c>
      <c r="DQ51" s="238">
        <f>IFERROR((DG51-CW51)/CW51,"-")</f>
        <v/>
      </c>
      <c r="DR51" s="290">
        <f>IFERROR((DH51-CX51)/CX51,"-")</f>
        <v/>
      </c>
      <c r="DS51" s="236" t="n">
        <v>25</v>
      </c>
      <c r="DT51" s="236" t="n">
        <v>778455</v>
      </c>
      <c r="DU51" s="236" t="n">
        <v>20712.48079753</v>
      </c>
      <c r="DV51" s="236" t="n">
        <v>25086.40842353</v>
      </c>
      <c r="DW51" s="236" t="n">
        <v>-4373.92762600002</v>
      </c>
      <c r="DX51" s="236" t="n">
        <v>127759.88080885</v>
      </c>
      <c r="DY51" s="236" t="n">
        <v>130179.26957476</v>
      </c>
      <c r="DZ51" s="236" t="n">
        <v>0</v>
      </c>
      <c r="EA51" s="236" t="n">
        <v>0</v>
      </c>
      <c r="EB51" s="235" t="inlineStr">
        <is>
          <t>-</t>
        </is>
      </c>
      <c r="EC51" s="281">
        <f>S51+AC51+AM51+AW51+BG51+BQ51+CA51+CK51+CU51+DE51+DU51</f>
        <v/>
      </c>
      <c r="ED51" s="286">
        <f>U51+AE51+AO51+AY51+BI51+BS51+CC51+CM51+CW51+DG51+DW51</f>
        <v/>
      </c>
      <c r="EE51" s="235" t="inlineStr">
        <is>
          <t>-</t>
        </is>
      </c>
      <c r="EF51" s="238">
        <f>IFERROR((DU51-DE51)/DE51,"-")</f>
        <v/>
      </c>
      <c r="EG51" s="238">
        <f>IFERROR((DW51-DG51)/DG51,"-")</f>
        <v/>
      </c>
      <c r="EH51" s="290">
        <f>IFERROR((DX51-DH51)/DH51,"-")</f>
        <v/>
      </c>
      <c r="EI51" s="235" t="inlineStr">
        <is>
          <t>-</t>
        </is>
      </c>
      <c r="EJ51" s="236" t="n">
        <v>25</v>
      </c>
      <c r="EK51" s="236" t="n">
        <v>777807</v>
      </c>
      <c r="EL51" s="236" t="n">
        <v>20523.24634517</v>
      </c>
      <c r="EM51" s="236" t="n">
        <v>36610.50094673</v>
      </c>
      <c r="EN51" s="236" t="n">
        <v>-16087.25460156</v>
      </c>
      <c r="EO51" s="236" t="n">
        <v>113339.57713626</v>
      </c>
      <c r="EP51" s="236" t="n">
        <v>121687.2460505</v>
      </c>
      <c r="EQ51" s="236" t="n">
        <v>0</v>
      </c>
      <c r="ER51" s="236" t="n">
        <v>0</v>
      </c>
      <c r="ES51" s="235" t="inlineStr">
        <is>
          <t>-</t>
        </is>
      </c>
      <c r="ET51" s="281">
        <f>S51+AC51+AM51+AW51+BG51+BQ51+CA51+CK51+CU51+DE51+DU51+EL51</f>
        <v/>
      </c>
      <c r="EU51" s="286">
        <f>U51+AE51+AO51+AY51+BI51+BS51+CC51+CM51+CW51+DG51+DW51+EN51</f>
        <v/>
      </c>
      <c r="EV51" s="235" t="inlineStr">
        <is>
          <t>-</t>
        </is>
      </c>
      <c r="EW51" s="302">
        <f>IFERROR((EL51-DU51)/DU51,"-")</f>
        <v/>
      </c>
      <c r="EX51" s="295">
        <f>IFERROR((EN51-DW51)/DW51,"-")</f>
        <v/>
      </c>
      <c r="EY51" s="290">
        <f>IFERROR((EO51-DX51)/DX51,"-")</f>
        <v/>
      </c>
    </row>
    <row r="52">
      <c r="A52" s="165" t="inlineStr">
        <is>
          <t>Total for Active Debt (incl Hybrid)</t>
        </is>
      </c>
      <c r="B52" s="194" t="n"/>
      <c r="C52" s="194" t="n"/>
      <c r="D52" s="194" t="n"/>
      <c r="E52" s="194" t="n"/>
      <c r="F52" s="194" t="n"/>
      <c r="G52" s="417">
        <f>SUM(G31:G51)</f>
        <v/>
      </c>
      <c r="H52" s="417">
        <f>SUM(H31:H51)</f>
        <v/>
      </c>
      <c r="I52" s="417">
        <f>SUM(I31:I51)</f>
        <v/>
      </c>
      <c r="J52" s="417">
        <f>SUM(J31:J51)</f>
        <v/>
      </c>
      <c r="K52" s="417">
        <f>SUM(K31:K51)</f>
        <v/>
      </c>
      <c r="L52" s="167">
        <f>SUM(L31:L51)</f>
        <v/>
      </c>
      <c r="M52" s="167">
        <f>SUM(M31:M51)</f>
        <v/>
      </c>
      <c r="N52" s="417">
        <f>SUM(N31:N51)</f>
        <v/>
      </c>
      <c r="O52" s="417">
        <f>SUM(O31:O51)</f>
        <v/>
      </c>
      <c r="P52" s="168" t="n"/>
      <c r="Q52" s="239">
        <f>SUM(Q31:Q51)</f>
        <v/>
      </c>
      <c r="R52" s="239">
        <f>SUM(R31:R51)</f>
        <v/>
      </c>
      <c r="S52" s="239">
        <f>SUM(S31:S51)</f>
        <v/>
      </c>
      <c r="T52" s="239">
        <f>SUM(T31:T51)</f>
        <v/>
      </c>
      <c r="U52" s="239">
        <f>SUM(U31:U51)</f>
        <v/>
      </c>
      <c r="V52" s="239">
        <f>SUM(V31:V51)</f>
        <v/>
      </c>
      <c r="W52" s="239">
        <f>SUM(W31:W51)</f>
        <v/>
      </c>
      <c r="X52" s="239">
        <f>SUM(X31:X51)</f>
        <v/>
      </c>
      <c r="Y52" s="239">
        <f>SUM(Y31:Y51)</f>
        <v/>
      </c>
      <c r="Z52" s="240" t="n"/>
      <c r="AA52" s="239">
        <f>SUM(AA31:AA51)</f>
        <v/>
      </c>
      <c r="AB52" s="239">
        <f>SUM(AB31:AB51)</f>
        <v/>
      </c>
      <c r="AC52" s="239">
        <f>SUM(AC31:AC51)</f>
        <v/>
      </c>
      <c r="AD52" s="239">
        <f>SUM(AD31:AD51)</f>
        <v/>
      </c>
      <c r="AE52" s="239">
        <f>SUM(AE31:AE51)</f>
        <v/>
      </c>
      <c r="AF52" s="239">
        <f>SUM(AF31:AF51)</f>
        <v/>
      </c>
      <c r="AG52" s="239">
        <f>SUM(AG31:AG51)</f>
        <v/>
      </c>
      <c r="AH52" s="239">
        <f>SUM(AH31:AH51)</f>
        <v/>
      </c>
      <c r="AI52" s="239">
        <f>SUM(AI31:AI51)</f>
        <v/>
      </c>
      <c r="AJ52" s="240" t="n"/>
      <c r="AK52" s="239">
        <f>SUM(AK31:AK51)</f>
        <v/>
      </c>
      <c r="AL52" s="239">
        <f>SUM(AL31:AL51)</f>
        <v/>
      </c>
      <c r="AM52" s="239">
        <f>SUM(AM31:AM51)</f>
        <v/>
      </c>
      <c r="AN52" s="239">
        <f>SUM(AN31:AN51)</f>
        <v/>
      </c>
      <c r="AO52" s="239">
        <f>SUM(AO31:AO51)</f>
        <v/>
      </c>
      <c r="AP52" s="239">
        <f>SUM(AP31:AP51)</f>
        <v/>
      </c>
      <c r="AQ52" s="239">
        <f>SUM(AQ31:AQ51)</f>
        <v/>
      </c>
      <c r="AR52" s="239">
        <f>SUM(AR31:AR51)</f>
        <v/>
      </c>
      <c r="AS52" s="239">
        <f>SUM(AS31:AS51)</f>
        <v/>
      </c>
      <c r="AT52" s="240" t="n"/>
      <c r="AU52" s="239">
        <f>SUM(AU31:AU51)</f>
        <v/>
      </c>
      <c r="AV52" s="239">
        <f>SUM(AV31:AV51)</f>
        <v/>
      </c>
      <c r="AW52" s="239">
        <f>SUM(AW31:AW51)</f>
        <v/>
      </c>
      <c r="AX52" s="239">
        <f>SUM(AX31:AX51)</f>
        <v/>
      </c>
      <c r="AY52" s="239">
        <f>SUM(AY31:AY51)</f>
        <v/>
      </c>
      <c r="AZ52" s="239">
        <f>SUM(AZ31:AZ51)</f>
        <v/>
      </c>
      <c r="BA52" s="239">
        <f>SUM(BA31:BA51)</f>
        <v/>
      </c>
      <c r="BB52" s="239">
        <f>SUM(BB31:BB51)</f>
        <v/>
      </c>
      <c r="BC52" s="239">
        <f>SUM(BC31:BC51)</f>
        <v/>
      </c>
      <c r="BD52" s="240" t="n"/>
      <c r="BE52" s="239">
        <f>SUM(BE31:BE51)</f>
        <v/>
      </c>
      <c r="BF52" s="239">
        <f>SUM(BF31:BF51)</f>
        <v/>
      </c>
      <c r="BG52" s="239">
        <f>SUM(BG31:BG51)</f>
        <v/>
      </c>
      <c r="BH52" s="239">
        <f>SUM(BH31:BH51)</f>
        <v/>
      </c>
      <c r="BI52" s="239">
        <f>SUM(BI31:BI51)</f>
        <v/>
      </c>
      <c r="BJ52" s="239">
        <f>SUM(BJ31:BJ51)</f>
        <v/>
      </c>
      <c r="BK52" s="239">
        <f>SUM(BK31:BK51)</f>
        <v/>
      </c>
      <c r="BL52" s="239">
        <f>SUM(BL31:BL51)</f>
        <v/>
      </c>
      <c r="BM52" s="239">
        <f>SUM(BM31:BM51)</f>
        <v/>
      </c>
      <c r="BN52" s="240" t="n"/>
      <c r="BO52" s="239">
        <f>SUM(BO31:BO51)</f>
        <v/>
      </c>
      <c r="BP52" s="239">
        <f>SUM(BP31:BP51)</f>
        <v/>
      </c>
      <c r="BQ52" s="239">
        <f>SUM(BQ31:BQ51)</f>
        <v/>
      </c>
      <c r="BR52" s="239">
        <f>SUM(BR31:BR51)</f>
        <v/>
      </c>
      <c r="BS52" s="239">
        <f>SUM(BS31:BS51)</f>
        <v/>
      </c>
      <c r="BT52" s="239">
        <f>SUM(BT31:BT51)</f>
        <v/>
      </c>
      <c r="BU52" s="239">
        <f>SUM(BU31:BU51)</f>
        <v/>
      </c>
      <c r="BV52" s="239">
        <f>SUM(BV31:BV51)</f>
        <v/>
      </c>
      <c r="BW52" s="239">
        <f>SUM(BW31:BW51)</f>
        <v/>
      </c>
      <c r="BX52" s="240" t="n"/>
      <c r="BY52" s="239">
        <f>SUM(BY31:BY51)</f>
        <v/>
      </c>
      <c r="BZ52" s="239">
        <f>SUM(BZ31:BZ51)</f>
        <v/>
      </c>
      <c r="CA52" s="239">
        <f>SUM(CA31:CA51)</f>
        <v/>
      </c>
      <c r="CB52" s="239">
        <f>SUM(CB31:CB51)</f>
        <v/>
      </c>
      <c r="CC52" s="239">
        <f>SUM(CC31:CC51)</f>
        <v/>
      </c>
      <c r="CD52" s="239">
        <f>SUM(CD31:CD51)</f>
        <v/>
      </c>
      <c r="CE52" s="239">
        <f>SUM(CE31:CE51)</f>
        <v/>
      </c>
      <c r="CF52" s="239">
        <f>SUM(CF31:CF51)</f>
        <v/>
      </c>
      <c r="CG52" s="239">
        <f>SUM(CG31:CG51)</f>
        <v/>
      </c>
      <c r="CH52" s="240" t="n"/>
      <c r="CI52" s="239">
        <f>SUM(CI31:CI51)</f>
        <v/>
      </c>
      <c r="CJ52" s="239">
        <f>SUM(CJ31:CJ51)</f>
        <v/>
      </c>
      <c r="CK52" s="239">
        <f>SUM(CK31:CK51)</f>
        <v/>
      </c>
      <c r="CL52" s="239">
        <f>SUM(CL31:CL51)</f>
        <v/>
      </c>
      <c r="CM52" s="239">
        <f>SUM(CM31:CM51)</f>
        <v/>
      </c>
      <c r="CN52" s="239">
        <f>SUM(CN31:CN51)</f>
        <v/>
      </c>
      <c r="CO52" s="239">
        <f>SUM(CO31:CO51)</f>
        <v/>
      </c>
      <c r="CP52" s="239">
        <f>SUM(CP31:CP51)</f>
        <v/>
      </c>
      <c r="CQ52" s="239">
        <f>SUM(CQ31:CQ51)</f>
        <v/>
      </c>
      <c r="CR52" s="240" t="n"/>
      <c r="CS52" s="239">
        <f>SUM(CS31:CS51)</f>
        <v/>
      </c>
      <c r="CT52" s="239">
        <f>SUM(CT31:CT51)</f>
        <v/>
      </c>
      <c r="CU52" s="239">
        <f>SUM(CU31:CU51)</f>
        <v/>
      </c>
      <c r="CV52" s="239">
        <f>SUM(CV31:CV51)</f>
        <v/>
      </c>
      <c r="CW52" s="239">
        <f>SUM(CW31:CW51)</f>
        <v/>
      </c>
      <c r="CX52" s="239">
        <f>SUM(CX31:CX51)</f>
        <v/>
      </c>
      <c r="CY52" s="239">
        <f>SUM(CY31:CY51)</f>
        <v/>
      </c>
      <c r="CZ52" s="239">
        <f>SUM(CZ31:CZ51)</f>
        <v/>
      </c>
      <c r="DA52" s="239">
        <f>SUM(DA31:DA51)</f>
        <v/>
      </c>
      <c r="DB52" s="241" t="n"/>
      <c r="DC52" s="242">
        <f>SUM(DC31:DC51)</f>
        <v/>
      </c>
      <c r="DD52" s="242">
        <f>SUM(DD31:DD51)</f>
        <v/>
      </c>
      <c r="DE52" s="242">
        <f>SUM(DE31:DE51)</f>
        <v/>
      </c>
      <c r="DF52" s="242">
        <f>SUM(DF31:DF51)</f>
        <v/>
      </c>
      <c r="DG52" s="242">
        <f>SUM(DG31:DG51)</f>
        <v/>
      </c>
      <c r="DH52" s="242">
        <f>SUM(DH31:DH51)</f>
        <v/>
      </c>
      <c r="DI52" s="242">
        <f>SUM(DI31:DI51)</f>
        <v/>
      </c>
      <c r="DJ52" s="242">
        <f>SUM(DJ31:DJ51)</f>
        <v/>
      </c>
      <c r="DK52" s="242">
        <f>SUM(DK31:DK51)</f>
        <v/>
      </c>
      <c r="DL52" s="241" t="n"/>
      <c r="DM52" s="307">
        <f>SUM(DM31:DM51)</f>
        <v/>
      </c>
      <c r="DN52" s="307">
        <f>SUM(DN31:DN51)</f>
        <v/>
      </c>
      <c r="DO52" s="241" t="n"/>
      <c r="DP52" s="530">
        <f>IFERROR((DE52-CU52)/CU52,"-")</f>
        <v/>
      </c>
      <c r="DQ52" s="530">
        <f>IFERROR((DG52-CW52)/CW52,"-")</f>
        <v/>
      </c>
      <c r="DR52" s="530">
        <f>IFERROR((DH52-CX52)/CX52,"-")</f>
        <v/>
      </c>
      <c r="DS52" s="242">
        <f>SUM(DS31:DS51)</f>
        <v/>
      </c>
      <c r="DT52" s="242">
        <f>SUM(DT31:DT51)</f>
        <v/>
      </c>
      <c r="DU52" s="242">
        <f>SUM(DU31:DU51)</f>
        <v/>
      </c>
      <c r="DV52" s="242">
        <f>SUM(DV31:DV51)</f>
        <v/>
      </c>
      <c r="DW52" s="242">
        <f>SUM(DW31:DW51)</f>
        <v/>
      </c>
      <c r="DX52" s="242">
        <f>SUM(DX31:DX51)</f>
        <v/>
      </c>
      <c r="DY52" s="242">
        <f>SUM(DY31:DY51)</f>
        <v/>
      </c>
      <c r="DZ52" s="242">
        <f>SUM(DZ31:DZ51)</f>
        <v/>
      </c>
      <c r="EA52" s="242">
        <f>SUM(EA31:EA51)</f>
        <v/>
      </c>
      <c r="EB52" s="241" t="n"/>
      <c r="EC52" s="307">
        <f>SUM(EC31:EC51)</f>
        <v/>
      </c>
      <c r="ED52" s="307">
        <f>SUM(ED31:ED51)</f>
        <v/>
      </c>
      <c r="EE52" s="241" t="n"/>
      <c r="EF52" s="530">
        <f>IFERROR((DU52-DE52)/DE52,"-")</f>
        <v/>
      </c>
      <c r="EG52" s="530">
        <f>IFERROR((DW52-DG52)/DG52,"-")</f>
        <v/>
      </c>
      <c r="EH52" s="530">
        <f>IFERROR((DX52-DH52)/DH52,"-")</f>
        <v/>
      </c>
      <c r="EI52" s="241" t="n"/>
      <c r="EJ52" s="242">
        <f>SUM(EJ31:EJ51)</f>
        <v/>
      </c>
      <c r="EK52" s="242">
        <f>SUM(EK31:EK51)</f>
        <v/>
      </c>
      <c r="EL52" s="242">
        <f>SUM(EL31:EL51)</f>
        <v/>
      </c>
      <c r="EM52" s="242">
        <f>SUM(EM31:EM51)</f>
        <v/>
      </c>
      <c r="EN52" s="242">
        <f>SUM(EN31:EN51)</f>
        <v/>
      </c>
      <c r="EO52" s="242">
        <f>SUM(EO31:EO51)</f>
        <v/>
      </c>
      <c r="EP52" s="242">
        <f>SUM(EP31:EP51)</f>
        <v/>
      </c>
      <c r="EQ52" s="242">
        <f>SUM(EQ31:EQ51)</f>
        <v/>
      </c>
      <c r="ER52" s="242">
        <f>SUM(ER31:ER51)</f>
        <v/>
      </c>
      <c r="ES52" s="241" t="n"/>
      <c r="ET52" s="307">
        <f>SUM(ET31:ET51)</f>
        <v/>
      </c>
      <c r="EU52" s="307">
        <f>SUM(EU31:EU51)</f>
        <v/>
      </c>
      <c r="EV52" s="241" t="n"/>
      <c r="EW52" s="530">
        <f>IFERROR((EL52-DU52)/DU52,"-")</f>
        <v/>
      </c>
      <c r="EX52" s="530">
        <f>IFERROR((EN52-DW52)/DW52,"-")</f>
        <v/>
      </c>
      <c r="EY52" s="530">
        <f>IFERROR((EO52-DX52)/DX52,"-")</f>
        <v/>
      </c>
    </row>
    <row r="53" collapsed="1">
      <c r="A53" s="185" t="inlineStr">
        <is>
          <t>Cash</t>
        </is>
      </c>
      <c r="B53" s="185" t="n"/>
      <c r="C53" s="185" t="n"/>
      <c r="D53" s="185" t="n"/>
      <c r="E53" s="185" t="n"/>
      <c r="F53" s="185" t="n"/>
      <c r="G53" s="418" t="n"/>
      <c r="H53" s="418" t="n"/>
      <c r="I53" s="418" t="n"/>
      <c r="J53" s="418" t="n"/>
      <c r="K53" s="418" t="n"/>
      <c r="L53" s="531" t="n"/>
      <c r="M53" s="531" t="n"/>
      <c r="N53" s="418" t="n"/>
      <c r="O53" s="418" t="n"/>
      <c r="P53" s="187" t="n"/>
      <c r="Q53" s="188" t="n"/>
      <c r="R53" s="188" t="n"/>
      <c r="S53" s="531" t="n"/>
      <c r="T53" s="531" t="n"/>
      <c r="U53" s="531" t="n"/>
      <c r="V53" s="531" t="n"/>
      <c r="W53" s="531" t="n"/>
      <c r="X53" s="188" t="n"/>
      <c r="Y53" s="531" t="n"/>
      <c r="Z53" s="187" t="n"/>
      <c r="AA53" s="188" t="n"/>
      <c r="AB53" s="188" t="n"/>
      <c r="AC53" s="531" t="n"/>
      <c r="AD53" s="531" t="n"/>
      <c r="AE53" s="531" t="n"/>
      <c r="AF53" s="531" t="n"/>
      <c r="AG53" s="531" t="n"/>
      <c r="AH53" s="188" t="n"/>
      <c r="AI53" s="531" t="n"/>
      <c r="AJ53" s="187" t="n"/>
      <c r="AK53" s="188" t="n"/>
      <c r="AL53" s="188" t="n"/>
      <c r="AM53" s="531" t="n"/>
      <c r="AN53" s="531" t="n"/>
      <c r="AO53" s="531" t="n"/>
      <c r="AP53" s="531" t="n"/>
      <c r="AQ53" s="531" t="n"/>
      <c r="AR53" s="188" t="n"/>
      <c r="AS53" s="531" t="n"/>
      <c r="AT53" s="187" t="n"/>
      <c r="AU53" s="188" t="n"/>
      <c r="AV53" s="188" t="n"/>
      <c r="AW53" s="531" t="n"/>
      <c r="AX53" s="531" t="n"/>
      <c r="AY53" s="531" t="n"/>
      <c r="AZ53" s="531" t="n"/>
      <c r="BA53" s="531" t="n"/>
      <c r="BB53" s="188" t="n"/>
      <c r="BC53" s="531" t="n"/>
      <c r="BD53" s="187" t="n"/>
      <c r="BE53" s="188" t="n"/>
      <c r="BF53" s="188" t="n"/>
      <c r="BG53" s="531" t="n"/>
      <c r="BH53" s="531" t="n"/>
      <c r="BI53" s="531" t="n"/>
      <c r="BJ53" s="531" t="n"/>
      <c r="BK53" s="531" t="n"/>
      <c r="BL53" s="188" t="n"/>
      <c r="BM53" s="531" t="n"/>
      <c r="BN53" s="187" t="n"/>
      <c r="BO53" s="188" t="n"/>
      <c r="BP53" s="188" t="n"/>
      <c r="BQ53" s="531" t="n"/>
      <c r="BR53" s="531" t="n"/>
      <c r="BS53" s="531" t="n"/>
      <c r="BT53" s="531" t="n"/>
      <c r="BU53" s="531" t="n"/>
      <c r="BV53" s="188" t="n"/>
      <c r="BW53" s="531" t="n"/>
      <c r="BX53" s="187" t="n"/>
      <c r="BY53" s="188" t="n"/>
      <c r="BZ53" s="188" t="n"/>
      <c r="CA53" s="531" t="n"/>
      <c r="CB53" s="531" t="n"/>
      <c r="CC53" s="531" t="n"/>
      <c r="CD53" s="531" t="n"/>
      <c r="CE53" s="531" t="n"/>
      <c r="CF53" s="188" t="n"/>
      <c r="CG53" s="531" t="n"/>
      <c r="CH53" s="187" t="n"/>
      <c r="CI53" s="188" t="n"/>
      <c r="CJ53" s="188" t="n"/>
      <c r="CK53" s="531" t="n"/>
      <c r="CL53" s="531" t="n"/>
      <c r="CM53" s="531" t="n"/>
      <c r="CN53" s="531" t="n"/>
      <c r="CO53" s="531" t="n"/>
      <c r="CP53" s="188" t="n"/>
      <c r="CQ53" s="531" t="n"/>
      <c r="CR53" s="187" t="n"/>
      <c r="CS53" s="188" t="n"/>
      <c r="CT53" s="188" t="n"/>
      <c r="CU53" s="531" t="n"/>
      <c r="CV53" s="531" t="n"/>
      <c r="CW53" s="531" t="n"/>
      <c r="CX53" s="531" t="n"/>
      <c r="CY53" s="531" t="n"/>
      <c r="CZ53" s="188" t="n"/>
      <c r="DA53" s="531" t="n"/>
      <c r="DB53" s="190" t="n"/>
      <c r="DC53" s="191" t="n"/>
      <c r="DD53" s="191" t="n"/>
      <c r="DE53" s="532" t="n"/>
      <c r="DF53" s="532" t="n"/>
      <c r="DG53" s="532" t="n"/>
      <c r="DH53" s="532" t="n"/>
      <c r="DI53" s="532" t="n"/>
      <c r="DJ53" s="191" t="n"/>
      <c r="DK53" s="532" t="n"/>
      <c r="DL53" s="190" t="n"/>
      <c r="DM53" s="193" t="n"/>
      <c r="DN53" s="193" t="n"/>
      <c r="DO53" s="190" t="n"/>
      <c r="DP53" s="193" t="n"/>
      <c r="DQ53" s="193" t="n"/>
      <c r="DR53" s="193" t="n"/>
      <c r="DS53" s="191" t="n"/>
      <c r="DT53" s="191" t="n"/>
      <c r="DU53" s="532" t="n"/>
      <c r="DV53" s="532" t="n"/>
      <c r="DW53" s="532" t="n"/>
      <c r="DX53" s="532" t="n"/>
      <c r="DY53" s="532" t="n"/>
      <c r="DZ53" s="191" t="n"/>
      <c r="EA53" s="532" t="n"/>
      <c r="EB53" s="190" t="n"/>
      <c r="EC53" s="193" t="n"/>
      <c r="ED53" s="193" t="n"/>
      <c r="EE53" s="190" t="n"/>
      <c r="EF53" s="193" t="n"/>
      <c r="EG53" s="193" t="n"/>
      <c r="EH53" s="193" t="n"/>
      <c r="EI53" s="190" t="n"/>
      <c r="EJ53" s="191" t="n"/>
      <c r="EK53" s="191" t="n"/>
      <c r="EL53" s="532" t="n"/>
      <c r="EM53" s="532" t="n"/>
      <c r="EN53" s="532" t="n"/>
      <c r="EO53" s="532" t="n"/>
      <c r="EP53" s="532" t="n"/>
      <c r="EQ53" s="191" t="n"/>
      <c r="ER53" s="532" t="n"/>
      <c r="ES53" s="190" t="n"/>
      <c r="ET53" s="193" t="n"/>
      <c r="EU53" s="193" t="n"/>
      <c r="EV53" s="190" t="n"/>
      <c r="EW53" s="193" t="n"/>
      <c r="EX53" s="193" t="n"/>
      <c r="EY53" s="193" t="n"/>
    </row>
    <row r="54" hidden="1" outlineLevel="1">
      <c r="A54" s="159" t="inlineStr">
        <is>
          <t>Liquid Fund</t>
        </is>
      </c>
      <c r="B54" s="160" t="inlineStr">
        <is>
          <t>Income/Debt Oriented Schemes</t>
        </is>
      </c>
      <c r="C54" s="160" t="inlineStr">
        <is>
          <t>Open ended Schemes</t>
        </is>
      </c>
      <c r="D54" s="160" t="inlineStr">
        <is>
          <t>Debt</t>
        </is>
      </c>
      <c r="E54" s="160" t="inlineStr">
        <is>
          <t>Cash</t>
        </is>
      </c>
      <c r="F54" s="160" t="inlineStr">
        <is>
          <t>Cash</t>
        </is>
      </c>
      <c r="G54" s="416" t="n"/>
      <c r="H54" s="416" t="n"/>
      <c r="I54" s="416" t="n"/>
      <c r="J54" s="416" t="n"/>
      <c r="K54" s="416">
        <f>IF(OR(I54="",J54=""),"",I54-J54)</f>
        <v/>
      </c>
      <c r="L54" s="169" t="n">
        <v>437773.93852362</v>
      </c>
      <c r="M54" s="169" t="n">
        <v>557784.93606428</v>
      </c>
      <c r="N54" s="416" t="n"/>
      <c r="O54" s="416" t="n"/>
      <c r="P54" s="162" t="inlineStr">
        <is>
          <t>-</t>
        </is>
      </c>
      <c r="Q54" s="219" t="n">
        <v>37</v>
      </c>
      <c r="R54" s="219" t="n">
        <v>1912584</v>
      </c>
      <c r="S54" s="219" t="n">
        <v>507349.89629727</v>
      </c>
      <c r="T54" s="219" t="n">
        <v>388693.45720794</v>
      </c>
      <c r="U54" s="219" t="n">
        <v>118656.43908933</v>
      </c>
      <c r="V54" s="219" t="n">
        <v>559824.18365416</v>
      </c>
      <c r="W54" s="219" t="n">
        <v>607582.90254445</v>
      </c>
      <c r="X54" s="219" t="n">
        <v>0</v>
      </c>
      <c r="Y54" s="219" t="n">
        <v>0</v>
      </c>
      <c r="Z54" s="221" t="inlineStr">
        <is>
          <t>-</t>
        </is>
      </c>
      <c r="AA54" s="219" t="n">
        <v>37</v>
      </c>
      <c r="AB54" s="219" t="n">
        <v>1941435</v>
      </c>
      <c r="AC54" s="219" t="n">
        <v>345272.11590764</v>
      </c>
      <c r="AD54" s="219" t="n">
        <v>385477.47560943</v>
      </c>
      <c r="AE54" s="219" t="n">
        <v>-40205.35970179</v>
      </c>
      <c r="AF54" s="219" t="n">
        <v>522714.52219131</v>
      </c>
      <c r="AG54" s="219" t="n">
        <v>568734.39075027</v>
      </c>
      <c r="AH54" s="219" t="n">
        <v>0</v>
      </c>
      <c r="AI54" s="219" t="n">
        <v>0</v>
      </c>
      <c r="AJ54" s="221" t="inlineStr">
        <is>
          <t>-</t>
        </is>
      </c>
      <c r="AK54" s="219" t="n">
        <v>38</v>
      </c>
      <c r="AL54" s="219" t="n">
        <v>1973815</v>
      </c>
      <c r="AM54" s="219" t="n">
        <v>503574.67716249</v>
      </c>
      <c r="AN54" s="219" t="n">
        <v>528770.7639962099</v>
      </c>
      <c r="AO54" s="219" t="n">
        <v>-25196.0868337201</v>
      </c>
      <c r="AP54" s="219" t="n">
        <v>499856.82495546</v>
      </c>
      <c r="AQ54" s="219" t="n">
        <v>584402.98813935</v>
      </c>
      <c r="AR54" s="219" t="n">
        <v>0</v>
      </c>
      <c r="AS54" s="219" t="n">
        <v>0</v>
      </c>
      <c r="AT54" s="221" t="inlineStr">
        <is>
          <t>-</t>
        </is>
      </c>
      <c r="AU54" s="219" t="n">
        <v>39</v>
      </c>
      <c r="AV54" s="219" t="n">
        <v>2082344</v>
      </c>
      <c r="AW54" s="219" t="n">
        <v>477544.05403212</v>
      </c>
      <c r="AX54" s="219" t="n">
        <v>438189.12075098</v>
      </c>
      <c r="AY54" s="219" t="n">
        <v>39354.9332811399</v>
      </c>
      <c r="AZ54" s="219" t="n">
        <v>542224.72076529</v>
      </c>
      <c r="BA54" s="219" t="n">
        <v>600208.97180331</v>
      </c>
      <c r="BB54" s="219" t="n">
        <v>0</v>
      </c>
      <c r="BC54" s="219" t="n">
        <v>0</v>
      </c>
      <c r="BD54" s="221" t="inlineStr">
        <is>
          <t>-</t>
        </is>
      </c>
      <c r="BE54" s="219" t="n">
        <v>39</v>
      </c>
      <c r="BF54" s="219" t="n">
        <v>2131349</v>
      </c>
      <c r="BG54" s="219" t="n">
        <v>347152.0206049</v>
      </c>
      <c r="BH54" s="219" t="n">
        <v>360502.07865161</v>
      </c>
      <c r="BI54" s="219" t="n">
        <v>-13350.0580467097</v>
      </c>
      <c r="BJ54" s="219" t="n">
        <v>531546.83270424</v>
      </c>
      <c r="BK54" s="219" t="n">
        <v>572499.66345118</v>
      </c>
      <c r="BL54" s="219" t="n">
        <v>0</v>
      </c>
      <c r="BM54" s="219" t="n">
        <v>0</v>
      </c>
      <c r="BN54" s="221" t="inlineStr">
        <is>
          <t>-</t>
        </is>
      </c>
      <c r="BO54" s="219" t="n">
        <v>39</v>
      </c>
      <c r="BP54" s="219" t="n">
        <v>2175269</v>
      </c>
      <c r="BQ54" s="219" t="n">
        <v>412040.99868299</v>
      </c>
      <c r="BR54" s="219" t="n">
        <v>478083.32351039</v>
      </c>
      <c r="BS54" s="219" t="n">
        <v>-66042.32482740001</v>
      </c>
      <c r="BT54" s="219" t="n">
        <v>467363.8116571</v>
      </c>
      <c r="BU54" s="219" t="n">
        <v>545880.11724302</v>
      </c>
      <c r="BV54" s="219" t="n">
        <v>0</v>
      </c>
      <c r="BW54" s="219" t="n">
        <v>0</v>
      </c>
      <c r="BX54" s="221" t="inlineStr">
        <is>
          <t>-</t>
        </is>
      </c>
      <c r="BY54" s="219" t="n">
        <v>40</v>
      </c>
      <c r="BZ54" s="219" t="n">
        <v>2278013</v>
      </c>
      <c r="CA54" s="219" t="n">
        <v>427684.69385958</v>
      </c>
      <c r="CB54" s="219" t="n">
        <v>338309.57526665</v>
      </c>
      <c r="CC54" s="219" t="n">
        <v>89375.11859293</v>
      </c>
      <c r="CD54" s="219" t="n">
        <v>559686.58269699</v>
      </c>
      <c r="CE54" s="219" t="n">
        <v>560718.30999825</v>
      </c>
      <c r="CF54" s="219" t="n">
        <v>0</v>
      </c>
      <c r="CG54" s="219" t="n">
        <v>0</v>
      </c>
      <c r="CH54" s="221" t="inlineStr">
        <is>
          <t>-</t>
        </is>
      </c>
      <c r="CI54" s="219" t="n">
        <v>41</v>
      </c>
      <c r="CJ54" s="219" t="n">
        <v>2377756</v>
      </c>
      <c r="CK54" s="219" t="n">
        <v>311162.79810906</v>
      </c>
      <c r="CL54" s="219" t="n">
        <v>325213.51457916</v>
      </c>
      <c r="CM54" s="219" t="n">
        <v>-14050.7164701</v>
      </c>
      <c r="CN54" s="219" t="n">
        <v>548393.27376255</v>
      </c>
      <c r="CO54" s="219" t="n">
        <v>576514.2776337001</v>
      </c>
      <c r="CP54" s="219" t="n">
        <v>0</v>
      </c>
      <c r="CQ54" s="219" t="n">
        <v>0</v>
      </c>
      <c r="CR54" s="221" t="inlineStr">
        <is>
          <t>-</t>
        </is>
      </c>
      <c r="CS54" s="219" t="n">
        <v>42</v>
      </c>
      <c r="CT54" s="219" t="n">
        <v>2435865</v>
      </c>
      <c r="CU54" s="219" t="n">
        <v>464668.90947591</v>
      </c>
      <c r="CV54" s="219" t="n">
        <v>511976.86440877</v>
      </c>
      <c r="CW54" s="219" t="n">
        <v>-47307.9549328601</v>
      </c>
      <c r="CX54" s="219" t="n">
        <v>503143.329116</v>
      </c>
      <c r="CY54" s="219" t="n">
        <v>575533.12761158</v>
      </c>
      <c r="CZ54" s="219" t="n">
        <v>0</v>
      </c>
      <c r="DA54" s="219" t="n">
        <v>0</v>
      </c>
      <c r="DB54" s="221" t="inlineStr">
        <is>
          <t>-</t>
        </is>
      </c>
      <c r="DC54" s="219" t="n">
        <v>42</v>
      </c>
      <c r="DD54" s="219" t="n">
        <v>2514436</v>
      </c>
      <c r="DE54" s="219" t="n">
        <v>408835.01635988</v>
      </c>
      <c r="DF54" s="219" t="n">
        <v>378153.46244703</v>
      </c>
      <c r="DG54" s="219" t="n">
        <v>30681.5539128496</v>
      </c>
      <c r="DH54" s="219" t="n">
        <v>536753.2067084101</v>
      </c>
      <c r="DI54" s="219" t="n">
        <v>565989.61702585</v>
      </c>
      <c r="DJ54" s="219" t="n">
        <v>0</v>
      </c>
      <c r="DK54" s="219" t="n">
        <v>0</v>
      </c>
      <c r="DL54" s="221" t="inlineStr">
        <is>
          <t>-</t>
        </is>
      </c>
      <c r="DM54" s="280">
        <f>S54+AC54+AM54+AW54+BG54+BQ54+CA54+CK54+CU54+DE54</f>
        <v/>
      </c>
      <c r="DN54" s="275">
        <f>U54+AE54+AO54+AY54+BI54+BS54+CC54+CM54+CW54+DG54</f>
        <v/>
      </c>
      <c r="DO54" s="221" t="inlineStr">
        <is>
          <t>-</t>
        </is>
      </c>
      <c r="DP54" s="226">
        <f>IFERROR((DE54-CU54)/CU54,"-")</f>
        <v/>
      </c>
      <c r="DQ54" s="226">
        <f>IFERROR((DG54-CW54)/CW54,"-")</f>
        <v/>
      </c>
      <c r="DR54" s="291">
        <f>IFERROR((DH54-CX54)/CX54,"-")</f>
        <v/>
      </c>
      <c r="DS54" s="219" t="n">
        <v>42</v>
      </c>
      <c r="DT54" s="219" t="n">
        <v>2616607</v>
      </c>
      <c r="DU54" s="219" t="n">
        <v>465477.844904041</v>
      </c>
      <c r="DV54" s="219" t="n">
        <v>406400.4508486</v>
      </c>
      <c r="DW54" s="219" t="n">
        <v>59077.394055441</v>
      </c>
      <c r="DX54" s="219" t="n">
        <v>598920.01863801</v>
      </c>
      <c r="DY54" s="219" t="n">
        <v>622413.14171652</v>
      </c>
      <c r="DZ54" s="219" t="n">
        <v>0</v>
      </c>
      <c r="EA54" s="219" t="n">
        <v>0</v>
      </c>
      <c r="EB54" s="221" t="inlineStr">
        <is>
          <t>-</t>
        </is>
      </c>
      <c r="EC54" s="280">
        <f>S54+AC54+AM54+AW54+BG54+BQ54+CA54+CK54+CU54+DE54+DU54</f>
        <v/>
      </c>
      <c r="ED54" s="275">
        <f>U54+AE54+AO54+AY54+BI54+BS54+CC54+CM54+CW54+DG54+DW54</f>
        <v/>
      </c>
      <c r="EE54" s="221" t="inlineStr">
        <is>
          <t>-</t>
        </is>
      </c>
      <c r="EF54" s="226">
        <f>IFERROR((DU54-DE54)/DE54,"-")</f>
        <v/>
      </c>
      <c r="EG54" s="226">
        <f>IFERROR((DW54-DG54)/DG54,"-")</f>
        <v/>
      </c>
      <c r="EH54" s="291">
        <f>IFERROR((DX54-DH54)/DH54,"-")</f>
        <v/>
      </c>
      <c r="EI54" s="221" t="inlineStr">
        <is>
          <t>-</t>
        </is>
      </c>
      <c r="EJ54" s="219" t="n">
        <v>42</v>
      </c>
      <c r="EK54" s="219" t="n">
        <v>2719972</v>
      </c>
      <c r="EL54" s="219" t="n">
        <v>455110.253786529</v>
      </c>
      <c r="EM54" s="219" t="n">
        <v>590097.8984465</v>
      </c>
      <c r="EN54" s="219" t="n">
        <v>-134987.644659971</v>
      </c>
      <c r="EO54" s="219" t="n">
        <v>466498.11049557</v>
      </c>
      <c r="EP54" s="219" t="n">
        <v>597067.86304204</v>
      </c>
      <c r="EQ54" s="219" t="n">
        <v>0</v>
      </c>
      <c r="ER54" s="219" t="n">
        <v>0</v>
      </c>
      <c r="ES54" s="221" t="inlineStr">
        <is>
          <t>-</t>
        </is>
      </c>
      <c r="ET54" s="280">
        <f>S54+AC54+AM54+AW54+BG54+BQ54+CA54+CK54+CU54+DE54+DU54+EL54</f>
        <v/>
      </c>
      <c r="EU54" s="275">
        <f>U54+AE54+AO54+AY54+BI54+BS54+CC54+CM54+CW54+DG54+DW54+EN54</f>
        <v/>
      </c>
      <c r="EV54" s="221" t="inlineStr">
        <is>
          <t>-</t>
        </is>
      </c>
      <c r="EW54" s="300">
        <f>IFERROR((EL54-DU54)/DU54,"-")</f>
        <v/>
      </c>
      <c r="EX54" s="293">
        <f>IFERROR((EN54-DW54)/DW54,"-")</f>
        <v/>
      </c>
      <c r="EY54" s="288">
        <f>IFERROR((EO54-DX54)/DX54,"-")</f>
        <v/>
      </c>
    </row>
    <row r="55" hidden="1" outlineLevel="1">
      <c r="A55" s="181" t="inlineStr">
        <is>
          <t>Overnight Fund</t>
        </is>
      </c>
      <c r="B55" s="182" t="inlineStr">
        <is>
          <t>Income/Debt Oriented Schemes</t>
        </is>
      </c>
      <c r="C55" s="182" t="inlineStr">
        <is>
          <t>Open ended Schemes</t>
        </is>
      </c>
      <c r="D55" s="182" t="inlineStr">
        <is>
          <t>Debt</t>
        </is>
      </c>
      <c r="E55" s="182" t="inlineStr">
        <is>
          <t>Cash</t>
        </is>
      </c>
      <c r="F55" s="182" t="inlineStr">
        <is>
          <t>Cash</t>
        </is>
      </c>
      <c r="G55" s="421" t="n"/>
      <c r="H55" s="421" t="n"/>
      <c r="I55" s="421" t="n"/>
      <c r="J55" s="421" t="n"/>
      <c r="K55" s="421">
        <f>IF(OR(I55="",J55=""),"",I55-J55)</f>
        <v/>
      </c>
      <c r="L55" s="533" t="n">
        <v>62458.42580651</v>
      </c>
      <c r="M55" s="533" t="n">
        <v>106086.49886455</v>
      </c>
      <c r="N55" s="421" t="n"/>
      <c r="O55" s="421" t="n"/>
      <c r="P55" s="184" t="inlineStr">
        <is>
          <t>-</t>
        </is>
      </c>
      <c r="Q55" s="232" t="n">
        <v>35</v>
      </c>
      <c r="R55" s="232" t="n">
        <v>651034</v>
      </c>
      <c r="S55" s="528" t="n">
        <v>452346.87828471</v>
      </c>
      <c r="T55" s="528" t="n">
        <v>428446.89943272</v>
      </c>
      <c r="U55" s="528" t="n">
        <v>23899.97885199</v>
      </c>
      <c r="V55" s="528" t="n">
        <v>86833.81559637999</v>
      </c>
      <c r="W55" s="528" t="n">
        <v>99610.67878713</v>
      </c>
      <c r="X55" s="232" t="n">
        <v>0</v>
      </c>
      <c r="Y55" s="528" t="n">
        <v>0</v>
      </c>
      <c r="Z55" s="234" t="inlineStr">
        <is>
          <t>-</t>
        </is>
      </c>
      <c r="AA55" s="232" t="n">
        <v>35</v>
      </c>
      <c r="AB55" s="232" t="n">
        <v>659424</v>
      </c>
      <c r="AC55" s="528" t="n">
        <v>452387.85098329</v>
      </c>
      <c r="AD55" s="528" t="n">
        <v>460507.88064892</v>
      </c>
      <c r="AE55" s="528" t="n">
        <v>-8120.02966563002</v>
      </c>
      <c r="AF55" s="528" t="n">
        <v>79184.25612239999</v>
      </c>
      <c r="AG55" s="528" t="n">
        <v>97396.63952693</v>
      </c>
      <c r="AH55" s="232" t="n">
        <v>0</v>
      </c>
      <c r="AI55" s="528" t="n">
        <v>0</v>
      </c>
      <c r="AJ55" s="234" t="inlineStr">
        <is>
          <t>-</t>
        </is>
      </c>
      <c r="AK55" s="232" t="n">
        <v>35</v>
      </c>
      <c r="AL55" s="232" t="n">
        <v>663083</v>
      </c>
      <c r="AM55" s="528" t="n">
        <v>569989.9642360701</v>
      </c>
      <c r="AN55" s="528" t="n">
        <v>578144.45800098</v>
      </c>
      <c r="AO55" s="528" t="n">
        <v>-8154.49376491015</v>
      </c>
      <c r="AP55" s="528" t="n">
        <v>71480.92978037</v>
      </c>
      <c r="AQ55" s="528" t="n">
        <v>104237.28277392</v>
      </c>
      <c r="AR55" s="232" t="n">
        <v>0</v>
      </c>
      <c r="AS55" s="528" t="n">
        <v>0</v>
      </c>
      <c r="AT55" s="234" t="inlineStr">
        <is>
          <t>-</t>
        </is>
      </c>
      <c r="AU55" s="232" t="n">
        <v>37</v>
      </c>
      <c r="AV55" s="232" t="n">
        <v>706888</v>
      </c>
      <c r="AW55" s="528" t="n">
        <v>602367.86494319</v>
      </c>
      <c r="AX55" s="528" t="n">
        <v>593502.2674167301</v>
      </c>
      <c r="AY55" s="528" t="n">
        <v>8865.597526460189</v>
      </c>
      <c r="AZ55" s="528" t="n">
        <v>80835.23982603999</v>
      </c>
      <c r="BA55" s="528" t="n">
        <v>108422.78047143</v>
      </c>
      <c r="BB55" s="232" t="n">
        <v>0</v>
      </c>
      <c r="BC55" s="528" t="n">
        <v>0</v>
      </c>
      <c r="BD55" s="234" t="inlineStr">
        <is>
          <t>-</t>
        </is>
      </c>
      <c r="BE55" s="232" t="n">
        <v>37</v>
      </c>
      <c r="BF55" s="232" t="n">
        <v>716620</v>
      </c>
      <c r="BG55" s="528" t="n">
        <v>514292.5784988</v>
      </c>
      <c r="BH55" s="528" t="n">
        <v>509341.73620696</v>
      </c>
      <c r="BI55" s="528" t="n">
        <v>4950.84229184035</v>
      </c>
      <c r="BJ55" s="528" t="n">
        <v>86296.88029226</v>
      </c>
      <c r="BK55" s="528" t="n">
        <v>113153.73656351</v>
      </c>
      <c r="BL55" s="232" t="n">
        <v>0</v>
      </c>
      <c r="BM55" s="528" t="n">
        <v>0</v>
      </c>
      <c r="BN55" s="234" t="inlineStr">
        <is>
          <t>-</t>
        </is>
      </c>
      <c r="BO55" s="232" t="n">
        <v>37</v>
      </c>
      <c r="BP55" s="232" t="n">
        <v>714717</v>
      </c>
      <c r="BQ55" s="528" t="n">
        <v>622708.80279545</v>
      </c>
      <c r="BR55" s="528" t="n">
        <v>618429.80339505</v>
      </c>
      <c r="BS55" s="528" t="n">
        <v>4278.99940039963</v>
      </c>
      <c r="BT55" s="528" t="n">
        <v>91096.03376336</v>
      </c>
      <c r="BU55" s="528" t="n">
        <v>117432.17587027</v>
      </c>
      <c r="BV55" s="232" t="n">
        <v>0</v>
      </c>
      <c r="BW55" s="528" t="n">
        <v>0</v>
      </c>
      <c r="BX55" s="234" t="inlineStr">
        <is>
          <t>-</t>
        </is>
      </c>
      <c r="BY55" s="232" t="n">
        <v>37</v>
      </c>
      <c r="BZ55" s="232" t="n">
        <v>717799</v>
      </c>
      <c r="CA55" s="528" t="n">
        <v>540213.2001689801</v>
      </c>
      <c r="CB55" s="528" t="n">
        <v>516162.62973972</v>
      </c>
      <c r="CC55" s="528" t="n">
        <v>24050.5704292599</v>
      </c>
      <c r="CD55" s="528" t="n">
        <v>115714.41874918</v>
      </c>
      <c r="CE55" s="528" t="n">
        <v>124242.74008349</v>
      </c>
      <c r="CF55" s="232" t="n">
        <v>0</v>
      </c>
      <c r="CG55" s="528" t="n">
        <v>0</v>
      </c>
      <c r="CH55" s="234" t="inlineStr">
        <is>
          <t>-</t>
        </is>
      </c>
      <c r="CI55" s="232" t="n">
        <v>37</v>
      </c>
      <c r="CJ55" s="232" t="n">
        <v>718743</v>
      </c>
      <c r="CK55" s="528" t="n">
        <v>490785.80569494</v>
      </c>
      <c r="CL55" s="528" t="n">
        <v>528410.33219357</v>
      </c>
      <c r="CM55" s="528" t="n">
        <v>-37624.5264986302</v>
      </c>
      <c r="CN55" s="528" t="n">
        <v>78584.32066704999</v>
      </c>
      <c r="CO55" s="528" t="n">
        <v>113503.26993687</v>
      </c>
      <c r="CP55" s="232" t="n">
        <v>0</v>
      </c>
      <c r="CQ55" s="528" t="n">
        <v>0</v>
      </c>
      <c r="CR55" s="234" t="inlineStr">
        <is>
          <t>-</t>
        </is>
      </c>
      <c r="CS55" s="232" t="n">
        <v>37</v>
      </c>
      <c r="CT55" s="232" t="n">
        <v>728222</v>
      </c>
      <c r="CU55" s="528" t="n">
        <v>699780.55665509</v>
      </c>
      <c r="CV55" s="528" t="n">
        <v>699526.30653444</v>
      </c>
      <c r="CW55" s="528" t="n">
        <v>254.250120650046</v>
      </c>
      <c r="CX55" s="528" t="n">
        <v>79367.82512757</v>
      </c>
      <c r="CY55" s="528" t="n">
        <v>117317.69078183</v>
      </c>
      <c r="CZ55" s="232" t="n">
        <v>0</v>
      </c>
      <c r="DA55" s="528" t="n">
        <v>0</v>
      </c>
      <c r="DB55" s="234" t="inlineStr">
        <is>
          <t>-</t>
        </is>
      </c>
      <c r="DC55" s="236" t="n">
        <v>37</v>
      </c>
      <c r="DD55" s="236" t="n">
        <v>734569</v>
      </c>
      <c r="DE55" s="529" t="n">
        <v>657098.1369712499</v>
      </c>
      <c r="DF55" s="529" t="n">
        <v>610818.08783477</v>
      </c>
      <c r="DG55" s="529" t="n">
        <v>46280.0491364803</v>
      </c>
      <c r="DH55" s="529" t="n">
        <v>126200.24577556</v>
      </c>
      <c r="DI55" s="529" t="n">
        <v>125565.39536273</v>
      </c>
      <c r="DJ55" s="236" t="n">
        <v>0</v>
      </c>
      <c r="DK55" s="529" t="n">
        <v>0</v>
      </c>
      <c r="DL55" s="234" t="inlineStr">
        <is>
          <t>-</t>
        </is>
      </c>
      <c r="DM55" s="282">
        <f>S55+AC55+AM55+AW55+BG55+BQ55+CA55+CK55+CU55+DE55</f>
        <v/>
      </c>
      <c r="DN55" s="534">
        <f>U55+AE55+AO55+AY55+BI55+BS55+CC55+CM55+CW55+DG55</f>
        <v/>
      </c>
      <c r="DO55" s="234" t="inlineStr">
        <is>
          <t>-</t>
        </is>
      </c>
      <c r="DP55" s="238">
        <f>IFERROR((DE55-CU55)/CU55,"-")</f>
        <v/>
      </c>
      <c r="DQ55" s="238">
        <f>IFERROR((DG55-CW55)/CW55,"-")</f>
        <v/>
      </c>
      <c r="DR55" s="290">
        <f>IFERROR((DH55-CX55)/CX55,"-")</f>
        <v/>
      </c>
      <c r="DS55" s="236" t="n">
        <v>37</v>
      </c>
      <c r="DT55" s="236" t="n">
        <v>739107</v>
      </c>
      <c r="DU55" s="529" t="n">
        <v>620852.8934149001</v>
      </c>
      <c r="DV55" s="529" t="n">
        <v>634859.10032516</v>
      </c>
      <c r="DW55" s="529" t="n">
        <v>-14006.20691026</v>
      </c>
      <c r="DX55" s="529" t="n">
        <v>112665.89510124</v>
      </c>
      <c r="DY55" s="529" t="n">
        <v>129717.2656173</v>
      </c>
      <c r="DZ55" s="236" t="n">
        <v>0</v>
      </c>
      <c r="EA55" s="529" t="n">
        <v>0</v>
      </c>
      <c r="EB55" s="234" t="inlineStr">
        <is>
          <t>-</t>
        </is>
      </c>
      <c r="EC55" s="282">
        <f>S55+AC55+AM55+AW55+BG55+BQ55+CA55+CK55+CU55+DE55+DU55</f>
        <v/>
      </c>
      <c r="ED55" s="534">
        <f>U55+AE55+AO55+AY55+BI55+BS55+CC55+CM55+CW55+DG55+DW55</f>
        <v/>
      </c>
      <c r="EE55" s="234" t="inlineStr">
        <is>
          <t>-</t>
        </is>
      </c>
      <c r="EF55" s="238">
        <f>IFERROR((DU55-DE55)/DE55,"-")</f>
        <v/>
      </c>
      <c r="EG55" s="238">
        <f>IFERROR((DW55-DG55)/DG55,"-")</f>
        <v/>
      </c>
      <c r="EH55" s="290">
        <f>IFERROR((DX55-DH55)/DH55,"-")</f>
        <v/>
      </c>
      <c r="EI55" s="234" t="inlineStr">
        <is>
          <t>-</t>
        </is>
      </c>
      <c r="EJ55" s="236" t="n">
        <v>37</v>
      </c>
      <c r="EK55" s="236" t="n">
        <v>744346</v>
      </c>
      <c r="EL55" s="529" t="n">
        <v>764530.5014154</v>
      </c>
      <c r="EM55" s="529" t="n">
        <v>804758.40072508</v>
      </c>
      <c r="EN55" s="529" t="n">
        <v>-40227.8993096799</v>
      </c>
      <c r="EO55" s="529" t="n">
        <v>73020.69262574</v>
      </c>
      <c r="EP55" s="529" t="n">
        <v>132873.15526106</v>
      </c>
      <c r="EQ55" s="236" t="n">
        <v>0</v>
      </c>
      <c r="ER55" s="529" t="n">
        <v>0</v>
      </c>
      <c r="ES55" s="234" t="inlineStr">
        <is>
          <t>-</t>
        </is>
      </c>
      <c r="ET55" s="282">
        <f>S55+AC55+AM55+AW55+BG55+BQ55+CA55+CK55+CU55+DE55+DU55+EL55</f>
        <v/>
      </c>
      <c r="EU55" s="534">
        <f>U55+AE55+AO55+AY55+BI55+BS55+CC55+CM55+CW55+DG55+DW55+EN55</f>
        <v/>
      </c>
      <c r="EV55" s="234" t="inlineStr">
        <is>
          <t>-</t>
        </is>
      </c>
      <c r="EW55" s="302">
        <f>IFERROR((EL55-DU55)/DU55,"-")</f>
        <v/>
      </c>
      <c r="EX55" s="295">
        <f>IFERROR((EN55-DW55)/DW55,"-")</f>
        <v/>
      </c>
      <c r="EY55" s="290">
        <f>IFERROR((EO55-DX55)/DX55,"-")</f>
        <v/>
      </c>
    </row>
    <row r="56" ht="12" customHeight="1">
      <c r="A56" s="165" t="inlineStr">
        <is>
          <t>Total for Cash</t>
        </is>
      </c>
      <c r="B56" s="194" t="n"/>
      <c r="C56" s="194" t="n"/>
      <c r="D56" s="194" t="n"/>
      <c r="E56" s="194" t="n"/>
      <c r="F56" s="194" t="n"/>
      <c r="G56" s="417">
        <f>SUM(G54:G55)</f>
        <v/>
      </c>
      <c r="H56" s="417">
        <f>SUM(H54:H55)</f>
        <v/>
      </c>
      <c r="I56" s="417">
        <f>SUM(I54:I55)</f>
        <v/>
      </c>
      <c r="J56" s="417">
        <f>SUM(J54:J55)</f>
        <v/>
      </c>
      <c r="K56" s="417">
        <f>SUM(K54:K55)</f>
        <v/>
      </c>
      <c r="L56" s="166">
        <f>SUM(L54:L55)</f>
        <v/>
      </c>
      <c r="M56" s="166">
        <f>SUM(M54:M55)</f>
        <v/>
      </c>
      <c r="N56" s="417">
        <f>SUM(N54:N55)</f>
        <v/>
      </c>
      <c r="O56" s="417">
        <f>SUM(O54:O55)</f>
        <v/>
      </c>
      <c r="P56" s="168" t="n"/>
      <c r="Q56" s="245">
        <f>SUM(Q54:Q55)</f>
        <v/>
      </c>
      <c r="R56" s="245">
        <f>SUM(R54:R55)</f>
        <v/>
      </c>
      <c r="S56" s="245">
        <f>SUM(S54:S55)</f>
        <v/>
      </c>
      <c r="T56" s="245">
        <f>SUM(T54:T55)</f>
        <v/>
      </c>
      <c r="U56" s="245">
        <f>SUM(U54:U55)</f>
        <v/>
      </c>
      <c r="V56" s="245">
        <f>SUM(V54:V55)</f>
        <v/>
      </c>
      <c r="W56" s="245">
        <f>SUM(W54:W55)</f>
        <v/>
      </c>
      <c r="X56" s="245">
        <f>SUM(X54:X55)</f>
        <v/>
      </c>
      <c r="Y56" s="245">
        <f>SUM(Y54:Y55)</f>
        <v/>
      </c>
      <c r="Z56" s="240" t="n"/>
      <c r="AA56" s="245">
        <f>SUM(AA54:AA55)</f>
        <v/>
      </c>
      <c r="AB56" s="245">
        <f>SUM(AB54:AB55)</f>
        <v/>
      </c>
      <c r="AC56" s="245">
        <f>SUM(AC54:AC55)</f>
        <v/>
      </c>
      <c r="AD56" s="245">
        <f>SUM(AD54:AD55)</f>
        <v/>
      </c>
      <c r="AE56" s="245">
        <f>SUM(AE54:AE55)</f>
        <v/>
      </c>
      <c r="AF56" s="245">
        <f>SUM(AF54:AF55)</f>
        <v/>
      </c>
      <c r="AG56" s="245">
        <f>SUM(AG54:AG55)</f>
        <v/>
      </c>
      <c r="AH56" s="245">
        <f>SUM(AH54:AH55)</f>
        <v/>
      </c>
      <c r="AI56" s="245">
        <f>SUM(AI54:AI55)</f>
        <v/>
      </c>
      <c r="AJ56" s="240" t="n"/>
      <c r="AK56" s="245">
        <f>SUM(AK54:AK55)</f>
        <v/>
      </c>
      <c r="AL56" s="245">
        <f>SUM(AL54:AL55)</f>
        <v/>
      </c>
      <c r="AM56" s="245">
        <f>SUM(AM54:AM55)</f>
        <v/>
      </c>
      <c r="AN56" s="245">
        <f>SUM(AN54:AN55)</f>
        <v/>
      </c>
      <c r="AO56" s="245">
        <f>SUM(AO54:AO55)</f>
        <v/>
      </c>
      <c r="AP56" s="245">
        <f>SUM(AP54:AP55)</f>
        <v/>
      </c>
      <c r="AQ56" s="245">
        <f>SUM(AQ54:AQ55)</f>
        <v/>
      </c>
      <c r="AR56" s="245">
        <f>SUM(AR54:AR55)</f>
        <v/>
      </c>
      <c r="AS56" s="245">
        <f>SUM(AS54:AS55)</f>
        <v/>
      </c>
      <c r="AT56" s="240" t="n"/>
      <c r="AU56" s="245">
        <f>SUM(AU54:AU55)</f>
        <v/>
      </c>
      <c r="AV56" s="245">
        <f>SUM(AV54:AV55)</f>
        <v/>
      </c>
      <c r="AW56" s="245">
        <f>SUM(AW54:AW55)</f>
        <v/>
      </c>
      <c r="AX56" s="245">
        <f>SUM(AX54:AX55)</f>
        <v/>
      </c>
      <c r="AY56" s="245">
        <f>SUM(AY54:AY55)</f>
        <v/>
      </c>
      <c r="AZ56" s="245">
        <f>SUM(AZ54:AZ55)</f>
        <v/>
      </c>
      <c r="BA56" s="245">
        <f>SUM(BA54:BA55)</f>
        <v/>
      </c>
      <c r="BB56" s="245">
        <f>SUM(BB54:BB55)</f>
        <v/>
      </c>
      <c r="BC56" s="245">
        <f>SUM(BC54:BC55)</f>
        <v/>
      </c>
      <c r="BD56" s="240" t="n"/>
      <c r="BE56" s="245">
        <f>SUM(BE54:BE55)</f>
        <v/>
      </c>
      <c r="BF56" s="245">
        <f>SUM(BF54:BF55)</f>
        <v/>
      </c>
      <c r="BG56" s="245">
        <f>SUM(BG54:BG55)</f>
        <v/>
      </c>
      <c r="BH56" s="245">
        <f>SUM(BH54:BH55)</f>
        <v/>
      </c>
      <c r="BI56" s="245">
        <f>SUM(BI54:BI55)</f>
        <v/>
      </c>
      <c r="BJ56" s="245">
        <f>SUM(BJ54:BJ55)</f>
        <v/>
      </c>
      <c r="BK56" s="245">
        <f>SUM(BK54:BK55)</f>
        <v/>
      </c>
      <c r="BL56" s="245">
        <f>SUM(BL54:BL55)</f>
        <v/>
      </c>
      <c r="BM56" s="245">
        <f>SUM(BM54:BM55)</f>
        <v/>
      </c>
      <c r="BN56" s="240" t="n"/>
      <c r="BO56" s="245">
        <f>SUM(BO54:BO55)</f>
        <v/>
      </c>
      <c r="BP56" s="245">
        <f>SUM(BP54:BP55)</f>
        <v/>
      </c>
      <c r="BQ56" s="245">
        <f>SUM(BQ54:BQ55)</f>
        <v/>
      </c>
      <c r="BR56" s="245">
        <f>SUM(BR54:BR55)</f>
        <v/>
      </c>
      <c r="BS56" s="245">
        <f>SUM(BS54:BS55)</f>
        <v/>
      </c>
      <c r="BT56" s="245">
        <f>SUM(BT54:BT55)</f>
        <v/>
      </c>
      <c r="BU56" s="245">
        <f>SUM(BU54:BU55)</f>
        <v/>
      </c>
      <c r="BV56" s="245">
        <f>SUM(BV54:BV55)</f>
        <v/>
      </c>
      <c r="BW56" s="245">
        <f>SUM(BW54:BW55)</f>
        <v/>
      </c>
      <c r="BX56" s="240" t="n"/>
      <c r="BY56" s="245">
        <f>SUM(BY54:BY55)</f>
        <v/>
      </c>
      <c r="BZ56" s="245">
        <f>SUM(BZ54:BZ55)</f>
        <v/>
      </c>
      <c r="CA56" s="245">
        <f>SUM(CA54:CA55)</f>
        <v/>
      </c>
      <c r="CB56" s="245">
        <f>SUM(CB54:CB55)</f>
        <v/>
      </c>
      <c r="CC56" s="245">
        <f>SUM(CC54:CC55)</f>
        <v/>
      </c>
      <c r="CD56" s="245">
        <f>SUM(CD54:CD55)</f>
        <v/>
      </c>
      <c r="CE56" s="245">
        <f>SUM(CE54:CE55)</f>
        <v/>
      </c>
      <c r="CF56" s="245">
        <f>SUM(CF54:CF55)</f>
        <v/>
      </c>
      <c r="CG56" s="245">
        <f>SUM(CG54:CG55)</f>
        <v/>
      </c>
      <c r="CH56" s="240" t="n"/>
      <c r="CI56" s="245">
        <f>SUM(CI54:CI55)</f>
        <v/>
      </c>
      <c r="CJ56" s="245">
        <f>SUM(CJ54:CJ55)</f>
        <v/>
      </c>
      <c r="CK56" s="245">
        <f>SUM(CK54:CK55)</f>
        <v/>
      </c>
      <c r="CL56" s="245">
        <f>SUM(CL54:CL55)</f>
        <v/>
      </c>
      <c r="CM56" s="245">
        <f>SUM(CM54:CM55)</f>
        <v/>
      </c>
      <c r="CN56" s="245">
        <f>SUM(CN54:CN55)</f>
        <v/>
      </c>
      <c r="CO56" s="245">
        <f>SUM(CO54:CO55)</f>
        <v/>
      </c>
      <c r="CP56" s="245">
        <f>SUM(CP54:CP55)</f>
        <v/>
      </c>
      <c r="CQ56" s="245">
        <f>SUM(CQ54:CQ55)</f>
        <v/>
      </c>
      <c r="CR56" s="240" t="n"/>
      <c r="CS56" s="245">
        <f>SUM(CS54:CS55)</f>
        <v/>
      </c>
      <c r="CT56" s="245">
        <f>SUM(CT54:CT55)</f>
        <v/>
      </c>
      <c r="CU56" s="245">
        <f>SUM(CU54:CU55)</f>
        <v/>
      </c>
      <c r="CV56" s="245">
        <f>SUM(CV54:CV55)</f>
        <v/>
      </c>
      <c r="CW56" s="245">
        <f>SUM(CW54:CW55)</f>
        <v/>
      </c>
      <c r="CX56" s="245">
        <f>SUM(CX54:CX55)</f>
        <v/>
      </c>
      <c r="CY56" s="245">
        <f>SUM(CY54:CY55)</f>
        <v/>
      </c>
      <c r="CZ56" s="245">
        <f>SUM(CZ54:CZ55)</f>
        <v/>
      </c>
      <c r="DA56" s="245">
        <f>SUM(DA54:DA55)</f>
        <v/>
      </c>
      <c r="DB56" s="240" t="n"/>
      <c r="DC56" s="245">
        <f>SUM(DC54:DC55)</f>
        <v/>
      </c>
      <c r="DD56" s="245">
        <f>SUM(DD54:DD55)</f>
        <v/>
      </c>
      <c r="DE56" s="245">
        <f>SUM(DE54:DE55)</f>
        <v/>
      </c>
      <c r="DF56" s="245">
        <f>SUM(DF54:DF55)</f>
        <v/>
      </c>
      <c r="DG56" s="245">
        <f>SUM(DG54:DG55)</f>
        <v/>
      </c>
      <c r="DH56" s="245">
        <f>SUM(DH54:DH55)</f>
        <v/>
      </c>
      <c r="DI56" s="245">
        <f>SUM(DI54:DI55)</f>
        <v/>
      </c>
      <c r="DJ56" s="245">
        <f>SUM(DJ54:DJ55)</f>
        <v/>
      </c>
      <c r="DK56" s="245">
        <f>SUM(DK54:DK55)</f>
        <v/>
      </c>
      <c r="DL56" s="240" t="n"/>
      <c r="DM56" s="241">
        <f>SUM(DM54:DM55)</f>
        <v/>
      </c>
      <c r="DN56" s="241">
        <f>SUM(DN54:DN55)</f>
        <v/>
      </c>
      <c r="DO56" s="240" t="n"/>
      <c r="DP56" s="535">
        <f>IFERROR((DE56-CU56)/CU56,"-")</f>
        <v/>
      </c>
      <c r="DQ56" s="535">
        <f>IFERROR((DG56-CW56)/CW56,"-")</f>
        <v/>
      </c>
      <c r="DR56" s="535">
        <f>IFERROR((DH56-CX56)/CX56,"-")</f>
        <v/>
      </c>
      <c r="DS56" s="245">
        <f>SUM(DS54:DS55)</f>
        <v/>
      </c>
      <c r="DT56" s="245">
        <f>SUM(DT54:DT55)</f>
        <v/>
      </c>
      <c r="DU56" s="245">
        <f>SUM(DU54:DU55)</f>
        <v/>
      </c>
      <c r="DV56" s="245">
        <f>SUM(DV54:DV55)</f>
        <v/>
      </c>
      <c r="DW56" s="245">
        <f>SUM(DW54:DW55)</f>
        <v/>
      </c>
      <c r="DX56" s="245">
        <f>SUM(DX54:DX55)</f>
        <v/>
      </c>
      <c r="DY56" s="245">
        <f>SUM(DY54:DY55)</f>
        <v/>
      </c>
      <c r="DZ56" s="245">
        <f>SUM(DZ54:DZ55)</f>
        <v/>
      </c>
      <c r="EA56" s="245">
        <f>SUM(EA54:EA55)</f>
        <v/>
      </c>
      <c r="EB56" s="240" t="n"/>
      <c r="EC56" s="241">
        <f>SUM(EC54:EC55)</f>
        <v/>
      </c>
      <c r="ED56" s="241">
        <f>SUM(ED54:ED55)</f>
        <v/>
      </c>
      <c r="EE56" s="240" t="n"/>
      <c r="EF56" s="535">
        <f>IFERROR((DU56-DE56)/DE56,"-")</f>
        <v/>
      </c>
      <c r="EG56" s="535">
        <f>IFERROR((DW56-DG56)/DG56,"-")</f>
        <v/>
      </c>
      <c r="EH56" s="535">
        <f>IFERROR((DX56-DH56)/DH56,"-")</f>
        <v/>
      </c>
      <c r="EI56" s="240" t="n"/>
      <c r="EJ56" s="245">
        <f>SUM(EJ54:EJ55)</f>
        <v/>
      </c>
      <c r="EK56" s="245">
        <f>SUM(EK54:EK55)</f>
        <v/>
      </c>
      <c r="EL56" s="245">
        <f>SUM(EL54:EL55)</f>
        <v/>
      </c>
      <c r="EM56" s="245">
        <f>SUM(EM54:EM55)</f>
        <v/>
      </c>
      <c r="EN56" s="245">
        <f>SUM(EN54:EN55)</f>
        <v/>
      </c>
      <c r="EO56" s="245">
        <f>SUM(EO54:EO55)</f>
        <v/>
      </c>
      <c r="EP56" s="245">
        <f>SUM(EP54:EP55)</f>
        <v/>
      </c>
      <c r="EQ56" s="245">
        <f>SUM(EQ54:EQ55)</f>
        <v/>
      </c>
      <c r="ER56" s="245">
        <f>SUM(ER54:ER55)</f>
        <v/>
      </c>
      <c r="ES56" s="240" t="n"/>
      <c r="ET56" s="241">
        <f>SUM(ET54:ET55)</f>
        <v/>
      </c>
      <c r="EU56" s="241">
        <f>SUM(EU54:EU55)</f>
        <v/>
      </c>
      <c r="EV56" s="240" t="n"/>
      <c r="EW56" s="535">
        <f>IFERROR((EL56-DU56)/DU56,"-")</f>
        <v/>
      </c>
      <c r="EX56" s="535">
        <f>IFERROR((EN56-DW56)/DW56,"-")</f>
        <v/>
      </c>
      <c r="EY56" s="535">
        <f>IFERROR((EO56-DX56)/DX56,"-")</f>
        <v/>
      </c>
    </row>
    <row r="57" collapsed="1" ht="12" customHeight="1">
      <c r="A57" s="185" t="inlineStr">
        <is>
          <t>Passive-E/D</t>
        </is>
      </c>
      <c r="B57" s="196" t="n"/>
      <c r="C57" s="196" t="n"/>
      <c r="D57" s="196" t="n"/>
      <c r="E57" s="196" t="n"/>
      <c r="F57" s="196" t="n"/>
      <c r="G57" s="418" t="n"/>
      <c r="H57" s="418" t="n"/>
      <c r="I57" s="418" t="n"/>
      <c r="J57" s="418" t="n"/>
      <c r="K57" s="418" t="n"/>
      <c r="L57" s="196" t="n"/>
      <c r="M57" s="196" t="n"/>
      <c r="N57" s="418" t="n"/>
      <c r="O57" s="418" t="n"/>
      <c r="P57" s="197" t="n"/>
      <c r="Q57" s="197" t="n"/>
      <c r="R57" s="197" t="n"/>
      <c r="S57" s="197" t="n"/>
      <c r="T57" s="197" t="n"/>
      <c r="U57" s="197" t="n"/>
      <c r="V57" s="197" t="n"/>
      <c r="W57" s="197" t="n"/>
      <c r="X57" s="197" t="n"/>
      <c r="Y57" s="197" t="n"/>
      <c r="Z57" s="197" t="n"/>
      <c r="AA57" s="197" t="n"/>
      <c r="AB57" s="197" t="n"/>
      <c r="AC57" s="197" t="n"/>
      <c r="AD57" s="197" t="n"/>
      <c r="AE57" s="197" t="n"/>
      <c r="AF57" s="197" t="n"/>
      <c r="AG57" s="197" t="n"/>
      <c r="AH57" s="197" t="n"/>
      <c r="AI57" s="197" t="n"/>
      <c r="AJ57" s="197" t="n"/>
      <c r="AK57" s="197" t="n"/>
      <c r="AL57" s="197" t="n"/>
      <c r="AM57" s="197" t="n"/>
      <c r="AN57" s="197" t="n"/>
      <c r="AO57" s="197" t="n"/>
      <c r="AP57" s="197" t="n"/>
      <c r="AQ57" s="197" t="n"/>
      <c r="AR57" s="197" t="n"/>
      <c r="AS57" s="197" t="n"/>
      <c r="AT57" s="197" t="n"/>
      <c r="AU57" s="197" t="n"/>
      <c r="AV57" s="197" t="n"/>
      <c r="AW57" s="197" t="n"/>
      <c r="AX57" s="197" t="n"/>
      <c r="AY57" s="197" t="n"/>
      <c r="AZ57" s="197" t="n"/>
      <c r="BA57" s="197" t="n"/>
      <c r="BB57" s="197" t="n"/>
      <c r="BC57" s="197" t="n"/>
      <c r="BD57" s="197" t="n"/>
      <c r="BE57" s="197" t="n"/>
      <c r="BF57" s="197" t="n"/>
      <c r="BG57" s="197" t="n"/>
      <c r="BH57" s="197" t="n"/>
      <c r="BI57" s="197" t="n"/>
      <c r="BJ57" s="197" t="n"/>
      <c r="BK57" s="197" t="n"/>
      <c r="BL57" s="197" t="n"/>
      <c r="BM57" s="197" t="n"/>
      <c r="BN57" s="197" t="n"/>
      <c r="BO57" s="197" t="n"/>
      <c r="BP57" s="197" t="n"/>
      <c r="BQ57" s="197" t="n"/>
      <c r="BR57" s="197" t="n"/>
      <c r="BS57" s="197" t="n"/>
      <c r="BT57" s="197" t="n"/>
      <c r="BU57" s="197" t="n"/>
      <c r="BV57" s="197" t="n"/>
      <c r="BW57" s="197" t="n"/>
      <c r="BX57" s="197" t="n"/>
      <c r="BY57" s="197" t="n"/>
      <c r="BZ57" s="197" t="n"/>
      <c r="CA57" s="197" t="n"/>
      <c r="CB57" s="197" t="n"/>
      <c r="CC57" s="197" t="n"/>
      <c r="CD57" s="197" t="n"/>
      <c r="CE57" s="197" t="n"/>
      <c r="CF57" s="197" t="n"/>
      <c r="CG57" s="197" t="n"/>
      <c r="CH57" s="197" t="n"/>
      <c r="CI57" s="197" t="n"/>
      <c r="CJ57" s="197" t="n"/>
      <c r="CK57" s="197" t="n"/>
      <c r="CL57" s="197" t="n"/>
      <c r="CM57" s="197" t="n"/>
      <c r="CN57" s="197" t="n"/>
      <c r="CO57" s="197" t="n"/>
      <c r="CP57" s="197" t="n"/>
      <c r="CQ57" s="197" t="n"/>
      <c r="CR57" s="197" t="n"/>
      <c r="CS57" s="196" t="n"/>
      <c r="CT57" s="196" t="n"/>
      <c r="CU57" s="196" t="n"/>
      <c r="CV57" s="196" t="n"/>
      <c r="CW57" s="196" t="n"/>
      <c r="CX57" s="196" t="n"/>
      <c r="CY57" s="196" t="n"/>
      <c r="CZ57" s="196" t="n"/>
      <c r="DA57" s="196" t="n"/>
      <c r="DB57" s="197" t="n"/>
      <c r="DC57" s="196" t="n"/>
      <c r="DD57" s="196" t="n"/>
      <c r="DE57" s="196" t="n"/>
      <c r="DF57" s="196" t="n"/>
      <c r="DG57" s="196" t="n"/>
      <c r="DH57" s="196" t="n"/>
      <c r="DI57" s="196" t="n"/>
      <c r="DJ57" s="196" t="n"/>
      <c r="DK57" s="196" t="n"/>
      <c r="DL57" s="197" t="n"/>
      <c r="DM57" s="414" t="n"/>
      <c r="DN57" s="414" t="n"/>
      <c r="DO57" s="197" t="n"/>
      <c r="DP57" s="536" t="n"/>
      <c r="DQ57" s="536" t="n"/>
      <c r="DR57" s="536" t="n"/>
      <c r="DS57" s="196" t="n"/>
      <c r="DT57" s="196" t="n"/>
      <c r="DU57" s="196" t="n"/>
      <c r="DV57" s="196" t="n"/>
      <c r="DW57" s="196" t="n"/>
      <c r="DX57" s="196" t="n"/>
      <c r="DY57" s="196" t="n"/>
      <c r="DZ57" s="196" t="n"/>
      <c r="EA57" s="196" t="n"/>
      <c r="EB57" s="197" t="n"/>
      <c r="EC57" s="414" t="n"/>
      <c r="ED57" s="414" t="n"/>
      <c r="EE57" s="197" t="n"/>
      <c r="EF57" s="536" t="n"/>
      <c r="EG57" s="536" t="n"/>
      <c r="EH57" s="536" t="n"/>
      <c r="EI57" s="197" t="n"/>
      <c r="EJ57" s="196" t="n"/>
      <c r="EK57" s="196" t="n"/>
      <c r="EL57" s="196" t="n"/>
      <c r="EM57" s="196" t="n"/>
      <c r="EN57" s="196" t="n"/>
      <c r="EO57" s="196" t="n"/>
      <c r="EP57" s="196" t="n"/>
      <c r="EQ57" s="196" t="n"/>
      <c r="ER57" s="196" t="n"/>
      <c r="ES57" s="197" t="n"/>
      <c r="ET57" s="414" t="n"/>
      <c r="EU57" s="414" t="n"/>
      <c r="EV57" s="197" t="n"/>
      <c r="EW57" s="536" t="n"/>
      <c r="EX57" s="536" t="n"/>
      <c r="EY57" s="536" t="n"/>
    </row>
    <row r="58" hidden="1" outlineLevel="1">
      <c r="A58" s="170" t="inlineStr">
        <is>
          <t>GOLD ETF</t>
        </is>
      </c>
      <c r="B58" s="160" t="inlineStr">
        <is>
          <t>Other Schemes</t>
        </is>
      </c>
      <c r="C58" s="160" t="inlineStr">
        <is>
          <t>Open ended Schemes</t>
        </is>
      </c>
      <c r="D58" s="160" t="inlineStr">
        <is>
          <t>Debt-ETF</t>
        </is>
      </c>
      <c r="E58" s="160" t="inlineStr">
        <is>
          <t>Debt-ETF</t>
        </is>
      </c>
      <c r="F58" s="160" t="inlineStr">
        <is>
          <t>Passive-E/D</t>
        </is>
      </c>
      <c r="G58" s="416" t="n"/>
      <c r="H58" s="416" t="n"/>
      <c r="I58" s="416" t="n"/>
      <c r="J58" s="416" t="n"/>
      <c r="K58" s="416">
        <f>IF(OR(I58="",J58=""),"",I58-J58)</f>
        <v/>
      </c>
      <c r="L58" s="537" t="n">
        <v>58887.99146981</v>
      </c>
      <c r="M58" s="537" t="n">
        <v>57101.28740112</v>
      </c>
      <c r="N58" s="416" t="n"/>
      <c r="O58" s="416" t="n"/>
      <c r="P58" s="162" t="inlineStr">
        <is>
          <t>-</t>
        </is>
      </c>
      <c r="Q58" s="247" t="n">
        <v>20</v>
      </c>
      <c r="R58" s="247" t="n">
        <v>7144848</v>
      </c>
      <c r="S58" s="538" t="n">
        <v>1663.2590498</v>
      </c>
      <c r="T58" s="538" t="n">
        <v>1669.0787759</v>
      </c>
      <c r="U58" s="538" t="n">
        <v>-5.81972610000003</v>
      </c>
      <c r="V58" s="538" t="n">
        <v>61422.19464526</v>
      </c>
      <c r="W58" s="538" t="n">
        <v>60631.36701374</v>
      </c>
      <c r="X58" s="219" t="n">
        <v>0</v>
      </c>
      <c r="Y58" s="219" t="n">
        <v>0</v>
      </c>
      <c r="Z58" s="221" t="inlineStr">
        <is>
          <t>-</t>
        </is>
      </c>
      <c r="AA58" s="247" t="n">
        <v>20</v>
      </c>
      <c r="AB58" s="247" t="n">
        <v>7368808</v>
      </c>
      <c r="AC58" s="538" t="n">
        <v>1266.1922899</v>
      </c>
      <c r="AD58" s="538" t="n">
        <v>974.2807452</v>
      </c>
      <c r="AE58" s="538" t="n">
        <v>291.9115447</v>
      </c>
      <c r="AF58" s="538" t="n">
        <v>62452.93589264</v>
      </c>
      <c r="AG58" s="538" t="n">
        <v>62124.92518729</v>
      </c>
      <c r="AH58" s="219" t="n">
        <v>0</v>
      </c>
      <c r="AI58" s="219" t="n">
        <v>0</v>
      </c>
      <c r="AJ58" s="221" t="inlineStr">
        <is>
          <t>-</t>
        </is>
      </c>
      <c r="AK58" s="247" t="n">
        <v>20</v>
      </c>
      <c r="AL58" s="247" t="n">
        <v>7654158</v>
      </c>
      <c r="AM58" s="538" t="n">
        <v>2368.9897559</v>
      </c>
      <c r="AN58" s="538" t="n">
        <v>288.1441202</v>
      </c>
      <c r="AO58" s="538" t="n">
        <v>2080.8456357</v>
      </c>
      <c r="AP58" s="538" t="n">
        <v>64777.22585041</v>
      </c>
      <c r="AQ58" s="538" t="n">
        <v>64833.42999959</v>
      </c>
      <c r="AR58" s="219" t="n">
        <v>0</v>
      </c>
      <c r="AS58" s="219" t="n">
        <v>0</v>
      </c>
      <c r="AT58" s="221" t="inlineStr">
        <is>
          <t>-</t>
        </is>
      </c>
      <c r="AU58" s="247" t="n">
        <v>21</v>
      </c>
      <c r="AV58" s="247" t="n">
        <v>7869544</v>
      </c>
      <c r="AW58" s="538" t="n">
        <v>1444.3175497</v>
      </c>
      <c r="AX58" s="538" t="n">
        <v>188.2230642</v>
      </c>
      <c r="AY58" s="538" t="n">
        <v>1256.0944855</v>
      </c>
      <c r="AZ58" s="538" t="n">
        <v>67634.5185222</v>
      </c>
      <c r="BA58" s="538" t="n">
        <v>66664.07388025</v>
      </c>
      <c r="BB58" s="219" t="n">
        <v>0</v>
      </c>
      <c r="BC58" s="219" t="n">
        <v>0</v>
      </c>
      <c r="BD58" s="221" t="inlineStr">
        <is>
          <t>-</t>
        </is>
      </c>
      <c r="BE58" s="247" t="n">
        <v>21</v>
      </c>
      <c r="BF58" s="247" t="n">
        <v>8033855</v>
      </c>
      <c r="BG58" s="538" t="n">
        <v>2334.2308077</v>
      </c>
      <c r="BH58" s="538" t="n">
        <v>144.7178775</v>
      </c>
      <c r="BI58" s="538" t="n">
        <v>2189.5129302</v>
      </c>
      <c r="BJ58" s="538" t="n">
        <v>72495.59670494001</v>
      </c>
      <c r="BK58" s="538" t="n">
        <v>69918.71608411</v>
      </c>
      <c r="BL58" s="219" t="n">
        <v>0</v>
      </c>
      <c r="BM58" s="219" t="n">
        <v>0</v>
      </c>
      <c r="BN58" s="221" t="inlineStr">
        <is>
          <t>-</t>
        </is>
      </c>
      <c r="BO58" s="247" t="n">
        <v>22</v>
      </c>
      <c r="BP58" s="247" t="n">
        <v>8663662</v>
      </c>
      <c r="BQ58" s="538" t="n">
        <v>8460.846153660001</v>
      </c>
      <c r="BR58" s="538" t="n">
        <v>97.71593196000001</v>
      </c>
      <c r="BS58" s="538" t="n">
        <v>8363.130221699999</v>
      </c>
      <c r="BT58" s="538" t="n">
        <v>90135.98388837</v>
      </c>
      <c r="BU58" s="538" t="n">
        <v>81700.39073638</v>
      </c>
      <c r="BV58" s="219" t="n">
        <v>0</v>
      </c>
      <c r="BW58" s="219" t="n">
        <v>0</v>
      </c>
      <c r="BX58" s="221" t="inlineStr">
        <is>
          <t>-</t>
        </is>
      </c>
      <c r="BY58" s="247" t="n">
        <v>22</v>
      </c>
      <c r="BZ58" s="247" t="n">
        <v>9575399</v>
      </c>
      <c r="CA58" s="538" t="n">
        <v>9898.634401200001</v>
      </c>
      <c r="CB58" s="538" t="n">
        <v>2155.444523</v>
      </c>
      <c r="CC58" s="538" t="n">
        <v>7743.1898782</v>
      </c>
      <c r="CD58" s="538" t="n">
        <v>102119.86345666</v>
      </c>
      <c r="CE58" s="538" t="n">
        <v>102088.98556689</v>
      </c>
      <c r="CF58" s="219" t="n">
        <v>0</v>
      </c>
      <c r="CG58" s="219" t="n">
        <v>0</v>
      </c>
      <c r="CH58" s="221" t="inlineStr">
        <is>
          <t>-</t>
        </is>
      </c>
      <c r="CI58" s="247" t="n">
        <v>23</v>
      </c>
      <c r="CJ58" s="247" t="n">
        <v>9784310</v>
      </c>
      <c r="CK58" s="538" t="n">
        <v>4137.60761543</v>
      </c>
      <c r="CL58" s="538" t="n">
        <v>395.81274115</v>
      </c>
      <c r="CM58" s="538" t="n">
        <v>3741.79487428</v>
      </c>
      <c r="CN58" s="538" t="n">
        <v>110517.75938486</v>
      </c>
      <c r="CO58" s="538" t="n">
        <v>106020.76040516</v>
      </c>
      <c r="CP58" s="219" t="n">
        <v>0</v>
      </c>
      <c r="CQ58" s="219" t="n">
        <v>0</v>
      </c>
      <c r="CR58" s="221" t="inlineStr">
        <is>
          <t>-</t>
        </is>
      </c>
      <c r="CS58" s="247" t="n">
        <v>25</v>
      </c>
      <c r="CT58" s="247" t="n">
        <v>10225561</v>
      </c>
      <c r="CU58" s="538" t="n">
        <v>11850.58781109</v>
      </c>
      <c r="CV58" s="538" t="n">
        <v>203.84816419</v>
      </c>
      <c r="CW58" s="538" t="n">
        <v>11646.7396469</v>
      </c>
      <c r="CX58" s="538" t="n">
        <v>127896.38428562</v>
      </c>
      <c r="CY58" s="538" t="n">
        <v>120867.21752365</v>
      </c>
      <c r="CZ58" s="219" t="n">
        <v>0</v>
      </c>
      <c r="DA58" s="219" t="n">
        <v>0</v>
      </c>
      <c r="DB58" s="221" t="inlineStr">
        <is>
          <t>-</t>
        </is>
      </c>
      <c r="DC58" s="247" t="n">
        <v>25</v>
      </c>
      <c r="DD58" s="247" t="n">
        <v>11437218</v>
      </c>
      <c r="DE58" s="538" t="n">
        <v>24351.57736374</v>
      </c>
      <c r="DF58" s="538" t="n">
        <v>311.6168897</v>
      </c>
      <c r="DG58" s="538" t="n">
        <v>24039.96047404</v>
      </c>
      <c r="DH58" s="538" t="n">
        <v>184276.95609375</v>
      </c>
      <c r="DI58" s="538" t="n">
        <v>150380.66235501</v>
      </c>
      <c r="DJ58" s="219" t="n">
        <v>0</v>
      </c>
      <c r="DK58" s="219" t="n">
        <v>0</v>
      </c>
      <c r="DL58" s="221" t="inlineStr">
        <is>
          <t>-</t>
        </is>
      </c>
      <c r="DM58" s="283">
        <f>S58+AC58+AM58+AW58+BG58+BQ58+CA58+CK58+CU58+DE58</f>
        <v/>
      </c>
      <c r="DN58" s="274">
        <f>U58+AE58+AO58+AY58+BI58+BS58+CC58+CM58+CW58+DG58</f>
        <v/>
      </c>
      <c r="DO58" s="221" t="inlineStr">
        <is>
          <t>-</t>
        </is>
      </c>
      <c r="DP58" s="219">
        <f>IFERROR((DE58-CU58)/CU58,"-")</f>
        <v/>
      </c>
      <c r="DQ58" s="219">
        <f>IFERROR((DG58-CW58)/CW58,"-")</f>
        <v/>
      </c>
      <c r="DR58" s="278">
        <f>IFERROR((DH58-CX58)/CX58,"-")</f>
        <v/>
      </c>
      <c r="DS58" s="247" t="n">
        <v>25</v>
      </c>
      <c r="DT58" s="247" t="n">
        <v>12089782</v>
      </c>
      <c r="DU58" s="538" t="n">
        <v>7755.19200791999</v>
      </c>
      <c r="DV58" s="538" t="n">
        <v>2500.23790165</v>
      </c>
      <c r="DW58" s="538" t="n">
        <v>5254.95410626999</v>
      </c>
      <c r="DX58" s="538" t="n">
        <v>183325.42977655</v>
      </c>
      <c r="DY58" s="538" t="n">
        <v>177591.04902517</v>
      </c>
      <c r="DZ58" s="219" t="n">
        <v>0</v>
      </c>
      <c r="EA58" s="219" t="n">
        <v>0</v>
      </c>
      <c r="EB58" s="221" t="inlineStr">
        <is>
          <t>-</t>
        </is>
      </c>
      <c r="EC58" s="283">
        <f>S58+AC58+AM58+AW58+BG58+BQ58+CA58+CK58+CU58+DE58+DU58</f>
        <v/>
      </c>
      <c r="ED58" s="274">
        <f>U58+AE58+AO58+AY58+BI58+BS58+CC58+CM58+CW58+DG58+DW58</f>
        <v/>
      </c>
      <c r="EE58" s="221" t="inlineStr">
        <is>
          <t>-</t>
        </is>
      </c>
      <c r="EF58" s="219">
        <f>IFERROR((DU58-DE58)/DE58,"-")</f>
        <v/>
      </c>
      <c r="EG58" s="219">
        <f>IFERROR((DW58-DG58)/DG58,"-")</f>
        <v/>
      </c>
      <c r="EH58" s="278">
        <f>IFERROR((DX58-DH58)/DH58,"-")</f>
        <v/>
      </c>
      <c r="EI58" s="221" t="inlineStr">
        <is>
          <t>-</t>
        </is>
      </c>
      <c r="EJ58" s="247" t="n">
        <v>26</v>
      </c>
      <c r="EK58" s="247" t="n">
        <v>12397731</v>
      </c>
      <c r="EL58" s="538" t="n">
        <v>5425.6035062</v>
      </c>
      <c r="EM58" s="538" t="n">
        <v>3159.92345958</v>
      </c>
      <c r="EN58" s="538" t="n">
        <v>2265.68004662</v>
      </c>
      <c r="EO58" s="538" t="n">
        <v>171468.35230968</v>
      </c>
      <c r="EP58" s="538" t="n">
        <v>178521.93050729</v>
      </c>
      <c r="EQ58" s="219" t="n">
        <v>0</v>
      </c>
      <c r="ER58" s="219" t="n">
        <v>0</v>
      </c>
      <c r="ES58" s="221" t="inlineStr">
        <is>
          <t>-</t>
        </is>
      </c>
      <c r="ET58" s="283">
        <f>S58+AC58+AM58+AW58+BG58+BQ58+CA58+CK58+CU58+DE58+DU58+EL58</f>
        <v/>
      </c>
      <c r="EU58" s="274">
        <f>U58+AE58+AO58+AY58+BI58+BS58+CC58+CM58+CW58+DG58+DW58+EN58</f>
        <v/>
      </c>
      <c r="EV58" s="221" t="inlineStr">
        <is>
          <t>-</t>
        </is>
      </c>
      <c r="EW58" s="303">
        <f>IFERROR((EL58-DU58)/DU58,"-")</f>
        <v/>
      </c>
      <c r="EX58" s="296">
        <f>IFERROR((EN58-DW58)/DW58,"-")</f>
        <v/>
      </c>
      <c r="EY58" s="278">
        <f>IFERROR((EO58-DX58)/DX58,"-")</f>
        <v/>
      </c>
    </row>
    <row r="59" hidden="1" outlineLevel="1">
      <c r="A59" s="172" t="inlineStr">
        <is>
          <t>Other ETFs</t>
        </is>
      </c>
      <c r="B59" s="160" t="inlineStr">
        <is>
          <t>Other Schemes</t>
        </is>
      </c>
      <c r="C59" s="160" t="inlineStr">
        <is>
          <t>Open ended Schemes</t>
        </is>
      </c>
      <c r="D59" s="160" t="inlineStr">
        <is>
          <t>Equity-ETF</t>
        </is>
      </c>
      <c r="E59" s="160" t="inlineStr">
        <is>
          <t>Equity-ETF</t>
        </is>
      </c>
      <c r="F59" s="160" t="inlineStr">
        <is>
          <t>Passive-E/D</t>
        </is>
      </c>
      <c r="G59" s="416" t="n"/>
      <c r="H59" s="416" t="n"/>
      <c r="I59" s="416" t="n"/>
      <c r="J59" s="416" t="n"/>
      <c r="K59" s="416">
        <f>IF(OR(I59="",J59=""),"",I59-J59)</f>
        <v/>
      </c>
      <c r="L59" s="173" t="n">
        <v>779630.18569931</v>
      </c>
      <c r="M59" s="173" t="n">
        <v>753854.49690951</v>
      </c>
      <c r="N59" s="416" t="n"/>
      <c r="O59" s="416" t="n"/>
      <c r="P59" s="162" t="inlineStr">
        <is>
          <t>-</t>
        </is>
      </c>
      <c r="Q59" s="225" t="n">
        <v>233</v>
      </c>
      <c r="R59" s="225" t="n">
        <v>20228722</v>
      </c>
      <c r="S59" s="225" t="n">
        <v>32840.78752134</v>
      </c>
      <c r="T59" s="225" t="n">
        <v>13784.12872992</v>
      </c>
      <c r="U59" s="225" t="n">
        <v>19056.65879142</v>
      </c>
      <c r="V59" s="225" t="n">
        <v>813120.652839</v>
      </c>
      <c r="W59" s="225" t="n">
        <v>785026.3103401</v>
      </c>
      <c r="X59" s="219" t="n">
        <v>0</v>
      </c>
      <c r="Y59" s="219" t="n">
        <v>0</v>
      </c>
      <c r="Z59" s="221" t="inlineStr">
        <is>
          <t>-</t>
        </is>
      </c>
      <c r="AA59" s="225" t="n">
        <v>240</v>
      </c>
      <c r="AB59" s="225" t="n">
        <v>20493330</v>
      </c>
      <c r="AC59" s="225" t="n">
        <v>18281.26533872</v>
      </c>
      <c r="AD59" s="225" t="n">
        <v>14194.45070613</v>
      </c>
      <c r="AE59" s="225" t="n">
        <v>4086.81463259</v>
      </c>
      <c r="AF59" s="225" t="n">
        <v>833965.8501908</v>
      </c>
      <c r="AG59" s="225" t="n">
        <v>826197.95298677</v>
      </c>
      <c r="AH59" s="219" t="n">
        <v>0</v>
      </c>
      <c r="AI59" s="219" t="n">
        <v>0</v>
      </c>
      <c r="AJ59" s="221" t="inlineStr">
        <is>
          <t>-</t>
        </is>
      </c>
      <c r="AK59" s="225" t="n">
        <v>246</v>
      </c>
      <c r="AL59" s="225" t="n">
        <v>20613868</v>
      </c>
      <c r="AM59" s="225" t="n">
        <v>16480.75774305</v>
      </c>
      <c r="AN59" s="225" t="n">
        <v>15636.33136378</v>
      </c>
      <c r="AO59" s="225" t="n">
        <v>844.42637927</v>
      </c>
      <c r="AP59" s="225" t="n">
        <v>859260.58904124</v>
      </c>
      <c r="AQ59" s="225" t="n">
        <v>843878.10686522</v>
      </c>
      <c r="AR59" s="219" t="n">
        <v>0</v>
      </c>
      <c r="AS59" s="219" t="n">
        <v>0</v>
      </c>
      <c r="AT59" s="221" t="inlineStr">
        <is>
          <t>-</t>
        </is>
      </c>
      <c r="AU59" s="225" t="n">
        <v>252</v>
      </c>
      <c r="AV59" s="225" t="n">
        <v>20810327</v>
      </c>
      <c r="AW59" s="225" t="n">
        <v>18136.0568436</v>
      </c>
      <c r="AX59" s="225" t="n">
        <v>13659.14441881</v>
      </c>
      <c r="AY59" s="225" t="n">
        <v>4476.91242479</v>
      </c>
      <c r="AZ59" s="225" t="n">
        <v>844401.98576881</v>
      </c>
      <c r="BA59" s="225" t="n">
        <v>852466.9415185601</v>
      </c>
      <c r="BB59" s="219" t="n">
        <v>0</v>
      </c>
      <c r="BC59" s="219" t="n">
        <v>0</v>
      </c>
      <c r="BD59" s="221" t="inlineStr">
        <is>
          <t>-</t>
        </is>
      </c>
      <c r="BE59" s="225" t="n">
        <v>258</v>
      </c>
      <c r="BF59" s="225" t="n">
        <v>21252597</v>
      </c>
      <c r="BG59" s="225" t="n">
        <v>15315.89250985</v>
      </c>
      <c r="BH59" s="225" t="n">
        <v>8071.77936465</v>
      </c>
      <c r="BI59" s="225" t="n">
        <v>7244.11314519999</v>
      </c>
      <c r="BJ59" s="225" t="n">
        <v>842201.47235244</v>
      </c>
      <c r="BK59" s="225" t="n">
        <v>846007.59189492</v>
      </c>
      <c r="BL59" s="219" t="n">
        <v>0</v>
      </c>
      <c r="BM59" s="219" t="n">
        <v>0</v>
      </c>
      <c r="BN59" s="221" t="inlineStr">
        <is>
          <t>-</t>
        </is>
      </c>
      <c r="BO59" s="225" t="n">
        <v>260</v>
      </c>
      <c r="BP59" s="225" t="n">
        <v>21740194</v>
      </c>
      <c r="BQ59" s="225" t="n">
        <v>20731.1746059</v>
      </c>
      <c r="BR59" s="225" t="n">
        <v>12580.38110474</v>
      </c>
      <c r="BS59" s="225" t="n">
        <v>8150.79350116</v>
      </c>
      <c r="BT59" s="225" t="n">
        <v>865687.55522619</v>
      </c>
      <c r="BU59" s="225" t="n">
        <v>866031.76950049</v>
      </c>
      <c r="BV59" s="219" t="n">
        <v>0</v>
      </c>
      <c r="BW59" s="219" t="n">
        <v>0</v>
      </c>
      <c r="BX59" s="221" t="inlineStr">
        <is>
          <t>-</t>
        </is>
      </c>
      <c r="BY59" s="225" t="n">
        <v>268</v>
      </c>
      <c r="BZ59" s="225" t="n">
        <v>22859737</v>
      </c>
      <c r="CA59" s="225" t="n">
        <v>22739.32323338</v>
      </c>
      <c r="CB59" s="225" t="n">
        <v>16557.62460047</v>
      </c>
      <c r="CC59" s="225" t="n">
        <v>6181.69863291002</v>
      </c>
      <c r="CD59" s="225" t="n">
        <v>908398.92463526</v>
      </c>
      <c r="CE59" s="225" t="n">
        <v>900452.505276</v>
      </c>
      <c r="CF59" s="219" t="n">
        <v>0</v>
      </c>
      <c r="CG59" s="219" t="n">
        <v>0</v>
      </c>
      <c r="CH59" s="221" t="inlineStr">
        <is>
          <t>-</t>
        </is>
      </c>
      <c r="CI59" s="225" t="n">
        <v>278</v>
      </c>
      <c r="CJ59" s="225" t="n">
        <v>23129290</v>
      </c>
      <c r="CK59" s="225" t="n">
        <v>18339.92516174</v>
      </c>
      <c r="CL59" s="225" t="n">
        <v>8619.18331745001</v>
      </c>
      <c r="CM59" s="225" t="n">
        <v>9720.74184428998</v>
      </c>
      <c r="CN59" s="225" t="n">
        <v>936137.6373647701</v>
      </c>
      <c r="CO59" s="225" t="n">
        <v>919060.94359673</v>
      </c>
      <c r="CP59" s="219" t="n">
        <v>0</v>
      </c>
      <c r="CQ59" s="219" t="n">
        <v>0</v>
      </c>
      <c r="CR59" s="221" t="inlineStr">
        <is>
          <t>-</t>
        </is>
      </c>
      <c r="CS59" s="225" t="n">
        <v>286</v>
      </c>
      <c r="CT59" s="225" t="n">
        <v>23969652</v>
      </c>
      <c r="CU59" s="225" t="n">
        <v>25716.54631898</v>
      </c>
      <c r="CV59" s="225" t="n">
        <v>12517.10892582</v>
      </c>
      <c r="CW59" s="225" t="n">
        <v>13199.43739316</v>
      </c>
      <c r="CX59" s="225" t="n">
        <v>966503.97067096</v>
      </c>
      <c r="CY59" s="225" t="n">
        <v>947036.17915982</v>
      </c>
      <c r="CZ59" s="219" t="n">
        <v>0</v>
      </c>
      <c r="DA59" s="219" t="n">
        <v>0</v>
      </c>
      <c r="DB59" s="221" t="inlineStr">
        <is>
          <t>-</t>
        </is>
      </c>
      <c r="DC59" s="225" t="n">
        <v>289</v>
      </c>
      <c r="DD59" s="225" t="n">
        <v>26057440</v>
      </c>
      <c r="DE59" s="225" t="n">
        <v>34387.69612044</v>
      </c>
      <c r="DF59" s="225" t="n">
        <v>19381.8304025</v>
      </c>
      <c r="DG59" s="225" t="n">
        <v>15005.86571794</v>
      </c>
      <c r="DH59" s="225" t="n">
        <v>997350.40860863</v>
      </c>
      <c r="DI59" s="225" t="n">
        <v>979921.32761106</v>
      </c>
      <c r="DJ59" s="219" t="n">
        <v>0</v>
      </c>
      <c r="DK59" s="219" t="n">
        <v>0</v>
      </c>
      <c r="DL59" s="221" t="inlineStr">
        <is>
          <t>-</t>
        </is>
      </c>
      <c r="DM59" s="283">
        <f>S59+AC59+AM59+AW59+BG59+BQ59+CA59+CK59+CU59+DE59</f>
        <v/>
      </c>
      <c r="DN59" s="274">
        <f>U59+AE59+AO59+AY59+BI59+BS59+CC59+CM59+CW59+DG59</f>
        <v/>
      </c>
      <c r="DO59" s="221" t="inlineStr">
        <is>
          <t>-</t>
        </is>
      </c>
      <c r="DP59" s="219">
        <f>IFERROR((DE59-CU59)/CU59,"-")</f>
        <v/>
      </c>
      <c r="DQ59" s="219">
        <f>IFERROR((DG59-CW59)/CW59,"-")</f>
        <v/>
      </c>
      <c r="DR59" s="278">
        <f>IFERROR((DH59-CX59)/CX59,"-")</f>
        <v/>
      </c>
      <c r="DS59" s="225" t="n">
        <v>296</v>
      </c>
      <c r="DT59" s="225" t="n">
        <v>27120892</v>
      </c>
      <c r="DU59" s="225" t="n">
        <v>25137.3275288</v>
      </c>
      <c r="DV59" s="225" t="n">
        <v>20650.17901056</v>
      </c>
      <c r="DW59" s="225" t="n">
        <v>4487.14851824002</v>
      </c>
      <c r="DX59" s="225" t="n">
        <v>976208.42512089</v>
      </c>
      <c r="DY59" s="225" t="n">
        <v>980273.32930154</v>
      </c>
      <c r="DZ59" s="219" t="n">
        <v>0</v>
      </c>
      <c r="EA59" s="219" t="n">
        <v>0</v>
      </c>
      <c r="EB59" s="221" t="inlineStr">
        <is>
          <t>-</t>
        </is>
      </c>
      <c r="EC59" s="283">
        <f>S59+AC59+AM59+AW59+BG59+BQ59+CA59+CK59+CU59+DE59+DU59</f>
        <v/>
      </c>
      <c r="ED59" s="274">
        <f>U59+AE59+AO59+AY59+BI59+BS59+CC59+CM59+CW59+DG59+DW59</f>
        <v/>
      </c>
      <c r="EE59" s="221" t="inlineStr">
        <is>
          <t>-</t>
        </is>
      </c>
      <c r="EF59" s="219">
        <f>IFERROR((DU59-DE59)/DE59,"-")</f>
        <v/>
      </c>
      <c r="EG59" s="219">
        <f>IFERROR((DW59-DG59)/DG59,"-")</f>
        <v/>
      </c>
      <c r="EH59" s="278">
        <f>IFERROR((DX59-DH59)/DH59,"-")</f>
        <v/>
      </c>
      <c r="EI59" s="221" t="inlineStr">
        <is>
          <t>-</t>
        </is>
      </c>
      <c r="EJ59" s="225" t="n">
        <v>302</v>
      </c>
      <c r="EK59" s="225" t="n">
        <v>27944219</v>
      </c>
      <c r="EL59" s="225" t="n">
        <v>44649.56972722</v>
      </c>
      <c r="EM59" s="225" t="n">
        <v>24847.15501228</v>
      </c>
      <c r="EN59" s="225" t="n">
        <v>19802.41471494</v>
      </c>
      <c r="EO59" s="225" t="n">
        <v>894644.26636462</v>
      </c>
      <c r="EP59" s="225" t="n">
        <v>930915.20194376</v>
      </c>
      <c r="EQ59" s="219" t="n">
        <v>0</v>
      </c>
      <c r="ER59" s="219" t="n">
        <v>0</v>
      </c>
      <c r="ES59" s="221" t="inlineStr">
        <is>
          <t>-</t>
        </is>
      </c>
      <c r="ET59" s="283">
        <f>S59+AC59+AM59+AW59+BG59+BQ59+CA59+CK59+CU59+DE59+DU59+EL59</f>
        <v/>
      </c>
      <c r="EU59" s="274">
        <f>U59+AE59+AO59+AY59+BI59+BS59+CC59+CM59+CW59+DG59+DW59+EN59</f>
        <v/>
      </c>
      <c r="EV59" s="221" t="inlineStr">
        <is>
          <t>-</t>
        </is>
      </c>
      <c r="EW59" s="303">
        <f>IFERROR((EL59-DU59)/DU59,"-")</f>
        <v/>
      </c>
      <c r="EX59" s="296">
        <f>IFERROR((EN59-DW59)/DW59,"-")</f>
        <v/>
      </c>
      <c r="EY59" s="278">
        <f>IFERROR((EO59-DX59)/DX59,"-")</f>
        <v/>
      </c>
    </row>
    <row r="60" hidden="1" outlineLevel="1">
      <c r="A60" s="199" t="inlineStr">
        <is>
          <t>Index Funds</t>
        </is>
      </c>
      <c r="B60" s="182" t="inlineStr">
        <is>
          <t>Other Schemes</t>
        </is>
      </c>
      <c r="C60" s="182" t="inlineStr">
        <is>
          <t>Open ended Schemes</t>
        </is>
      </c>
      <c r="D60" s="182" t="inlineStr">
        <is>
          <t>Index Funds</t>
        </is>
      </c>
      <c r="E60" s="182" t="inlineStr">
        <is>
          <t>Index Funds-E/D</t>
        </is>
      </c>
      <c r="F60" s="182" t="inlineStr">
        <is>
          <t>Passive-E/D</t>
        </is>
      </c>
      <c r="G60" s="421" t="n"/>
      <c r="H60" s="421" t="n"/>
      <c r="I60" s="421" t="n"/>
      <c r="J60" s="421" t="n"/>
      <c r="K60" s="421">
        <f>IF(OR(I60="",J60=""),"",I60-J60)</f>
        <v/>
      </c>
      <c r="L60" s="539" t="n">
        <v>283397.12510876</v>
      </c>
      <c r="M60" s="539" t="n">
        <v>276621.48471293</v>
      </c>
      <c r="N60" s="421" t="n"/>
      <c r="O60" s="421" t="n"/>
      <c r="P60" s="184" t="inlineStr">
        <is>
          <t>-</t>
        </is>
      </c>
      <c r="Q60" s="249" t="n">
        <v>309</v>
      </c>
      <c r="R60" s="249" t="n">
        <v>13142219</v>
      </c>
      <c r="S60" s="540" t="n">
        <v>8880.925218460001</v>
      </c>
      <c r="T60" s="540" t="n">
        <v>7325.48668853</v>
      </c>
      <c r="U60" s="540" t="n">
        <v>1555.43852993</v>
      </c>
      <c r="V60" s="540" t="n">
        <v>292205.90642052</v>
      </c>
      <c r="W60" s="540" t="n">
        <v>286063.23617967</v>
      </c>
      <c r="X60" s="232" t="n">
        <v>0</v>
      </c>
      <c r="Y60" s="232" t="n">
        <v>0</v>
      </c>
      <c r="Z60" s="234" t="inlineStr">
        <is>
          <t>-</t>
        </is>
      </c>
      <c r="AA60" s="249" t="n">
        <v>316</v>
      </c>
      <c r="AB60" s="249" t="n">
        <v>13234811</v>
      </c>
      <c r="AC60" s="540" t="n">
        <v>8578.58019169</v>
      </c>
      <c r="AD60" s="540" t="n">
        <v>7474.16001433</v>
      </c>
      <c r="AE60" s="540" t="n">
        <v>1104.42017736</v>
      </c>
      <c r="AF60" s="540" t="n">
        <v>300811.48274813</v>
      </c>
      <c r="AG60" s="540" t="n">
        <v>296889.6268577</v>
      </c>
      <c r="AH60" s="232" t="n">
        <v>0</v>
      </c>
      <c r="AI60" s="232" t="n">
        <v>0</v>
      </c>
      <c r="AJ60" s="234" t="inlineStr">
        <is>
          <t>-</t>
        </is>
      </c>
      <c r="AK60" s="249" t="n">
        <v>324</v>
      </c>
      <c r="AL60" s="249" t="n">
        <v>13498534</v>
      </c>
      <c r="AM60" s="540" t="n">
        <v>8041.9698718</v>
      </c>
      <c r="AN60" s="540" t="n">
        <v>6998.88330847</v>
      </c>
      <c r="AO60" s="540" t="n">
        <v>1043.08656333</v>
      </c>
      <c r="AP60" s="540" t="n">
        <v>308996.38662273</v>
      </c>
      <c r="AQ60" s="540" t="n">
        <v>304566.89408759</v>
      </c>
      <c r="AR60" s="232" t="n">
        <v>0</v>
      </c>
      <c r="AS60" s="232" t="n">
        <v>0</v>
      </c>
      <c r="AT60" s="234" t="inlineStr">
        <is>
          <t>-</t>
        </is>
      </c>
      <c r="AU60" s="249" t="n">
        <v>330</v>
      </c>
      <c r="AV60" s="249" t="n">
        <v>13698815</v>
      </c>
      <c r="AW60" s="540" t="n">
        <v>9229.247950200001</v>
      </c>
      <c r="AX60" s="540" t="n">
        <v>6899.37473794</v>
      </c>
      <c r="AY60" s="540" t="n">
        <v>2329.87321226</v>
      </c>
      <c r="AZ60" s="540" t="n">
        <v>305829.45866728</v>
      </c>
      <c r="BA60" s="540" t="n">
        <v>308319.11238421</v>
      </c>
      <c r="BB60" s="232" t="n">
        <v>0</v>
      </c>
      <c r="BC60" s="232" t="n">
        <v>0</v>
      </c>
      <c r="BD60" s="234" t="inlineStr">
        <is>
          <t>-</t>
        </is>
      </c>
      <c r="BE60" s="249" t="n">
        <v>341</v>
      </c>
      <c r="BF60" s="249" t="n">
        <v>13953213</v>
      </c>
      <c r="BG60" s="540" t="n">
        <v>7684.61883498</v>
      </c>
      <c r="BH60" s="540" t="n">
        <v>6182.04889243</v>
      </c>
      <c r="BI60" s="540" t="n">
        <v>1502.56994255</v>
      </c>
      <c r="BJ60" s="540" t="n">
        <v>304234.99076246</v>
      </c>
      <c r="BK60" s="540" t="n">
        <v>305471.68981967</v>
      </c>
      <c r="BL60" s="232" t="n">
        <v>0</v>
      </c>
      <c r="BM60" s="232" t="n">
        <v>0</v>
      </c>
      <c r="BN60" s="234" t="inlineStr">
        <is>
          <t>-</t>
        </is>
      </c>
      <c r="BO60" s="249" t="n">
        <v>344</v>
      </c>
      <c r="BP60" s="249" t="n">
        <v>14089501</v>
      </c>
      <c r="BQ60" s="540" t="n">
        <v>9066.096533600001</v>
      </c>
      <c r="BR60" s="540" t="n">
        <v>7485.4446908</v>
      </c>
      <c r="BS60" s="540" t="n">
        <v>1580.6518428</v>
      </c>
      <c r="BT60" s="540" t="n">
        <v>308893.41279822</v>
      </c>
      <c r="BU60" s="540" t="n">
        <v>310802.27239178</v>
      </c>
      <c r="BV60" s="232" t="n">
        <v>0</v>
      </c>
      <c r="BW60" s="232" t="n">
        <v>0</v>
      </c>
      <c r="BX60" s="234" t="inlineStr">
        <is>
          <t>-</t>
        </is>
      </c>
      <c r="BY60" s="249" t="n">
        <v>345</v>
      </c>
      <c r="BZ60" s="249" t="n">
        <v>14179440</v>
      </c>
      <c r="CA60" s="540" t="n">
        <v>9475.09019477</v>
      </c>
      <c r="CB60" s="540" t="n">
        <v>7545.6673567</v>
      </c>
      <c r="CC60" s="540" t="n">
        <v>1929.42283807001</v>
      </c>
      <c r="CD60" s="540" t="n">
        <v>320075.91746133</v>
      </c>
      <c r="CE60" s="540" t="n">
        <v>316924.74489379</v>
      </c>
      <c r="CF60" s="232" t="n">
        <v>0</v>
      </c>
      <c r="CG60" s="232" t="n">
        <v>0</v>
      </c>
      <c r="CH60" s="234" t="inlineStr">
        <is>
          <t>-</t>
        </is>
      </c>
      <c r="CI60" s="249" t="n">
        <v>348</v>
      </c>
      <c r="CJ60" s="249" t="n">
        <v>14338654</v>
      </c>
      <c r="CK60" s="540" t="n">
        <v>8701.84516676999</v>
      </c>
      <c r="CL60" s="540" t="n">
        <v>6975.03964279001</v>
      </c>
      <c r="CM60" s="540" t="n">
        <v>1726.80552397999</v>
      </c>
      <c r="CN60" s="540" t="n">
        <v>324848.00347473</v>
      </c>
      <c r="CO60" s="540" t="n">
        <v>322516.83930914</v>
      </c>
      <c r="CP60" s="232" t="n">
        <v>0</v>
      </c>
      <c r="CQ60" s="232" t="n">
        <v>0</v>
      </c>
      <c r="CR60" s="234" t="inlineStr">
        <is>
          <t>-</t>
        </is>
      </c>
      <c r="CS60" s="249" t="n">
        <v>352</v>
      </c>
      <c r="CT60" s="249" t="n">
        <v>14401091</v>
      </c>
      <c r="CU60" s="540" t="n">
        <v>10596.36559904</v>
      </c>
      <c r="CV60" s="540" t="n">
        <v>8865.86870882</v>
      </c>
      <c r="CW60" s="540" t="n">
        <v>1730.49689022</v>
      </c>
      <c r="CX60" s="540" t="n">
        <v>325821.39601515</v>
      </c>
      <c r="CY60" s="540" t="n">
        <v>323759.43324819</v>
      </c>
      <c r="CZ60" s="232" t="n">
        <v>0</v>
      </c>
      <c r="DA60" s="232" t="n">
        <v>0</v>
      </c>
      <c r="DB60" s="234" t="inlineStr">
        <is>
          <t>-</t>
        </is>
      </c>
      <c r="DC60" s="249" t="n">
        <v>354</v>
      </c>
      <c r="DD60" s="249" t="n">
        <v>14524940</v>
      </c>
      <c r="DE60" s="540" t="n">
        <v>8526.22221529001</v>
      </c>
      <c r="DF60" s="540" t="n">
        <v>8498.925395050001</v>
      </c>
      <c r="DG60" s="540" t="n">
        <v>27.2968202400079</v>
      </c>
      <c r="DH60" s="540" t="n">
        <v>320493.8634555</v>
      </c>
      <c r="DI60" s="540" t="n">
        <v>322963.6431282</v>
      </c>
      <c r="DJ60" s="232" t="n">
        <v>0</v>
      </c>
      <c r="DK60" s="232" t="n">
        <v>0</v>
      </c>
      <c r="DL60" s="234" t="inlineStr">
        <is>
          <t>-</t>
        </is>
      </c>
      <c r="DM60" s="284">
        <f>S60+AC60+AM60+AW60+BG60+BQ60+CA60+CK60+CU60+DE60</f>
        <v/>
      </c>
      <c r="DN60" s="287">
        <f>U60+AE60+AO60+AY60+BI60+BS60+CC60+CM60+CW60+DG60</f>
        <v/>
      </c>
      <c r="DO60" s="234" t="inlineStr">
        <is>
          <t>-</t>
        </is>
      </c>
      <c r="DP60" s="232">
        <f>IFERROR((DE60-CU60)/CU60,"-")</f>
        <v/>
      </c>
      <c r="DQ60" s="232">
        <f>IFERROR((DG60-CW60)/CW60,"-")</f>
        <v/>
      </c>
      <c r="DR60" s="292">
        <f>IFERROR((DH60-CX60)/CX60,"-")</f>
        <v/>
      </c>
      <c r="DS60" s="249" t="n">
        <v>356</v>
      </c>
      <c r="DT60" s="249" t="n">
        <v>14780965</v>
      </c>
      <c r="DU60" s="540" t="n">
        <v>10331.99240117</v>
      </c>
      <c r="DV60" s="540" t="n">
        <v>7098.55680127</v>
      </c>
      <c r="DW60" s="540" t="n">
        <v>3233.43559990001</v>
      </c>
      <c r="DX60" s="540" t="n">
        <v>324567.30240034</v>
      </c>
      <c r="DY60" s="540" t="n">
        <v>325079.04855401</v>
      </c>
      <c r="DZ60" s="232" t="n">
        <v>0</v>
      </c>
      <c r="EA60" s="232" t="n">
        <v>0</v>
      </c>
      <c r="EB60" s="234" t="inlineStr">
        <is>
          <t>-</t>
        </is>
      </c>
      <c r="EC60" s="284">
        <f>S60+AC60+AM60+AW60+BG60+BQ60+CA60+CK60+CU60+DE60+DU60</f>
        <v/>
      </c>
      <c r="ED60" s="287">
        <f>U60+AE60+AO60+AY60+BI60+BS60+CC60+CM60+CW60+DG60+DW60</f>
        <v/>
      </c>
      <c r="EE60" s="234" t="inlineStr">
        <is>
          <t>-</t>
        </is>
      </c>
      <c r="EF60" s="232">
        <f>IFERROR((DU60-DE60)/DE60,"-")</f>
        <v/>
      </c>
      <c r="EG60" s="232">
        <f>IFERROR((DW60-DG60)/DG60,"-")</f>
        <v/>
      </c>
      <c r="EH60" s="292">
        <f>IFERROR((DX60-DH60)/DH60,"-")</f>
        <v/>
      </c>
      <c r="EI60" s="234" t="inlineStr">
        <is>
          <t>-</t>
        </is>
      </c>
      <c r="EJ60" s="249" t="n">
        <v>360</v>
      </c>
      <c r="EK60" s="249" t="n">
        <v>15030991</v>
      </c>
      <c r="EL60" s="540" t="n">
        <v>18615.34607177</v>
      </c>
      <c r="EM60" s="540" t="n">
        <v>10446.58775511</v>
      </c>
      <c r="EN60" s="540" t="n">
        <v>8168.75831665999</v>
      </c>
      <c r="EO60" s="540" t="n">
        <v>307315.46174199</v>
      </c>
      <c r="EP60" s="540" t="n">
        <v>315059.6803944</v>
      </c>
      <c r="EQ60" s="232" t="n">
        <v>0</v>
      </c>
      <c r="ER60" s="232" t="n">
        <v>0</v>
      </c>
      <c r="ES60" s="234" t="inlineStr">
        <is>
          <t>-</t>
        </is>
      </c>
      <c r="ET60" s="284">
        <f>S60+AC60+AM60+AW60+BG60+BQ60+CA60+CK60+CU60+DE60+DU60+EL60</f>
        <v/>
      </c>
      <c r="EU60" s="287">
        <f>U60+AE60+AO60+AY60+BI60+BS60+CC60+CM60+CW60+DG60+DW60+EN60</f>
        <v/>
      </c>
      <c r="EV60" s="234" t="inlineStr">
        <is>
          <t>-</t>
        </is>
      </c>
      <c r="EW60" s="304">
        <f>IFERROR((EL60-DU60)/DU60,"-")</f>
        <v/>
      </c>
      <c r="EX60" s="297">
        <f>IFERROR((EN60-DW60)/DW60,"-")</f>
        <v/>
      </c>
      <c r="EY60" s="292">
        <f>IFERROR((EO60-DX60)/DX60,"-")</f>
        <v/>
      </c>
    </row>
    <row r="61">
      <c r="A61" s="174" t="inlineStr">
        <is>
          <t>Total for Passive-E/D</t>
        </is>
      </c>
      <c r="B61" s="201" t="n"/>
      <c r="C61" s="201" t="n"/>
      <c r="D61" s="201" t="n"/>
      <c r="E61" s="201" t="n"/>
      <c r="F61" s="201" t="n"/>
      <c r="G61" s="419">
        <f>SUM(G58:G60)</f>
        <v/>
      </c>
      <c r="H61" s="419">
        <f>SUM(H58:H60)</f>
        <v/>
      </c>
      <c r="I61" s="419">
        <f>SUM(I58:I60)</f>
        <v/>
      </c>
      <c r="J61" s="419">
        <f>SUM(J58:J60)</f>
        <v/>
      </c>
      <c r="K61" s="419">
        <f>SUM(K58:K60)</f>
        <v/>
      </c>
      <c r="L61" s="168">
        <f>SUM(L58:L60)</f>
        <v/>
      </c>
      <c r="M61" s="168">
        <f>SUM(M58:M60)</f>
        <v/>
      </c>
      <c r="N61" s="419">
        <f>SUM(N58:N60)</f>
        <v/>
      </c>
      <c r="O61" s="419">
        <f>SUM(O58:O60)</f>
        <v/>
      </c>
      <c r="P61" s="168" t="n"/>
      <c r="Q61" s="240">
        <f>SUM(Q58:Q60)</f>
        <v/>
      </c>
      <c r="R61" s="240">
        <f>SUM(R58:R60)</f>
        <v/>
      </c>
      <c r="S61" s="240">
        <f>SUM(S58:S60)</f>
        <v/>
      </c>
      <c r="T61" s="240">
        <f>SUM(T58:T60)</f>
        <v/>
      </c>
      <c r="U61" s="240">
        <f>SUM(U58:U60)</f>
        <v/>
      </c>
      <c r="V61" s="240">
        <f>SUM(V58:V60)</f>
        <v/>
      </c>
      <c r="W61" s="240">
        <f>SUM(W58:W60)</f>
        <v/>
      </c>
      <c r="X61" s="240">
        <f>SUM(X58:X60)</f>
        <v/>
      </c>
      <c r="Y61" s="240">
        <f>SUM(Y58:Y60)</f>
        <v/>
      </c>
      <c r="Z61" s="240" t="n"/>
      <c r="AA61" s="240">
        <f>SUM(AA58:AA60)</f>
        <v/>
      </c>
      <c r="AB61" s="240">
        <f>SUM(AB58:AB60)</f>
        <v/>
      </c>
      <c r="AC61" s="240">
        <f>SUM(AC58:AC60)</f>
        <v/>
      </c>
      <c r="AD61" s="240">
        <f>SUM(AD58:AD60)</f>
        <v/>
      </c>
      <c r="AE61" s="240">
        <f>SUM(AE58:AE60)</f>
        <v/>
      </c>
      <c r="AF61" s="240">
        <f>SUM(AF58:AF60)</f>
        <v/>
      </c>
      <c r="AG61" s="240">
        <f>SUM(AG58:AG60)</f>
        <v/>
      </c>
      <c r="AH61" s="240">
        <f>SUM(AH58:AH60)</f>
        <v/>
      </c>
      <c r="AI61" s="240">
        <f>SUM(AI58:AI60)</f>
        <v/>
      </c>
      <c r="AJ61" s="240" t="n"/>
      <c r="AK61" s="240">
        <f>SUM(AK58:AK60)</f>
        <v/>
      </c>
      <c r="AL61" s="240">
        <f>SUM(AL58:AL60)</f>
        <v/>
      </c>
      <c r="AM61" s="240">
        <f>SUM(AM58:AM60)</f>
        <v/>
      </c>
      <c r="AN61" s="240">
        <f>SUM(AN58:AN60)</f>
        <v/>
      </c>
      <c r="AO61" s="240">
        <f>SUM(AO58:AO60)</f>
        <v/>
      </c>
      <c r="AP61" s="240">
        <f>SUM(AP58:AP60)</f>
        <v/>
      </c>
      <c r="AQ61" s="240">
        <f>SUM(AQ58:AQ60)</f>
        <v/>
      </c>
      <c r="AR61" s="240">
        <f>SUM(AR58:AR60)</f>
        <v/>
      </c>
      <c r="AS61" s="240">
        <f>SUM(AS58:AS60)</f>
        <v/>
      </c>
      <c r="AT61" s="240" t="n"/>
      <c r="AU61" s="240">
        <f>SUM(AU58:AU60)</f>
        <v/>
      </c>
      <c r="AV61" s="240">
        <f>SUM(AV58:AV60)</f>
        <v/>
      </c>
      <c r="AW61" s="240">
        <f>SUM(AW58:AW60)</f>
        <v/>
      </c>
      <c r="AX61" s="240">
        <f>SUM(AX58:AX60)</f>
        <v/>
      </c>
      <c r="AY61" s="240">
        <f>SUM(AY58:AY60)</f>
        <v/>
      </c>
      <c r="AZ61" s="240">
        <f>SUM(AZ58:AZ60)</f>
        <v/>
      </c>
      <c r="BA61" s="240">
        <f>SUM(BA58:BA60)</f>
        <v/>
      </c>
      <c r="BB61" s="240">
        <f>SUM(BB58:BB60)</f>
        <v/>
      </c>
      <c r="BC61" s="240">
        <f>SUM(BC58:BC60)</f>
        <v/>
      </c>
      <c r="BD61" s="240" t="n"/>
      <c r="BE61" s="240">
        <f>SUM(BE58:BE60)</f>
        <v/>
      </c>
      <c r="BF61" s="240">
        <f>SUM(BF58:BF60)</f>
        <v/>
      </c>
      <c r="BG61" s="240">
        <f>SUM(BG58:BG60)</f>
        <v/>
      </c>
      <c r="BH61" s="240">
        <f>SUM(BH58:BH60)</f>
        <v/>
      </c>
      <c r="BI61" s="240">
        <f>SUM(BI58:BI60)</f>
        <v/>
      </c>
      <c r="BJ61" s="240">
        <f>SUM(BJ58:BJ60)</f>
        <v/>
      </c>
      <c r="BK61" s="240">
        <f>SUM(BK58:BK60)</f>
        <v/>
      </c>
      <c r="BL61" s="240">
        <f>SUM(BL58:BL60)</f>
        <v/>
      </c>
      <c r="BM61" s="240">
        <f>SUM(BM58:BM60)</f>
        <v/>
      </c>
      <c r="BN61" s="240" t="n"/>
      <c r="BO61" s="240">
        <f>SUM(BO58:BO60)</f>
        <v/>
      </c>
      <c r="BP61" s="240">
        <f>SUM(BP58:BP60)</f>
        <v/>
      </c>
      <c r="BQ61" s="240">
        <f>SUM(BQ58:BQ60)</f>
        <v/>
      </c>
      <c r="BR61" s="240">
        <f>SUM(BR58:BR60)</f>
        <v/>
      </c>
      <c r="BS61" s="240">
        <f>SUM(BS58:BS60)</f>
        <v/>
      </c>
      <c r="BT61" s="240">
        <f>SUM(BT58:BT60)</f>
        <v/>
      </c>
      <c r="BU61" s="240">
        <f>SUM(BU58:BU60)</f>
        <v/>
      </c>
      <c r="BV61" s="240">
        <f>SUM(BV58:BV60)</f>
        <v/>
      </c>
      <c r="BW61" s="240">
        <f>SUM(BW58:BW60)</f>
        <v/>
      </c>
      <c r="BX61" s="240" t="n"/>
      <c r="BY61" s="240">
        <f>SUM(BY58:BY60)</f>
        <v/>
      </c>
      <c r="BZ61" s="240">
        <f>SUM(BZ58:BZ60)</f>
        <v/>
      </c>
      <c r="CA61" s="240">
        <f>SUM(CA58:CA60)</f>
        <v/>
      </c>
      <c r="CB61" s="240">
        <f>SUM(CB58:CB60)</f>
        <v/>
      </c>
      <c r="CC61" s="240">
        <f>SUM(CC58:CC60)</f>
        <v/>
      </c>
      <c r="CD61" s="240">
        <f>SUM(CD58:CD60)</f>
        <v/>
      </c>
      <c r="CE61" s="240">
        <f>SUM(CE58:CE60)</f>
        <v/>
      </c>
      <c r="CF61" s="240">
        <f>SUM(CF58:CF60)</f>
        <v/>
      </c>
      <c r="CG61" s="240">
        <f>SUM(CG58:CG60)</f>
        <v/>
      </c>
      <c r="CH61" s="240" t="n"/>
      <c r="CI61" s="240">
        <f>SUM(CI58:CI60)</f>
        <v/>
      </c>
      <c r="CJ61" s="240">
        <f>SUM(CJ58:CJ60)</f>
        <v/>
      </c>
      <c r="CK61" s="240">
        <f>SUM(CK58:CK60)</f>
        <v/>
      </c>
      <c r="CL61" s="240">
        <f>SUM(CL58:CL60)</f>
        <v/>
      </c>
      <c r="CM61" s="240">
        <f>SUM(CM58:CM60)</f>
        <v/>
      </c>
      <c r="CN61" s="240">
        <f>SUM(CN58:CN60)</f>
        <v/>
      </c>
      <c r="CO61" s="240">
        <f>SUM(CO58:CO60)</f>
        <v/>
      </c>
      <c r="CP61" s="240">
        <f>SUM(CP58:CP60)</f>
        <v/>
      </c>
      <c r="CQ61" s="240">
        <f>SUM(CQ58:CQ60)</f>
        <v/>
      </c>
      <c r="CR61" s="240" t="n"/>
      <c r="CS61" s="240">
        <f>SUM(CS58:CS60)</f>
        <v/>
      </c>
      <c r="CT61" s="240">
        <f>SUM(CT58:CT60)</f>
        <v/>
      </c>
      <c r="CU61" s="240">
        <f>SUM(CU58:CU60)</f>
        <v/>
      </c>
      <c r="CV61" s="240">
        <f>SUM(CV58:CV60)</f>
        <v/>
      </c>
      <c r="CW61" s="240">
        <f>SUM(CW58:CW60)</f>
        <v/>
      </c>
      <c r="CX61" s="240">
        <f>SUM(CX58:CX60)</f>
        <v/>
      </c>
      <c r="CY61" s="240">
        <f>SUM(CY58:CY60)</f>
        <v/>
      </c>
      <c r="CZ61" s="240">
        <f>SUM(CZ58:CZ60)</f>
        <v/>
      </c>
      <c r="DA61" s="240">
        <f>SUM(DA58:DA60)</f>
        <v/>
      </c>
      <c r="DB61" s="241" t="n"/>
      <c r="DC61" s="241">
        <f>SUM(DC58:DC60)</f>
        <v/>
      </c>
      <c r="DD61" s="241">
        <f>SUM(DD58:DD60)</f>
        <v/>
      </c>
      <c r="DE61" s="241">
        <f>SUM(DE58:DE60)</f>
        <v/>
      </c>
      <c r="DF61" s="241">
        <f>SUM(DF58:DF60)</f>
        <v/>
      </c>
      <c r="DG61" s="241">
        <f>SUM(DG58:DG60)</f>
        <v/>
      </c>
      <c r="DH61" s="241">
        <f>SUM(DH58:DH60)</f>
        <v/>
      </c>
      <c r="DI61" s="241">
        <f>SUM(DI58:DI60)</f>
        <v/>
      </c>
      <c r="DJ61" s="241">
        <f>SUM(DJ58:DJ60)</f>
        <v/>
      </c>
      <c r="DK61" s="241">
        <f>SUM(DK58:DK60)</f>
        <v/>
      </c>
      <c r="DL61" s="241" t="n"/>
      <c r="DM61" s="241">
        <f>SUM(DM58:DM60)</f>
        <v/>
      </c>
      <c r="DN61" s="241">
        <f>SUM(DN58:DN60)</f>
        <v/>
      </c>
      <c r="DO61" s="241" t="n"/>
      <c r="DP61" s="535">
        <f>IFERROR((DE61-CU61)/CU61,"-")</f>
        <v/>
      </c>
      <c r="DQ61" s="535">
        <f>IFERROR((DG61-CW61)/CW61,"-")</f>
        <v/>
      </c>
      <c r="DR61" s="535">
        <f>IFERROR((DH61-CX61)/CX61,"-")</f>
        <v/>
      </c>
      <c r="DS61" s="241">
        <f>SUM(DS58:DS60)</f>
        <v/>
      </c>
      <c r="DT61" s="241">
        <f>SUM(DT58:DT60)</f>
        <v/>
      </c>
      <c r="DU61" s="241">
        <f>SUM(DU58:DU60)</f>
        <v/>
      </c>
      <c r="DV61" s="241">
        <f>SUM(DV58:DV60)</f>
        <v/>
      </c>
      <c r="DW61" s="241">
        <f>SUM(DW58:DW60)</f>
        <v/>
      </c>
      <c r="DX61" s="241">
        <f>SUM(DX58:DX60)</f>
        <v/>
      </c>
      <c r="DY61" s="241">
        <f>SUM(DY58:DY60)</f>
        <v/>
      </c>
      <c r="DZ61" s="241">
        <f>SUM(DZ58:DZ60)</f>
        <v/>
      </c>
      <c r="EA61" s="241">
        <f>SUM(EA58:EA60)</f>
        <v/>
      </c>
      <c r="EB61" s="241" t="n"/>
      <c r="EC61" s="241">
        <f>SUM(EC58:EC60)</f>
        <v/>
      </c>
      <c r="ED61" s="241">
        <f>SUM(ED58:ED60)</f>
        <v/>
      </c>
      <c r="EE61" s="241" t="n"/>
      <c r="EF61" s="535">
        <f>IFERROR((DU61-DE61)/DE61,"-")</f>
        <v/>
      </c>
      <c r="EG61" s="535">
        <f>IFERROR((DW61-DG61)/DG61,"-")</f>
        <v/>
      </c>
      <c r="EH61" s="535">
        <f>IFERROR((DX61-DH61)/DH61,"-")</f>
        <v/>
      </c>
      <c r="EI61" s="241" t="n"/>
      <c r="EJ61" s="241">
        <f>SUM(EJ58:EJ60)</f>
        <v/>
      </c>
      <c r="EK61" s="241">
        <f>SUM(EK58:EK60)</f>
        <v/>
      </c>
      <c r="EL61" s="241">
        <f>SUM(EL58:EL60)</f>
        <v/>
      </c>
      <c r="EM61" s="241">
        <f>SUM(EM58:EM60)</f>
        <v/>
      </c>
      <c r="EN61" s="241">
        <f>SUM(EN58:EN60)</f>
        <v/>
      </c>
      <c r="EO61" s="241">
        <f>SUM(EO58:EO60)</f>
        <v/>
      </c>
      <c r="EP61" s="241">
        <f>SUM(EP58:EP60)</f>
        <v/>
      </c>
      <c r="EQ61" s="241">
        <f>SUM(EQ58:EQ60)</f>
        <v/>
      </c>
      <c r="ER61" s="241">
        <f>SUM(ER58:ER60)</f>
        <v/>
      </c>
      <c r="ES61" s="241" t="n"/>
      <c r="ET61" s="241">
        <f>SUM(ET58:ET60)</f>
        <v/>
      </c>
      <c r="EU61" s="241">
        <f>SUM(EU58:EU60)</f>
        <v/>
      </c>
      <c r="EV61" s="241" t="n"/>
      <c r="EW61" s="535">
        <f>IFERROR((EL61-DU61)/DU61,"-")</f>
        <v/>
      </c>
      <c r="EX61" s="535">
        <f>IFERROR((EN61-DW61)/DW61,"-")</f>
        <v/>
      </c>
      <c r="EY61" s="535">
        <f>IFERROR((EO61-DX61)/DX61,"-")</f>
        <v/>
      </c>
    </row>
    <row r="62" collapsed="1">
      <c r="A62" s="187" t="inlineStr">
        <is>
          <t>Interval Schemes</t>
        </is>
      </c>
      <c r="B62" s="187" t="n"/>
      <c r="C62" s="187" t="n"/>
      <c r="D62" s="187" t="n"/>
      <c r="E62" s="187" t="n"/>
      <c r="F62" s="187" t="n"/>
      <c r="G62" s="422" t="n"/>
      <c r="H62" s="422" t="n"/>
      <c r="I62" s="422" t="n"/>
      <c r="J62" s="422" t="n"/>
      <c r="K62" s="422" t="n"/>
      <c r="L62" s="187" t="n"/>
      <c r="M62" s="187" t="n"/>
      <c r="N62" s="422" t="n"/>
      <c r="O62" s="422" t="n"/>
      <c r="P62" s="187" t="n"/>
      <c r="Q62" s="187" t="n"/>
      <c r="R62" s="187" t="n"/>
      <c r="S62" s="187" t="n"/>
      <c r="T62" s="187" t="n"/>
      <c r="U62" s="187" t="n"/>
      <c r="V62" s="187" t="n"/>
      <c r="W62" s="187" t="n"/>
      <c r="X62" s="187" t="n"/>
      <c r="Y62" s="187" t="n"/>
      <c r="Z62" s="187" t="n"/>
      <c r="AA62" s="187" t="n"/>
      <c r="AB62" s="187" t="n"/>
      <c r="AC62" s="187" t="n"/>
      <c r="AD62" s="187" t="n"/>
      <c r="AE62" s="187" t="n"/>
      <c r="AF62" s="187" t="n"/>
      <c r="AG62" s="187" t="n"/>
      <c r="AH62" s="187" t="n"/>
      <c r="AI62" s="187" t="n"/>
      <c r="AJ62" s="187" t="n"/>
      <c r="AK62" s="187" t="n"/>
      <c r="AL62" s="187" t="n"/>
      <c r="AM62" s="187" t="n"/>
      <c r="AN62" s="187" t="n"/>
      <c r="AO62" s="187" t="n"/>
      <c r="AP62" s="187" t="n"/>
      <c r="AQ62" s="187" t="n"/>
      <c r="AR62" s="187" t="n"/>
      <c r="AS62" s="187" t="n"/>
      <c r="AT62" s="187" t="n"/>
      <c r="AU62" s="187" t="n"/>
      <c r="AV62" s="187" t="n"/>
      <c r="AW62" s="187" t="n"/>
      <c r="AX62" s="187" t="n"/>
      <c r="AY62" s="187" t="n"/>
      <c r="AZ62" s="187" t="n"/>
      <c r="BA62" s="187" t="n"/>
      <c r="BB62" s="187" t="n"/>
      <c r="BC62" s="187" t="n"/>
      <c r="BD62" s="187" t="n"/>
      <c r="BE62" s="187" t="n"/>
      <c r="BF62" s="187" t="n"/>
      <c r="BG62" s="187" t="n"/>
      <c r="BH62" s="187" t="n"/>
      <c r="BI62" s="187" t="n"/>
      <c r="BJ62" s="187" t="n"/>
      <c r="BK62" s="187" t="n"/>
      <c r="BL62" s="187" t="n"/>
      <c r="BM62" s="187" t="n"/>
      <c r="BN62" s="187" t="n"/>
      <c r="BO62" s="187" t="n"/>
      <c r="BP62" s="187" t="n"/>
      <c r="BQ62" s="187" t="n"/>
      <c r="BR62" s="187" t="n"/>
      <c r="BS62" s="187" t="n"/>
      <c r="BT62" s="187" t="n"/>
      <c r="BU62" s="187" t="n"/>
      <c r="BV62" s="187" t="n"/>
      <c r="BW62" s="187" t="n"/>
      <c r="BX62" s="187" t="n"/>
      <c r="BY62" s="187" t="n"/>
      <c r="BZ62" s="187" t="n"/>
      <c r="CA62" s="187" t="n"/>
      <c r="CB62" s="187" t="n"/>
      <c r="CC62" s="187" t="n"/>
      <c r="CD62" s="187" t="n"/>
      <c r="CE62" s="187" t="n"/>
      <c r="CF62" s="187" t="n"/>
      <c r="CG62" s="187" t="n"/>
      <c r="CH62" s="187" t="n"/>
      <c r="CI62" s="187" t="n"/>
      <c r="CJ62" s="187" t="n"/>
      <c r="CK62" s="187" t="n"/>
      <c r="CL62" s="187" t="n"/>
      <c r="CM62" s="187" t="n"/>
      <c r="CN62" s="187" t="n"/>
      <c r="CO62" s="187" t="n"/>
      <c r="CP62" s="187" t="n"/>
      <c r="CQ62" s="187" t="n"/>
      <c r="CR62" s="187" t="n"/>
      <c r="CS62" s="187" t="n"/>
      <c r="CT62" s="187" t="n"/>
      <c r="CU62" s="187" t="n"/>
      <c r="CV62" s="187" t="n"/>
      <c r="CW62" s="187" t="n"/>
      <c r="CX62" s="187" t="n"/>
      <c r="CY62" s="187" t="n"/>
      <c r="CZ62" s="187" t="n"/>
      <c r="DA62" s="187" t="n"/>
      <c r="DB62" s="190" t="n"/>
      <c r="DC62" s="190" t="n"/>
      <c r="DD62" s="190" t="n"/>
      <c r="DE62" s="190" t="n"/>
      <c r="DF62" s="190" t="n"/>
      <c r="DG62" s="190" t="n"/>
      <c r="DH62" s="190" t="n"/>
      <c r="DI62" s="190" t="n"/>
      <c r="DJ62" s="190" t="n"/>
      <c r="DK62" s="190" t="n"/>
      <c r="DL62" s="190" t="n"/>
      <c r="DM62" s="190" t="n"/>
      <c r="DN62" s="190" t="n"/>
      <c r="DO62" s="190" t="n"/>
      <c r="DP62" s="190" t="n"/>
      <c r="DQ62" s="190" t="n"/>
      <c r="DR62" s="190" t="n"/>
      <c r="DS62" s="190" t="n"/>
      <c r="DT62" s="190" t="n"/>
      <c r="DU62" s="190" t="n"/>
      <c r="DV62" s="190" t="n"/>
      <c r="DW62" s="190" t="n"/>
      <c r="DX62" s="190" t="n"/>
      <c r="DY62" s="190" t="n"/>
      <c r="DZ62" s="190" t="n"/>
      <c r="EA62" s="190" t="n"/>
      <c r="EB62" s="190" t="n"/>
      <c r="EC62" s="190" t="n"/>
      <c r="ED62" s="190" t="n"/>
      <c r="EE62" s="190" t="n"/>
      <c r="EF62" s="190" t="n"/>
      <c r="EG62" s="190" t="n"/>
      <c r="EH62" s="190" t="n"/>
      <c r="EI62" s="190" t="n"/>
      <c r="EJ62" s="190" t="n"/>
      <c r="EK62" s="190" t="n"/>
      <c r="EL62" s="190" t="n"/>
      <c r="EM62" s="190" t="n"/>
      <c r="EN62" s="190" t="n"/>
      <c r="EO62" s="190" t="n"/>
      <c r="EP62" s="190" t="n"/>
      <c r="EQ62" s="190" t="n"/>
      <c r="ER62" s="190" t="n"/>
      <c r="ES62" s="190" t="n"/>
      <c r="ET62" s="190" t="n"/>
      <c r="EU62" s="190" t="n"/>
      <c r="EV62" s="190" t="n"/>
      <c r="EW62" s="190" t="n"/>
      <c r="EX62" s="190" t="n"/>
      <c r="EY62" s="190" t="n"/>
    </row>
    <row r="63" hidden="1" outlineLevel="1">
      <c r="A63" s="199" t="inlineStr">
        <is>
          <t>Growth/Equity Oriented Schemes</t>
        </is>
      </c>
      <c r="B63" s="202" t="inlineStr">
        <is>
          <t>Interval Schemes</t>
        </is>
      </c>
      <c r="C63" s="202" t="inlineStr">
        <is>
          <t>-</t>
        </is>
      </c>
      <c r="D63" s="202" t="inlineStr">
        <is>
          <t>-</t>
        </is>
      </c>
      <c r="E63" s="202" t="inlineStr">
        <is>
          <t>-</t>
        </is>
      </c>
      <c r="F63" s="202" t="inlineStr">
        <is>
          <t>Interval Schemes</t>
        </is>
      </c>
      <c r="G63" s="423" t="n"/>
      <c r="H63" s="423" t="n"/>
      <c r="I63" s="423" t="n"/>
      <c r="J63" s="423" t="n"/>
      <c r="K63" s="423">
        <f>IF(OR(I63="",J63=""),"",I63-J63)</f>
        <v/>
      </c>
      <c r="L63" s="203" t="n">
        <v>0</v>
      </c>
      <c r="M63" s="203" t="n">
        <v>0</v>
      </c>
      <c r="N63" s="423" t="n"/>
      <c r="O63" s="423" t="n"/>
      <c r="P63" s="184" t="inlineStr">
        <is>
          <t>-</t>
        </is>
      </c>
      <c r="Q63" s="251" t="n">
        <v>0</v>
      </c>
      <c r="R63" s="251" t="n">
        <v>0</v>
      </c>
      <c r="S63" s="251" t="n">
        <v>0</v>
      </c>
      <c r="T63" s="251" t="n">
        <v>0</v>
      </c>
      <c r="U63" s="251" t="n">
        <v>0</v>
      </c>
      <c r="V63" s="251" t="n">
        <v>0</v>
      </c>
      <c r="W63" s="251" t="n">
        <v>0</v>
      </c>
      <c r="X63" s="251" t="n">
        <v>0</v>
      </c>
      <c r="Y63" s="251" t="n">
        <v>0</v>
      </c>
      <c r="Z63" s="234" t="inlineStr">
        <is>
          <t>-</t>
        </is>
      </c>
      <c r="AA63" s="251" t="n">
        <v>0</v>
      </c>
      <c r="AB63" s="251" t="n">
        <v>0</v>
      </c>
      <c r="AC63" s="251" t="n">
        <v>0</v>
      </c>
      <c r="AD63" s="251" t="n">
        <v>0</v>
      </c>
      <c r="AE63" s="251" t="n">
        <v>0</v>
      </c>
      <c r="AF63" s="251" t="n">
        <v>0</v>
      </c>
      <c r="AG63" s="251" t="n">
        <v>0</v>
      </c>
      <c r="AH63" s="251" t="n">
        <v>0</v>
      </c>
      <c r="AI63" s="251" t="n">
        <v>0</v>
      </c>
      <c r="AJ63" s="234" t="inlineStr">
        <is>
          <t>-</t>
        </is>
      </c>
      <c r="AK63" s="251" t="n">
        <v>0</v>
      </c>
      <c r="AL63" s="251" t="n">
        <v>0</v>
      </c>
      <c r="AM63" s="251" t="n">
        <v>0</v>
      </c>
      <c r="AN63" s="251" t="n">
        <v>0</v>
      </c>
      <c r="AO63" s="251" t="n">
        <v>0</v>
      </c>
      <c r="AP63" s="251" t="n">
        <v>0</v>
      </c>
      <c r="AQ63" s="251" t="n">
        <v>0</v>
      </c>
      <c r="AR63" s="251" t="n">
        <v>0</v>
      </c>
      <c r="AS63" s="251" t="n">
        <v>0</v>
      </c>
      <c r="AT63" s="234" t="inlineStr">
        <is>
          <t>-</t>
        </is>
      </c>
      <c r="AU63" s="251" t="n">
        <v>0</v>
      </c>
      <c r="AV63" s="251" t="n">
        <v>0</v>
      </c>
      <c r="AW63" s="251" t="n">
        <v>0</v>
      </c>
      <c r="AX63" s="251" t="n">
        <v>0</v>
      </c>
      <c r="AY63" s="251" t="n">
        <v>0</v>
      </c>
      <c r="AZ63" s="251" t="n">
        <v>0</v>
      </c>
      <c r="BA63" s="251" t="n">
        <v>0</v>
      </c>
      <c r="BB63" s="251" t="n">
        <v>0</v>
      </c>
      <c r="BC63" s="251" t="n">
        <v>0</v>
      </c>
      <c r="BD63" s="234" t="inlineStr">
        <is>
          <t>-</t>
        </is>
      </c>
      <c r="BE63" s="251" t="n">
        <v>0</v>
      </c>
      <c r="BF63" s="251" t="n">
        <v>0</v>
      </c>
      <c r="BG63" s="251" t="n">
        <v>0</v>
      </c>
      <c r="BH63" s="251" t="n">
        <v>0</v>
      </c>
      <c r="BI63" s="251" t="n">
        <v>0</v>
      </c>
      <c r="BJ63" s="251" t="n">
        <v>0</v>
      </c>
      <c r="BK63" s="251" t="n">
        <v>0</v>
      </c>
      <c r="BL63" s="251" t="n">
        <v>0</v>
      </c>
      <c r="BM63" s="251" t="n">
        <v>0</v>
      </c>
      <c r="BN63" s="234" t="inlineStr">
        <is>
          <t>-</t>
        </is>
      </c>
      <c r="BO63" s="251" t="n">
        <v>0</v>
      </c>
      <c r="BP63" s="251" t="n">
        <v>0</v>
      </c>
      <c r="BQ63" s="251" t="n">
        <v>0</v>
      </c>
      <c r="BR63" s="251" t="n">
        <v>0</v>
      </c>
      <c r="BS63" s="251" t="n">
        <v>0</v>
      </c>
      <c r="BT63" s="251" t="n">
        <v>0</v>
      </c>
      <c r="BU63" s="251" t="n">
        <v>0</v>
      </c>
      <c r="BV63" s="251" t="n">
        <v>0</v>
      </c>
      <c r="BW63" s="251" t="n">
        <v>0</v>
      </c>
      <c r="BX63" s="234" t="inlineStr">
        <is>
          <t>-</t>
        </is>
      </c>
      <c r="BY63" s="251" t="n">
        <v>0</v>
      </c>
      <c r="BZ63" s="251" t="n">
        <v>0</v>
      </c>
      <c r="CA63" s="251" t="n">
        <v>0</v>
      </c>
      <c r="CB63" s="251" t="n">
        <v>0</v>
      </c>
      <c r="CC63" s="251" t="n">
        <v>0</v>
      </c>
      <c r="CD63" s="251" t="n">
        <v>0</v>
      </c>
      <c r="CE63" s="251" t="n">
        <v>0</v>
      </c>
      <c r="CF63" s="251" t="n">
        <v>0</v>
      </c>
      <c r="CG63" s="251" t="n">
        <v>0</v>
      </c>
      <c r="CH63" s="234" t="inlineStr">
        <is>
          <t>-</t>
        </is>
      </c>
      <c r="CI63" s="251" t="n">
        <v>0</v>
      </c>
      <c r="CJ63" s="251" t="n">
        <v>0</v>
      </c>
      <c r="CK63" s="251" t="n">
        <v>0</v>
      </c>
      <c r="CL63" s="251" t="n">
        <v>0</v>
      </c>
      <c r="CM63" s="251" t="n">
        <v>0</v>
      </c>
      <c r="CN63" s="251" t="n">
        <v>0</v>
      </c>
      <c r="CO63" s="251" t="n">
        <v>0</v>
      </c>
      <c r="CP63" s="251" t="n">
        <v>0</v>
      </c>
      <c r="CQ63" s="251" t="n">
        <v>0</v>
      </c>
      <c r="CR63" s="234" t="inlineStr">
        <is>
          <t>-</t>
        </is>
      </c>
      <c r="CS63" s="251" t="n">
        <v>0</v>
      </c>
      <c r="CT63" s="251" t="n">
        <v>0</v>
      </c>
      <c r="CU63" s="251" t="n">
        <v>0</v>
      </c>
      <c r="CV63" s="251" t="n">
        <v>0</v>
      </c>
      <c r="CW63" s="251" t="n">
        <v>0</v>
      </c>
      <c r="CX63" s="251" t="n">
        <v>0</v>
      </c>
      <c r="CY63" s="251" t="n">
        <v>0</v>
      </c>
      <c r="CZ63" s="251" t="n">
        <v>0</v>
      </c>
      <c r="DA63" s="251" t="n">
        <v>0</v>
      </c>
      <c r="DB63" s="235" t="inlineStr">
        <is>
          <t>-</t>
        </is>
      </c>
      <c r="DC63" s="252" t="n">
        <v>0</v>
      </c>
      <c r="DD63" s="252" t="n">
        <v>0</v>
      </c>
      <c r="DE63" s="252" t="n">
        <v>0</v>
      </c>
      <c r="DF63" s="252" t="n">
        <v>0</v>
      </c>
      <c r="DG63" s="252" t="n">
        <v>0</v>
      </c>
      <c r="DH63" s="252" t="n">
        <v>0</v>
      </c>
      <c r="DI63" s="252" t="n">
        <v>0</v>
      </c>
      <c r="DJ63" s="252" t="n">
        <v>0</v>
      </c>
      <c r="DK63" s="252" t="n">
        <v>0</v>
      </c>
      <c r="DL63" s="235" t="inlineStr">
        <is>
          <t>-</t>
        </is>
      </c>
      <c r="DM63" s="285">
        <f>S63+AC63+AM63+AW63+BG63+BQ63+CA63+CK63+CU63+DE63</f>
        <v/>
      </c>
      <c r="DN63" s="277">
        <f>U63+AE63+AO63+AY63+BI63+BS63+CC63+CM63+CW63+DG63</f>
        <v/>
      </c>
      <c r="DO63" s="235" t="inlineStr">
        <is>
          <t>-</t>
        </is>
      </c>
      <c r="DP63" s="252" t="n">
        <v>0</v>
      </c>
      <c r="DQ63" s="252" t="n">
        <v>0</v>
      </c>
      <c r="DR63" s="279" t="n">
        <v>0</v>
      </c>
      <c r="DS63" s="252" t="n">
        <v>0</v>
      </c>
      <c r="DT63" s="252" t="n">
        <v>0</v>
      </c>
      <c r="DU63" s="252" t="n">
        <v>0</v>
      </c>
      <c r="DV63" s="252" t="n">
        <v>0</v>
      </c>
      <c r="DW63" s="252" t="n">
        <v>0</v>
      </c>
      <c r="DX63" s="252" t="n">
        <v>0</v>
      </c>
      <c r="DY63" s="252" t="n">
        <v>0</v>
      </c>
      <c r="DZ63" s="252" t="n">
        <v>0</v>
      </c>
      <c r="EA63" s="252" t="n">
        <v>0</v>
      </c>
      <c r="EB63" s="235" t="inlineStr">
        <is>
          <t>-</t>
        </is>
      </c>
      <c r="EC63" s="285">
        <f>S63+AC63+AM63+AW63+BG63+BQ63+CA63+CK63+CU63+DE63+DU63</f>
        <v/>
      </c>
      <c r="ED63" s="277">
        <f>U63+AE63+AO63+AY63+BI63+BS63+CC63+CM63+CW63+DG63+DW63</f>
        <v/>
      </c>
      <c r="EE63" s="235" t="inlineStr">
        <is>
          <t>-</t>
        </is>
      </c>
      <c r="EF63" s="252">
        <f>IFERROR((DU63-DE63)/DE63,"-")</f>
        <v/>
      </c>
      <c r="EG63" s="252">
        <f>IFERROR((DW63-DG63)/DG63,"-")</f>
        <v/>
      </c>
      <c r="EH63" s="279">
        <f>IFERROR((DX63-DH63)/DH63,"-")</f>
        <v/>
      </c>
      <c r="EI63" s="235" t="inlineStr">
        <is>
          <t>-</t>
        </is>
      </c>
      <c r="EJ63" s="252" t="n">
        <v>0</v>
      </c>
      <c r="EK63" s="252" t="n">
        <v>0</v>
      </c>
      <c r="EL63" s="252" t="n">
        <v>0</v>
      </c>
      <c r="EM63" s="252" t="n">
        <v>0</v>
      </c>
      <c r="EN63" s="252" t="n">
        <v>0</v>
      </c>
      <c r="EO63" s="252" t="n">
        <v>0</v>
      </c>
      <c r="EP63" s="252" t="n">
        <v>0</v>
      </c>
      <c r="EQ63" s="252" t="n">
        <v>0</v>
      </c>
      <c r="ER63" s="252" t="n">
        <v>0</v>
      </c>
      <c r="ES63" s="235" t="inlineStr">
        <is>
          <t>-</t>
        </is>
      </c>
      <c r="ET63" s="285">
        <f>S63+AC63+AM63+AW63+BG63+BQ63+CA63+CK63+CU63+DE63+DU63+EL63</f>
        <v/>
      </c>
      <c r="EU63" s="277">
        <f>U63+AE63+AO63+AY63+BI63+BS63+CC63+CM63+CW63+DG63+DW63+EN63</f>
        <v/>
      </c>
      <c r="EV63" s="235" t="inlineStr">
        <is>
          <t>-</t>
        </is>
      </c>
      <c r="EW63" s="305">
        <f>IFERROR((EL63-DU63)/DU63,"-")</f>
        <v/>
      </c>
      <c r="EX63" s="298">
        <f>IFERROR((EN63-DW63)/DW63,"-")</f>
        <v/>
      </c>
      <c r="EY63" s="279">
        <f>IFERROR((EO63-DX63)/DX63,"-")</f>
        <v/>
      </c>
    </row>
    <row r="64">
      <c r="A64" s="204" t="inlineStr">
        <is>
          <t>Total for Interval Schemes</t>
        </is>
      </c>
      <c r="B64" s="216" t="n"/>
      <c r="C64" s="216" t="n"/>
      <c r="D64" s="216" t="n"/>
      <c r="E64" s="216" t="n"/>
      <c r="F64" s="216" t="n"/>
      <c r="G64" s="420">
        <f>SUM(G63:G63)</f>
        <v/>
      </c>
      <c r="H64" s="420">
        <f>SUM(H63:H63)</f>
        <v/>
      </c>
      <c r="I64" s="420">
        <f>SUM(I63:I63)</f>
        <v/>
      </c>
      <c r="J64" s="420">
        <f>SUM(J63:J63)</f>
        <v/>
      </c>
      <c r="K64" s="420">
        <f>SUM(K63:K63)</f>
        <v/>
      </c>
      <c r="L64" s="205">
        <f>SUM(L63:L63)</f>
        <v/>
      </c>
      <c r="M64" s="205">
        <f>SUM(M63:M63)</f>
        <v/>
      </c>
      <c r="N64" s="420">
        <f>SUM(N63:N63)</f>
        <v/>
      </c>
      <c r="O64" s="420">
        <f>SUM(O63:O63)</f>
        <v/>
      </c>
      <c r="P64" s="205" t="n"/>
      <c r="Q64" s="253">
        <f>SUM(Q63:Q63)</f>
        <v/>
      </c>
      <c r="R64" s="253">
        <f>SUM(R63:R63)</f>
        <v/>
      </c>
      <c r="S64" s="253">
        <f>SUM(S63:S63)</f>
        <v/>
      </c>
      <c r="T64" s="253">
        <f>SUM(T63:T63)</f>
        <v/>
      </c>
      <c r="U64" s="253">
        <f>SUM(U63:U63)</f>
        <v/>
      </c>
      <c r="V64" s="253">
        <f>SUM(V63:V63)</f>
        <v/>
      </c>
      <c r="W64" s="253">
        <f>SUM(W63:W63)</f>
        <v/>
      </c>
      <c r="X64" s="253">
        <f>SUM(X63:X63)</f>
        <v/>
      </c>
      <c r="Y64" s="253">
        <f>SUM(Y63:Y63)</f>
        <v/>
      </c>
      <c r="Z64" s="253" t="n"/>
      <c r="AA64" s="253">
        <f>SUM(AA63:AA63)</f>
        <v/>
      </c>
      <c r="AB64" s="253">
        <f>SUM(AB63:AB63)</f>
        <v/>
      </c>
      <c r="AC64" s="253">
        <f>SUM(AC63:AC63)</f>
        <v/>
      </c>
      <c r="AD64" s="253">
        <f>SUM(AD63:AD63)</f>
        <v/>
      </c>
      <c r="AE64" s="253">
        <f>SUM(AE63:AE63)</f>
        <v/>
      </c>
      <c r="AF64" s="253">
        <f>SUM(AF63:AF63)</f>
        <v/>
      </c>
      <c r="AG64" s="253">
        <f>SUM(AG63:AG63)</f>
        <v/>
      </c>
      <c r="AH64" s="253">
        <f>SUM(AH63:AH63)</f>
        <v/>
      </c>
      <c r="AI64" s="253">
        <f>SUM(AI63:AI63)</f>
        <v/>
      </c>
      <c r="AJ64" s="253" t="n"/>
      <c r="AK64" s="253">
        <f>SUM(AK63:AK63)</f>
        <v/>
      </c>
      <c r="AL64" s="253">
        <f>SUM(AL63:AL63)</f>
        <v/>
      </c>
      <c r="AM64" s="253">
        <f>SUM(AM63:AM63)</f>
        <v/>
      </c>
      <c r="AN64" s="253">
        <f>SUM(AN63:AN63)</f>
        <v/>
      </c>
      <c r="AO64" s="253">
        <f>SUM(AO63:AO63)</f>
        <v/>
      </c>
      <c r="AP64" s="253">
        <f>SUM(AP63:AP63)</f>
        <v/>
      </c>
      <c r="AQ64" s="253">
        <f>SUM(AQ63:AQ63)</f>
        <v/>
      </c>
      <c r="AR64" s="253">
        <f>SUM(AR63:AR63)</f>
        <v/>
      </c>
      <c r="AS64" s="253">
        <f>SUM(AS63:AS63)</f>
        <v/>
      </c>
      <c r="AT64" s="253" t="n"/>
      <c r="AU64" s="253">
        <f>SUM(AU63:AU63)</f>
        <v/>
      </c>
      <c r="AV64" s="253">
        <f>SUM(AV63:AV63)</f>
        <v/>
      </c>
      <c r="AW64" s="253">
        <f>SUM(AW63:AW63)</f>
        <v/>
      </c>
      <c r="AX64" s="253">
        <f>SUM(AX63:AX63)</f>
        <v/>
      </c>
      <c r="AY64" s="253">
        <f>SUM(AY63:AY63)</f>
        <v/>
      </c>
      <c r="AZ64" s="253">
        <f>SUM(AZ63:AZ63)</f>
        <v/>
      </c>
      <c r="BA64" s="253">
        <f>SUM(BA63:BA63)</f>
        <v/>
      </c>
      <c r="BB64" s="253">
        <f>SUM(BB63:BB63)</f>
        <v/>
      </c>
      <c r="BC64" s="253">
        <f>SUM(BC63:BC63)</f>
        <v/>
      </c>
      <c r="BD64" s="253" t="n"/>
      <c r="BE64" s="253">
        <f>SUM(BE63:BE63)</f>
        <v/>
      </c>
      <c r="BF64" s="253">
        <f>SUM(BF63:BF63)</f>
        <v/>
      </c>
      <c r="BG64" s="253">
        <f>SUM(BG63:BG63)</f>
        <v/>
      </c>
      <c r="BH64" s="253">
        <f>SUM(BH63:BH63)</f>
        <v/>
      </c>
      <c r="BI64" s="253">
        <f>SUM(BI63:BI63)</f>
        <v/>
      </c>
      <c r="BJ64" s="253">
        <f>SUM(BJ63:BJ63)</f>
        <v/>
      </c>
      <c r="BK64" s="253">
        <f>SUM(BK63:BK63)</f>
        <v/>
      </c>
      <c r="BL64" s="253">
        <f>SUM(BL63:BL63)</f>
        <v/>
      </c>
      <c r="BM64" s="253">
        <f>SUM(BM63:BM63)</f>
        <v/>
      </c>
      <c r="BN64" s="253" t="n"/>
      <c r="BO64" s="253">
        <f>SUM(BO63:BO63)</f>
        <v/>
      </c>
      <c r="BP64" s="253">
        <f>SUM(BP63:BP63)</f>
        <v/>
      </c>
      <c r="BQ64" s="253">
        <f>SUM(BQ63:BQ63)</f>
        <v/>
      </c>
      <c r="BR64" s="253">
        <f>SUM(BR63:BR63)</f>
        <v/>
      </c>
      <c r="BS64" s="253">
        <f>SUM(BS63:BS63)</f>
        <v/>
      </c>
      <c r="BT64" s="253">
        <f>SUM(BT63:BT63)</f>
        <v/>
      </c>
      <c r="BU64" s="253">
        <f>SUM(BU63:BU63)</f>
        <v/>
      </c>
      <c r="BV64" s="253">
        <f>SUM(BV63:BV63)</f>
        <v/>
      </c>
      <c r="BW64" s="253">
        <f>SUM(BW63:BW63)</f>
        <v/>
      </c>
      <c r="BX64" s="253" t="n"/>
      <c r="BY64" s="253">
        <f>SUM(BY63:BY63)</f>
        <v/>
      </c>
      <c r="BZ64" s="253">
        <f>SUM(BZ63:BZ63)</f>
        <v/>
      </c>
      <c r="CA64" s="253">
        <f>SUM(CA63:CA63)</f>
        <v/>
      </c>
      <c r="CB64" s="253">
        <f>SUM(CB63:CB63)</f>
        <v/>
      </c>
      <c r="CC64" s="253">
        <f>SUM(CC63:CC63)</f>
        <v/>
      </c>
      <c r="CD64" s="253">
        <f>SUM(CD63:CD63)</f>
        <v/>
      </c>
      <c r="CE64" s="253">
        <f>SUM(CE63:CE63)</f>
        <v/>
      </c>
      <c r="CF64" s="253">
        <f>SUM(CF63:CF63)</f>
        <v/>
      </c>
      <c r="CG64" s="253">
        <f>SUM(CG63:CG63)</f>
        <v/>
      </c>
      <c r="CH64" s="253" t="n"/>
      <c r="CI64" s="253">
        <f>SUM(CI63:CI63)</f>
        <v/>
      </c>
      <c r="CJ64" s="253">
        <f>SUM(CJ63:CJ63)</f>
        <v/>
      </c>
      <c r="CK64" s="253">
        <f>SUM(CK63:CK63)</f>
        <v/>
      </c>
      <c r="CL64" s="253">
        <f>SUM(CL63:CL63)</f>
        <v/>
      </c>
      <c r="CM64" s="253">
        <f>SUM(CM63:CM63)</f>
        <v/>
      </c>
      <c r="CN64" s="253">
        <f>SUM(CN63:CN63)</f>
        <v/>
      </c>
      <c r="CO64" s="253">
        <f>SUM(CO63:CO63)</f>
        <v/>
      </c>
      <c r="CP64" s="253">
        <f>SUM(CP63:CP63)</f>
        <v/>
      </c>
      <c r="CQ64" s="253">
        <f>SUM(CQ63:CQ63)</f>
        <v/>
      </c>
      <c r="CR64" s="253" t="n"/>
      <c r="CS64" s="253">
        <f>SUM(CS63:CS63)</f>
        <v/>
      </c>
      <c r="CT64" s="253">
        <f>SUM(CT63:CT63)</f>
        <v/>
      </c>
      <c r="CU64" s="253">
        <f>SUM(CU63:CU63)</f>
        <v/>
      </c>
      <c r="CV64" s="253">
        <f>SUM(CV63:CV63)</f>
        <v/>
      </c>
      <c r="CW64" s="253">
        <f>SUM(CW63:CW63)</f>
        <v/>
      </c>
      <c r="CX64" s="253">
        <f>SUM(CX63:CX63)</f>
        <v/>
      </c>
      <c r="CY64" s="253">
        <f>SUM(CY63:CY63)</f>
        <v/>
      </c>
      <c r="CZ64" s="253">
        <f>SUM(CZ63:CZ63)</f>
        <v/>
      </c>
      <c r="DA64" s="253">
        <f>SUM(DA63:DA63)</f>
        <v/>
      </c>
      <c r="DB64" s="254" t="n"/>
      <c r="DC64" s="254">
        <f>SUM(DC63:DC63)</f>
        <v/>
      </c>
      <c r="DD64" s="254">
        <f>SUM(DD63:DD63)</f>
        <v/>
      </c>
      <c r="DE64" s="254">
        <f>SUM(DE63:DE63)</f>
        <v/>
      </c>
      <c r="DF64" s="254">
        <f>SUM(DF63:DF63)</f>
        <v/>
      </c>
      <c r="DG64" s="254">
        <f>SUM(DG63:DG63)</f>
        <v/>
      </c>
      <c r="DH64" s="254">
        <f>SUM(DH63:DH63)</f>
        <v/>
      </c>
      <c r="DI64" s="254">
        <f>SUM(DI63:DI63)</f>
        <v/>
      </c>
      <c r="DJ64" s="254">
        <f>SUM(DJ63:DJ63)</f>
        <v/>
      </c>
      <c r="DK64" s="254">
        <f>SUM(DK63:DK63)</f>
        <v/>
      </c>
      <c r="DL64" s="254" t="n"/>
      <c r="DM64" s="254">
        <f>SUM(DM63:DM63)</f>
        <v/>
      </c>
      <c r="DN64" s="254">
        <f>SUM(DN63:DN63)</f>
        <v/>
      </c>
      <c r="DO64" s="254" t="n"/>
      <c r="DP64" s="541">
        <f>IFERROR((DE64-CU64)/CU64,"-")</f>
        <v/>
      </c>
      <c r="DQ64" s="541">
        <f>IFERROR((DG64-CW64)/CW64,"-")</f>
        <v/>
      </c>
      <c r="DR64" s="541">
        <f>IFERROR((DH64-CX64)/CX64,"-")</f>
        <v/>
      </c>
      <c r="DS64" s="254">
        <f>SUM(DS63:DS63)</f>
        <v/>
      </c>
      <c r="DT64" s="254">
        <f>SUM(DT63:DT63)</f>
        <v/>
      </c>
      <c r="DU64" s="254">
        <f>SUM(DU63:DU63)</f>
        <v/>
      </c>
      <c r="DV64" s="254">
        <f>SUM(DV63:DV63)</f>
        <v/>
      </c>
      <c r="DW64" s="254">
        <f>SUM(DW63:DW63)</f>
        <v/>
      </c>
      <c r="DX64" s="254">
        <f>SUM(DX63:DX63)</f>
        <v/>
      </c>
      <c r="DY64" s="254">
        <f>SUM(DY63:DY63)</f>
        <v/>
      </c>
      <c r="DZ64" s="254">
        <f>SUM(DZ63:DZ63)</f>
        <v/>
      </c>
      <c r="EA64" s="254">
        <f>SUM(EA63:EA63)</f>
        <v/>
      </c>
      <c r="EB64" s="254" t="n"/>
      <c r="EC64" s="254">
        <f>SUM(EC63:EC63)</f>
        <v/>
      </c>
      <c r="ED64" s="254">
        <f>SUM(ED63:ED63)</f>
        <v/>
      </c>
      <c r="EE64" s="254" t="n"/>
      <c r="EF64" s="541">
        <f>IFERROR((DU64-DE64)/DE64,"-")</f>
        <v/>
      </c>
      <c r="EG64" s="541">
        <f>IFERROR((DW64-DG64)/DG64,"-")</f>
        <v/>
      </c>
      <c r="EH64" s="541">
        <f>IFERROR((DX64-DH64)/DH64,"-")</f>
        <v/>
      </c>
      <c r="EI64" s="254" t="n"/>
      <c r="EJ64" s="254">
        <f>SUM(EJ63:EJ63)</f>
        <v/>
      </c>
      <c r="EK64" s="254">
        <f>SUM(EK63:EK63)</f>
        <v/>
      </c>
      <c r="EL64" s="254">
        <f>SUM(EL63:EL63)</f>
        <v/>
      </c>
      <c r="EM64" s="254">
        <f>SUM(EM63:EM63)</f>
        <v/>
      </c>
      <c r="EN64" s="254">
        <f>SUM(EN63:EN63)</f>
        <v/>
      </c>
      <c r="EO64" s="254">
        <f>SUM(EO63:EO63)</f>
        <v/>
      </c>
      <c r="EP64" s="254">
        <f>SUM(EP63:EP63)</f>
        <v/>
      </c>
      <c r="EQ64" s="254">
        <f>SUM(EQ63:EQ63)</f>
        <v/>
      </c>
      <c r="ER64" s="254">
        <f>SUM(ER63:ER63)</f>
        <v/>
      </c>
      <c r="ES64" s="254" t="n"/>
      <c r="ET64" s="254">
        <f>SUM(ET63:ET63)</f>
        <v/>
      </c>
      <c r="EU64" s="254">
        <f>SUM(EU63:EU63)</f>
        <v/>
      </c>
      <c r="EV64" s="254" t="n"/>
      <c r="EW64" s="541">
        <f>IFERROR((EL64-DU64)/DU64,"-")</f>
        <v/>
      </c>
      <c r="EX64" s="541">
        <f>IFERROR((EN64-DW64)/DW64,"-")</f>
        <v/>
      </c>
      <c r="EY64" s="541">
        <f>IFERROR((EO64-DX64)/DX64,"-")</f>
        <v/>
      </c>
    </row>
    <row r="65">
      <c r="A65" s="175" t="inlineStr">
        <is>
          <t>Grand Total</t>
        </is>
      </c>
      <c r="B65" s="206" t="n"/>
      <c r="C65" s="206" t="n"/>
      <c r="D65" s="206" t="n"/>
      <c r="E65" s="206" t="n"/>
      <c r="F65" s="206" t="n"/>
      <c r="G65" s="424">
        <f>SUM(G25,G29,G52,G56,G61,G64)</f>
        <v/>
      </c>
      <c r="H65" s="424">
        <f>SUM(H25,H29,H52,H56,H61,H64)</f>
        <v/>
      </c>
      <c r="I65" s="424">
        <f>SUM(I25,I29,I52,I56,I61,I64)</f>
        <v/>
      </c>
      <c r="J65" s="424">
        <f>SUM(J25,J29,J52,J56,J61,J64)</f>
        <v/>
      </c>
      <c r="K65" s="424">
        <f>SUM(K25,K29,K52,K56,K61,K64)</f>
        <v/>
      </c>
      <c r="L65" s="217">
        <f>SUM(L25,L29,L52,L56,L61,L64)</f>
        <v/>
      </c>
      <c r="M65" s="218">
        <f>SUM(M25,M29,M52,M56,M61,M64)</f>
        <v/>
      </c>
      <c r="N65" s="424">
        <f>SUM(N25,N29,N52,N56,N61,N64)</f>
        <v/>
      </c>
      <c r="O65" s="424">
        <f>SUM(O25,O29,O52,O56,O61,O64)</f>
        <v/>
      </c>
      <c r="P65" s="177" t="n"/>
      <c r="Q65" s="176">
        <f>SUM(Q25,Q29,Q52,Q56,Q61,Q64)</f>
        <v/>
      </c>
      <c r="R65" s="176">
        <f>SUM(R25,R29,R52,R56,R61,R64)</f>
        <v/>
      </c>
      <c r="S65" s="257">
        <f>SUM(S25,S29,S52,S56,S61,S64)</f>
        <v/>
      </c>
      <c r="T65" s="176">
        <f>SUM(T25,T29,T52,T56,T61,T64)</f>
        <v/>
      </c>
      <c r="U65" s="259">
        <f>SUM(U25,U29,U52,U56,U61,U64)</f>
        <v/>
      </c>
      <c r="V65" s="207">
        <f>SUM(V25,V29,V52,V56,V61,V64)</f>
        <v/>
      </c>
      <c r="W65" s="176">
        <f>SUM(W25,W29,W52,W56,W61,W64)</f>
        <v/>
      </c>
      <c r="X65" s="176">
        <f>SUM(X25,X29,X52,X56,X61,X64)</f>
        <v/>
      </c>
      <c r="Y65" s="176">
        <f>SUM(Y25,Y29,Y52,Y56,Y61,Y64)</f>
        <v/>
      </c>
      <c r="Z65" s="177" t="n"/>
      <c r="AA65" s="176">
        <f>SUM(AA25,AA29,AA52,AA56,AA61,AA64)</f>
        <v/>
      </c>
      <c r="AB65" s="176">
        <f>SUM(AB25,AB29,AB52,AB56,AB61,AB64)</f>
        <v/>
      </c>
      <c r="AC65" s="257">
        <f>SUM(AC25,AC29,AC52,AC56,AC61,AC64)</f>
        <v/>
      </c>
      <c r="AD65" s="176">
        <f>SUM(AD25,AD29,AD52,AD56,AD61,AD64)</f>
        <v/>
      </c>
      <c r="AE65" s="259">
        <f>SUM(AE25,AE29,AE52,AE56,AE61,AE64)</f>
        <v/>
      </c>
      <c r="AF65" s="207">
        <f>SUM(AF25,AF29,AF52,AF56,AF61,AF64)</f>
        <v/>
      </c>
      <c r="AG65" s="176">
        <f>SUM(AG25,AG29,AG52,AG56,AG61,AG64)</f>
        <v/>
      </c>
      <c r="AH65" s="176">
        <f>SUM(AH25,AH29,AH52,AH56,AH61,AH64)</f>
        <v/>
      </c>
      <c r="AI65" s="176">
        <f>SUM(AI25,AI29,AI52,AI56,AI61,AI64)</f>
        <v/>
      </c>
      <c r="AJ65" s="177" t="n"/>
      <c r="AK65" s="176">
        <f>SUM(AK25,AK29,AK52,AK56,AK61,AK64)</f>
        <v/>
      </c>
      <c r="AL65" s="176">
        <f>SUM(AL25,AL29,AL52,AL56,AL61,AL64)</f>
        <v/>
      </c>
      <c r="AM65" s="257">
        <f>SUM(AM25,AM29,AM52,AM56,AM61,AM64)</f>
        <v/>
      </c>
      <c r="AN65" s="176">
        <f>SUM(AN25,AN29,AN52,AN56,AN61,AN64)</f>
        <v/>
      </c>
      <c r="AO65" s="259">
        <f>SUM(AO25,AO29,AO52,AO56,AO61,AO64)</f>
        <v/>
      </c>
      <c r="AP65" s="207">
        <f>SUM(AP25,AP29,AP52,AP56,AP61,AP64)</f>
        <v/>
      </c>
      <c r="AQ65" s="176">
        <f>SUM(AQ25,AQ29,AQ52,AQ56,AQ61,AQ64)</f>
        <v/>
      </c>
      <c r="AR65" s="176">
        <f>SUM(AR25,AR29,AR52,AR56,AR61,AR64)</f>
        <v/>
      </c>
      <c r="AS65" s="176">
        <f>SUM(AS25,AS29,AS52,AS56,AS61,AS64)</f>
        <v/>
      </c>
      <c r="AT65" s="177" t="n"/>
      <c r="AU65" s="176">
        <f>SUM(AU25,AU29,AU52,AU56,AU61,AU64)</f>
        <v/>
      </c>
      <c r="AV65" s="176">
        <f>SUM(AV25,AV29,AV52,AV56,AV61,AV64)</f>
        <v/>
      </c>
      <c r="AW65" s="257">
        <f>SUM(AW25,AW29,AW52,AW56,AW61,AW64)</f>
        <v/>
      </c>
      <c r="AX65" s="176">
        <f>SUM(AX25,AX29,AX52,AX56,AX61,AX64)</f>
        <v/>
      </c>
      <c r="AY65" s="259">
        <f>SUM(AY25,AY29,AY52,AY56,AY61,AY64)</f>
        <v/>
      </c>
      <c r="AZ65" s="207">
        <f>SUM(AZ25,AZ29,AZ52,AZ56,AZ61,AZ64)</f>
        <v/>
      </c>
      <c r="BA65" s="176">
        <f>SUM(BA25,BA29,BA52,BA56,BA61,BA64)</f>
        <v/>
      </c>
      <c r="BB65" s="176">
        <f>SUM(BB25,BB29,BB52,BB56,BB61,BB64)</f>
        <v/>
      </c>
      <c r="BC65" s="176">
        <f>SUM(BC25,BC29,BC52,BC56,BC61,BC64)</f>
        <v/>
      </c>
      <c r="BD65" s="177" t="n"/>
      <c r="BE65" s="176">
        <f>SUM(BE25,BE29,BE52,BE56,BE61,BE64)</f>
        <v/>
      </c>
      <c r="BF65" s="176">
        <f>SUM(BF25,BF29,BF52,BF56,BF61,BF64)</f>
        <v/>
      </c>
      <c r="BG65" s="257">
        <f>SUM(BG25,BG29,BG52,BG56,BG61,BG64)</f>
        <v/>
      </c>
      <c r="BH65" s="176">
        <f>SUM(BH25,BH29,BH52,BH56,BH61,BH64)</f>
        <v/>
      </c>
      <c r="BI65" s="259">
        <f>SUM(BI25,BI29,BI52,BI56,BI61,BI64)</f>
        <v/>
      </c>
      <c r="BJ65" s="207">
        <f>SUM(BJ25,BJ29,BJ52,BJ56,BJ61,BJ64)</f>
        <v/>
      </c>
      <c r="BK65" s="176">
        <f>SUM(BK25,BK29,BK52,BK56,BK61,BK64)</f>
        <v/>
      </c>
      <c r="BL65" s="176">
        <f>SUM(BL25,BL29,BL52,BL56,BL61,BL64)</f>
        <v/>
      </c>
      <c r="BM65" s="176">
        <f>SUM(BM25,BM29,BM52,BM56,BM61,BM64)</f>
        <v/>
      </c>
      <c r="BN65" s="177" t="n"/>
      <c r="BO65" s="176">
        <f>SUM(BO25,BO29,BO52,BO56,BO61,BO64)</f>
        <v/>
      </c>
      <c r="BP65" s="176">
        <f>SUM(BP25,BP29,BP52,BP56,BP61,BP64)</f>
        <v/>
      </c>
      <c r="BQ65" s="257">
        <f>SUM(BQ25,BQ29,BQ52,BQ56,BQ61,BQ64)</f>
        <v/>
      </c>
      <c r="BR65" s="176">
        <f>SUM(BR25,BR29,BR52,BR56,BR61,BR64)</f>
        <v/>
      </c>
      <c r="BS65" s="259">
        <f>SUM(BS25,BS29,BS52,BS56,BS61,BS64)</f>
        <v/>
      </c>
      <c r="BT65" s="207">
        <f>SUM(BT25,BT29,BT52,BT56,BT61,BT64)</f>
        <v/>
      </c>
      <c r="BU65" s="176">
        <f>SUM(BU25,BU29,BU52,BU56,BU61,BU64)</f>
        <v/>
      </c>
      <c r="BV65" s="176">
        <f>SUM(BV25,BV29,BV52,BV56,BV61,BV64)</f>
        <v/>
      </c>
      <c r="BW65" s="176">
        <f>SUM(BW25,BW29,BW52,BW56,BW61,BW64)</f>
        <v/>
      </c>
      <c r="BX65" s="177" t="n"/>
      <c r="BY65" s="176">
        <f>SUM(BY25,BY29,BY52,BY56,BY61,BY64)</f>
        <v/>
      </c>
      <c r="BZ65" s="176">
        <f>SUM(BZ25,BZ29,BZ52,BZ56,BZ61,BZ64)</f>
        <v/>
      </c>
      <c r="CA65" s="257">
        <f>SUM(CA25,CA29,CA52,CA56,CA61,CA64)</f>
        <v/>
      </c>
      <c r="CB65" s="176">
        <f>SUM(CB25,CB29,CB52,CB56,CB61,CB64)</f>
        <v/>
      </c>
      <c r="CC65" s="259">
        <f>SUM(CC25,CC29,CC52,CC56,CC61,CC64)</f>
        <v/>
      </c>
      <c r="CD65" s="207">
        <f>SUM(CD25,CD29,CD52,CD56,CD61,CD64)</f>
        <v/>
      </c>
      <c r="CE65" s="176">
        <f>SUM(CE25,CE29,CE52,CE56,CE61,CE64)</f>
        <v/>
      </c>
      <c r="CF65" s="176">
        <f>SUM(CF25,CF29,CF52,CF56,CF61,CF64)</f>
        <v/>
      </c>
      <c r="CG65" s="176">
        <f>SUM(CG25,CG29,CG52,CG56,CG61,CG64)</f>
        <v/>
      </c>
      <c r="CH65" s="177" t="n"/>
      <c r="CI65" s="176">
        <f>SUM(CI25,CI29,CI52,CI56,CI61,CI64)</f>
        <v/>
      </c>
      <c r="CJ65" s="176">
        <f>SUM(CJ25,CJ29,CJ52,CJ56,CJ61,CJ64)</f>
        <v/>
      </c>
      <c r="CK65" s="257">
        <f>SUM(CK25,CK29,CK52,CK56,CK61,CK64)</f>
        <v/>
      </c>
      <c r="CL65" s="176">
        <f>SUM(CL25,CL29,CL52,CL56,CL61,CL64)</f>
        <v/>
      </c>
      <c r="CM65" s="259">
        <f>SUM(CM25,CM29,CM52,CM56,CM61,CM64)</f>
        <v/>
      </c>
      <c r="CN65" s="207">
        <f>SUM(CN25,CN29,CN52,CN56,CN61,CN64)</f>
        <v/>
      </c>
      <c r="CO65" s="176">
        <f>SUM(CO25,CO29,CO52,CO56,CO61,CO64)</f>
        <v/>
      </c>
      <c r="CP65" s="176">
        <f>SUM(CP25,CP29,CP52,CP56,CP61,CP64)</f>
        <v/>
      </c>
      <c r="CQ65" s="176">
        <f>SUM(CQ25,CQ29,CQ52,CQ56,CQ61,CQ64)</f>
        <v/>
      </c>
      <c r="CR65" s="177" t="n"/>
      <c r="CS65" s="176">
        <f>SUM(CS25,CS29,CS52,CS56,CS61,CS64)</f>
        <v/>
      </c>
      <c r="CT65" s="176">
        <f>SUM(CT25,CT29,CT52,CT56,CT61,CT64)</f>
        <v/>
      </c>
      <c r="CU65" s="257">
        <f>SUM(CU25,CU29,CU52,CU56,CU61,CU64)</f>
        <v/>
      </c>
      <c r="CV65" s="176">
        <f>SUM(CV25,CV29,CV52,CV56,CV61,CV64)</f>
        <v/>
      </c>
      <c r="CW65" s="259">
        <f>SUM(CW25,CW29,CW52,CW56,CW61,CW64)</f>
        <v/>
      </c>
      <c r="CX65" s="207">
        <f>SUM(CX25,CX29,CX52,CX56,CX61,CX64)</f>
        <v/>
      </c>
      <c r="CY65" s="176">
        <f>SUM(CY25,CY29,CY52,CY56,CY61,CY64)</f>
        <v/>
      </c>
      <c r="CZ65" s="176">
        <f>SUM(CZ25,CZ29,CZ52,CZ56,CZ61,CZ64)</f>
        <v/>
      </c>
      <c r="DA65" s="176">
        <f>SUM(DA25,DA29,DA52,DA56,DA61,DA64)</f>
        <v/>
      </c>
      <c r="DB65" s="178" t="n"/>
      <c r="DC65" s="179">
        <f>SUM(DC25,DC29,DC52,DC56,DC61,DC64)</f>
        <v/>
      </c>
      <c r="DD65" s="179">
        <f>SUM(DD25,DD29,DD52,DD56,DD61,DD64)</f>
        <v/>
      </c>
      <c r="DE65" s="258">
        <f>SUM(DE25,DE29,DE52,DE56,DE61,DE64)</f>
        <v/>
      </c>
      <c r="DF65" s="179">
        <f>SUM(DF25,DF29,DF52,DF56,DF61,DF64)</f>
        <v/>
      </c>
      <c r="DG65" s="260">
        <f>SUM(DG25,DG29,DG52,DG56,DG61,DG64)</f>
        <v/>
      </c>
      <c r="DH65" s="256">
        <f>SUM(DH25,DH29,DH52,DH56,DH61,DH64)</f>
        <v/>
      </c>
      <c r="DI65" s="179">
        <f>SUM(DI25,DI29,DI52,DI56,DI61,DI64)</f>
        <v/>
      </c>
      <c r="DJ65" s="179">
        <f>SUM(DJ25,DJ29,DJ52,DJ56,DJ61,DJ64)</f>
        <v/>
      </c>
      <c r="DK65" s="179">
        <f>SUM(DK25,DK29,DK52,DK56,DK61,DK64)</f>
        <v/>
      </c>
      <c r="DL65" s="178" t="n"/>
      <c r="DM65" s="258">
        <f>SUM(DM25,DM29,DM52,DM56,DM61,DM64)</f>
        <v/>
      </c>
      <c r="DN65" s="260">
        <f>SUM(DN25,DN29,DN52,DN56,DN61,DN64)</f>
        <v/>
      </c>
      <c r="DO65" s="178" t="n"/>
      <c r="DP65" s="542">
        <f>IFERROR((DE65-CU65)/CU65,"-")</f>
        <v/>
      </c>
      <c r="DQ65" s="542">
        <f>IFERROR((DG65-CW65)/CW65,"-")</f>
        <v/>
      </c>
      <c r="DR65" s="542">
        <f>IFERROR((DH65-CX65)/CX65,"-")</f>
        <v/>
      </c>
      <c r="DS65" s="179">
        <f>SUM(DS25,DS29,DS52,DS56,DS61,DS64)</f>
        <v/>
      </c>
      <c r="DT65" s="179">
        <f>SUM(DT25,DT29,DT52,DT56,DT61,DT64)</f>
        <v/>
      </c>
      <c r="DU65" s="258">
        <f>SUM(DU25,DU29,DU52,DU56,DU61,DU64)</f>
        <v/>
      </c>
      <c r="DV65" s="179">
        <f>SUM(DV25,DV29,DV52,DV56,DV61,DV64)</f>
        <v/>
      </c>
      <c r="DW65" s="260">
        <f>SUM(DW25,DW29,DW52,DW56,DW61,DW64)</f>
        <v/>
      </c>
      <c r="DX65" s="256">
        <f>SUM(DX25,DX29,DX52,DX56,DX61,DX64)</f>
        <v/>
      </c>
      <c r="DY65" s="179">
        <f>SUM(DY25,DY29,DY52,DY56,DY61,DY64)</f>
        <v/>
      </c>
      <c r="DZ65" s="179">
        <f>SUM(DZ25,DZ29,DZ52,DZ56,DZ61,DZ64)</f>
        <v/>
      </c>
      <c r="EA65" s="179">
        <f>SUM(EA25,EA29,EA52,EA56,EA61,EA64)</f>
        <v/>
      </c>
      <c r="EB65" s="178" t="n"/>
      <c r="EC65" s="258">
        <f>SUM(EC25,EC29,EC52,EC56,EC61,EC64)</f>
        <v/>
      </c>
      <c r="ED65" s="260">
        <f>SUM(ED25,ED29,ED52,ED56,ED61,ED64)</f>
        <v/>
      </c>
      <c r="EE65" s="178" t="n"/>
      <c r="EF65" s="542">
        <f>IFERROR((DU65-DE65)/DE65,"-")</f>
        <v/>
      </c>
      <c r="EG65" s="542">
        <f>IFERROR((DW65-DG65)/DG65,"-")</f>
        <v/>
      </c>
      <c r="EH65" s="542">
        <f>IFERROR((DX65-DH65)/DH65,"-")</f>
        <v/>
      </c>
      <c r="EI65" s="178" t="n"/>
      <c r="EJ65" s="179">
        <f>SUM(EJ25,EJ29,EJ52,EJ56,EJ61,EJ64)</f>
        <v/>
      </c>
      <c r="EK65" s="179">
        <f>SUM(EK25,EK29,EK52,EK56,EK61,EK64)</f>
        <v/>
      </c>
      <c r="EL65" s="258">
        <f>SUM(EL25,EL29,EL52,EL56,EL61,EL64)</f>
        <v/>
      </c>
      <c r="EM65" s="179">
        <f>SUM(EM25,EM29,EM52,EM56,EM61,EM64)</f>
        <v/>
      </c>
      <c r="EN65" s="260">
        <f>SUM(EN25,EN29,EN52,EN56,EN61,EN64)</f>
        <v/>
      </c>
      <c r="EO65" s="256">
        <f>SUM(EO25,EO29,EO52,EO56,EO61,EO64)</f>
        <v/>
      </c>
      <c r="EP65" s="179">
        <f>SUM(EP25,EP29,EP52,EP56,EP61,EP64)</f>
        <v/>
      </c>
      <c r="EQ65" s="179">
        <f>SUM(EQ25,EQ29,EQ52,EQ56,EQ61,EQ64)</f>
        <v/>
      </c>
      <c r="ER65" s="179">
        <f>SUM(ER25,ER29,ER52,ER56,ER61,ER64)</f>
        <v/>
      </c>
      <c r="ES65" s="178" t="n"/>
      <c r="ET65" s="179">
        <f>SUM(ET25,ET29,ET52,ET56,ET61,ET64)</f>
        <v/>
      </c>
      <c r="EU65" s="179">
        <f>SUM(EU25,EU29,EU52,EU56,EU61,EU64)</f>
        <v/>
      </c>
      <c r="EV65" s="179" t="n"/>
      <c r="EW65" s="543">
        <f>IFERROR((EL65-DU65)/DU65,"-")</f>
        <v/>
      </c>
      <c r="EX65" s="542">
        <f>IFERROR((EN65-DW65)/DW65,"-")</f>
        <v/>
      </c>
      <c r="EY65" s="542">
        <f>IFERROR((EO65-DX65)/DX65,"-")</f>
        <v/>
      </c>
    </row>
    <row r="66">
      <c r="A66" s="208" t="inlineStr">
        <is>
          <t>Fund of Funds Scheme (Domestic) **</t>
        </is>
      </c>
      <c r="B66" s="208" t="n"/>
      <c r="C66" s="208" t="n"/>
      <c r="D66" s="208" t="n"/>
      <c r="E66" s="208" t="n"/>
      <c r="F66" s="208" t="n"/>
      <c r="G66" s="442" t="n"/>
      <c r="H66" s="442" t="n"/>
      <c r="I66" s="442" t="n"/>
      <c r="J66" s="442" t="n"/>
      <c r="K66" s="442" t="n"/>
      <c r="L66" s="442" t="n"/>
      <c r="M66" s="442" t="n"/>
      <c r="N66" s="442" t="n"/>
      <c r="O66" s="442" t="n"/>
      <c r="P66" s="443" t="inlineStr">
        <is>
          <t>-</t>
        </is>
      </c>
      <c r="Q66" s="443" t="inlineStr">
        <is>
          <t>##  96</t>
        </is>
      </c>
      <c r="R66" s="443" t="n">
        <v>3647098</v>
      </c>
      <c r="S66" s="443" t="n">
        <v>4475.92752104</v>
      </c>
      <c r="T66" s="443" t="n">
        <v>3335.9397657</v>
      </c>
      <c r="U66" s="443" t="n">
        <v>1139.98775534</v>
      </c>
      <c r="V66" s="443" t="n">
        <v>100335.13529345</v>
      </c>
      <c r="W66" s="443" t="n">
        <v>98868.02447528001</v>
      </c>
      <c r="X66" s="443" t="n">
        <v>0</v>
      </c>
      <c r="Y66" s="443" t="n">
        <v>0</v>
      </c>
      <c r="Z66" s="443" t="inlineStr">
        <is>
          <t>-</t>
        </is>
      </c>
      <c r="AA66" s="443" t="inlineStr">
        <is>
          <t>##  102</t>
        </is>
      </c>
      <c r="AB66" s="443" t="n">
        <v>3854287</v>
      </c>
      <c r="AC66" s="443" t="n">
        <v>7281.73111938</v>
      </c>
      <c r="AD66" s="443" t="n">
        <v>1452.41435616</v>
      </c>
      <c r="AE66" s="443" t="n">
        <v>5829.31676322</v>
      </c>
      <c r="AF66" s="443" t="n">
        <v>108136.90455787</v>
      </c>
      <c r="AG66" s="443" t="n">
        <v>104870.21255876</v>
      </c>
      <c r="AH66" s="443" t="n">
        <v>0</v>
      </c>
      <c r="AI66" s="443" t="n">
        <v>0</v>
      </c>
      <c r="AJ66" s="443" t="inlineStr">
        <is>
          <t>-</t>
        </is>
      </c>
      <c r="AK66" s="443" t="inlineStr">
        <is>
          <t>##  104</t>
        </is>
      </c>
      <c r="AL66" s="443" t="n">
        <v>4085861</v>
      </c>
      <c r="AM66" s="443" t="n">
        <v>10188.22992365</v>
      </c>
      <c r="AN66" s="443" t="n">
        <v>1540.65945019</v>
      </c>
      <c r="AO66" s="443" t="n">
        <v>8647.57047346</v>
      </c>
      <c r="AP66" s="443" t="n">
        <v>118077.41366797</v>
      </c>
      <c r="AQ66" s="443" t="n">
        <v>114607.7982872</v>
      </c>
      <c r="AR66" s="443" t="n">
        <v>0</v>
      </c>
      <c r="AS66" s="443" t="n">
        <v>0</v>
      </c>
      <c r="AT66" s="443" t="inlineStr">
        <is>
          <t>-</t>
        </is>
      </c>
      <c r="AU66" s="443" t="inlineStr">
        <is>
          <t>## 109</t>
        </is>
      </c>
      <c r="AV66" s="443" t="n">
        <v>4342221</v>
      </c>
      <c r="AW66" s="443" t="n">
        <v>8880.800820160001</v>
      </c>
      <c r="AX66" s="443" t="n">
        <v>1846.6492191</v>
      </c>
      <c r="AY66" s="443" t="n">
        <v>7034.15160106</v>
      </c>
      <c r="AZ66" s="443" t="n">
        <v>125750.77390495</v>
      </c>
      <c r="BA66" s="443" t="n">
        <v>123742.51600792</v>
      </c>
      <c r="BB66" s="443" t="n">
        <v>0</v>
      </c>
      <c r="BC66" s="443" t="n">
        <v>0</v>
      </c>
      <c r="BD66" s="443" t="inlineStr">
        <is>
          <t>-</t>
        </is>
      </c>
      <c r="BE66" s="443" t="n">
        <v>114</v>
      </c>
      <c r="BF66" s="443" t="n">
        <v>4612682</v>
      </c>
      <c r="BG66" s="443" t="n">
        <v>7070.63945791</v>
      </c>
      <c r="BH66" s="443" t="n">
        <v>1654.1926681</v>
      </c>
      <c r="BI66" s="443" t="n">
        <v>5416.44678981</v>
      </c>
      <c r="BJ66" s="443" t="n">
        <v>131767.03484553</v>
      </c>
      <c r="BK66" s="443" t="n">
        <v>130681.263404</v>
      </c>
      <c r="BL66" s="443" t="n">
        <v>0</v>
      </c>
      <c r="BM66" s="443" t="n">
        <v>0</v>
      </c>
      <c r="BN66" s="443" t="inlineStr">
        <is>
          <t>-</t>
        </is>
      </c>
      <c r="BO66" s="443" t="inlineStr">
        <is>
          <t># 119</t>
        </is>
      </c>
      <c r="BP66" s="443" t="n">
        <v>5435446</v>
      </c>
      <c r="BQ66" s="443" t="n">
        <v>14691.1997521</v>
      </c>
      <c r="BR66" s="443" t="n">
        <v>2295.23703977</v>
      </c>
      <c r="BS66" s="443" t="n">
        <v>12395.96271233</v>
      </c>
      <c r="BT66" s="443" t="n">
        <v>150121.81499627</v>
      </c>
      <c r="BU66" s="443" t="n">
        <v>143230.53612635</v>
      </c>
      <c r="BV66" s="443" t="n">
        <v>0</v>
      </c>
      <c r="BW66" s="443" t="n">
        <v>0</v>
      </c>
      <c r="BX66" s="443" t="inlineStr">
        <is>
          <t>-</t>
        </is>
      </c>
      <c r="BY66" s="443" t="inlineStr">
        <is>
          <t>## 120</t>
        </is>
      </c>
      <c r="BZ66" s="443" t="n">
        <v>6563721</v>
      </c>
      <c r="CA66" s="443" t="n">
        <v>14053.69143489</v>
      </c>
      <c r="CB66" s="443" t="n">
        <v>6283.00492867</v>
      </c>
      <c r="CC66" s="443" t="n">
        <v>7770.68650621999</v>
      </c>
      <c r="CD66" s="443" t="n">
        <v>161978.18403374</v>
      </c>
      <c r="CE66" s="443" t="n">
        <v>162168.21317676</v>
      </c>
      <c r="CF66" s="443" t="n">
        <v>0</v>
      </c>
      <c r="CG66" s="443" t="n">
        <v>0</v>
      </c>
      <c r="CH66" s="443" t="inlineStr">
        <is>
          <t>-</t>
        </is>
      </c>
      <c r="CI66" s="443" t="inlineStr">
        <is>
          <t>## 121</t>
        </is>
      </c>
      <c r="CJ66" s="443" t="n">
        <v>7116095</v>
      </c>
      <c r="CK66" s="443" t="n">
        <v>7641.53427401</v>
      </c>
      <c r="CL66" s="443" t="n">
        <v>2559.72695778</v>
      </c>
      <c r="CM66" s="443" t="n">
        <v>5081.80731623</v>
      </c>
      <c r="CN66" s="443" t="n">
        <v>170138.67063003</v>
      </c>
      <c r="CO66" s="443" t="n">
        <v>168529.18254543</v>
      </c>
      <c r="CP66" s="443" t="n">
        <v>0</v>
      </c>
      <c r="CQ66" s="443" t="n">
        <v>0</v>
      </c>
      <c r="CR66" s="443" t="inlineStr">
        <is>
          <t>-</t>
        </is>
      </c>
      <c r="CS66" s="443" t="inlineStr">
        <is>
          <t>## 127</t>
        </is>
      </c>
      <c r="CT66" s="443" t="n">
        <v>8432466</v>
      </c>
      <c r="CU66" s="443" t="n">
        <v>15431.29494789</v>
      </c>
      <c r="CV66" s="443" t="n">
        <v>5181.02883816</v>
      </c>
      <c r="CW66" s="443" t="n">
        <v>10250.26610973</v>
      </c>
      <c r="CX66" s="443" t="n">
        <v>188244.46176161</v>
      </c>
      <c r="CY66" s="443" t="n">
        <v>183180.67023996</v>
      </c>
      <c r="CZ66" s="443" t="n">
        <v>0</v>
      </c>
      <c r="DA66" s="443" t="n">
        <v>0</v>
      </c>
      <c r="DB66" s="444" t="inlineStr">
        <is>
          <t>-</t>
        </is>
      </c>
      <c r="DC66" s="444" t="inlineStr">
        <is>
          <t>## 132</t>
        </is>
      </c>
      <c r="DD66" s="444" t="n">
        <v>10633970</v>
      </c>
      <c r="DE66" s="444" t="n">
        <v>23858.54483433</v>
      </c>
      <c r="DF66" s="444" t="n">
        <v>12607.94115068</v>
      </c>
      <c r="DG66" s="444" t="n">
        <v>11250.60368365</v>
      </c>
      <c r="DH66" s="444" t="n">
        <v>216823.63326598</v>
      </c>
      <c r="DI66" s="444" t="n">
        <v>207522.034466</v>
      </c>
      <c r="DJ66" s="444" t="n">
        <v>0</v>
      </c>
      <c r="DK66" s="444" t="n">
        <v>0</v>
      </c>
      <c r="DL66" s="444" t="inlineStr">
        <is>
          <t>-</t>
        </is>
      </c>
      <c r="DM66" s="444" t="n">
        <v>0</v>
      </c>
      <c r="DN66" s="444" t="n">
        <v>0</v>
      </c>
      <c r="DO66" s="444" t="inlineStr">
        <is>
          <t>-</t>
        </is>
      </c>
      <c r="DP66" s="444">
        <f>(DE66-CU66)/CU66</f>
        <v/>
      </c>
      <c r="DQ66" s="445">
        <f>(DG66-CW66)/CW66</f>
        <v/>
      </c>
      <c r="DR66" s="444">
        <f>(DI66-CY66)/CY66</f>
        <v/>
      </c>
      <c r="DS66" s="444" t="inlineStr">
        <is>
          <t>## 136</t>
        </is>
      </c>
      <c r="DT66" s="444" t="n">
        <v>11519870</v>
      </c>
      <c r="DU66" s="444" t="n">
        <v>12564.52162906</v>
      </c>
      <c r="DV66" s="444" t="n">
        <v>8995.714682000011</v>
      </c>
      <c r="DW66" s="444" t="n">
        <v>3568.80694705999</v>
      </c>
      <c r="DX66" s="444" t="n">
        <v>214642.07255768</v>
      </c>
      <c r="DY66" s="444" t="n">
        <v>212743.79826153</v>
      </c>
      <c r="DZ66" s="444" t="n">
        <v>0</v>
      </c>
      <c r="EA66" s="444" t="n">
        <v>0</v>
      </c>
      <c r="EB66" s="444" t="inlineStr">
        <is>
          <t>-</t>
        </is>
      </c>
      <c r="EC66" s="444" t="n">
        <v>0</v>
      </c>
      <c r="ED66" s="444" t="n">
        <v>0</v>
      </c>
      <c r="EE66" s="444" t="inlineStr">
        <is>
          <t>-</t>
        </is>
      </c>
      <c r="EF66" s="444" t="n"/>
      <c r="EG66" s="445" t="n"/>
      <c r="EH66" s="444" t="n"/>
      <c r="EI66" s="444" t="inlineStr">
        <is>
          <t>-</t>
        </is>
      </c>
      <c r="EJ66" s="444" t="inlineStr">
        <is>
          <t>## 145</t>
        </is>
      </c>
      <c r="EK66" s="444" t="n">
        <v>12096585</v>
      </c>
      <c r="EL66" s="444" t="n">
        <v>10358.33351832</v>
      </c>
      <c r="EM66" s="444" t="n">
        <v>6622.04039804</v>
      </c>
      <c r="EN66" s="444" t="n">
        <v>3736.29312028001</v>
      </c>
      <c r="EO66" s="444" t="n">
        <v>202965.0843683</v>
      </c>
      <c r="EP66" s="444" t="n">
        <v>212377.23628974</v>
      </c>
      <c r="EQ66" s="444" t="n">
        <v>0</v>
      </c>
      <c r="ER66" s="444" t="n">
        <v>0</v>
      </c>
      <c r="ES66" s="444" t="inlineStr">
        <is>
          <t>-</t>
        </is>
      </c>
      <c r="ET66" s="444" t="n">
        <v>0</v>
      </c>
      <c r="EU66" s="444" t="n">
        <v>0</v>
      </c>
      <c r="EV66" s="444" t="inlineStr">
        <is>
          <t>-</t>
        </is>
      </c>
      <c r="EW66" s="446" t="n"/>
      <c r="EX66" s="444" t="n"/>
      <c r="EY66" s="444" t="n"/>
    </row>
    <row r="67">
      <c r="A67" s="210" t="inlineStr">
        <is>
          <t>** Data in respect Fund of Funds Domestic is shown for information only. The same is included in the respective underlying schemes.</t>
        </is>
      </c>
      <c r="B67" s="210" t="n"/>
      <c r="C67" s="210" t="n"/>
      <c r="D67" s="210" t="n"/>
      <c r="E67" s="210" t="n"/>
      <c r="F67" s="210" t="n"/>
      <c r="G67" s="426" t="n"/>
      <c r="H67" s="426" t="n"/>
      <c r="I67" s="426" t="n"/>
      <c r="J67" s="426" t="n"/>
      <c r="K67" s="426" t="n"/>
      <c r="L67" s="426" t="n"/>
      <c r="M67" s="426" t="n"/>
      <c r="N67" s="426" t="n"/>
      <c r="O67" s="426" t="n"/>
      <c r="P67" s="210" t="n"/>
      <c r="Q67" s="210" t="n"/>
      <c r="R67" s="210" t="n"/>
      <c r="S67" s="210" t="n"/>
      <c r="T67" s="210" t="n"/>
      <c r="U67" s="210" t="n"/>
      <c r="V67" s="210" t="n"/>
      <c r="W67" s="210" t="n"/>
      <c r="X67" s="210" t="n"/>
      <c r="Y67" s="210" t="n"/>
      <c r="Z67" s="210" t="n"/>
      <c r="AA67" s="210" t="n"/>
      <c r="AB67" s="210" t="n"/>
      <c r="AC67" s="210" t="n"/>
      <c r="AD67" s="210" t="n"/>
      <c r="AE67" s="210" t="n"/>
      <c r="AF67" s="210" t="n"/>
      <c r="AG67" s="210" t="n"/>
      <c r="AH67" s="210" t="n"/>
      <c r="AI67" s="210" t="n"/>
      <c r="AJ67" s="210" t="n"/>
      <c r="AK67" s="210" t="n"/>
      <c r="AL67" s="210" t="n"/>
      <c r="AM67" s="210" t="n"/>
      <c r="AN67" s="210" t="n"/>
      <c r="AO67" s="210" t="n"/>
      <c r="AP67" s="210" t="n"/>
      <c r="AQ67" s="210" t="n"/>
      <c r="AR67" s="210" t="n"/>
      <c r="AS67" s="210" t="n"/>
      <c r="AT67" s="210" t="n"/>
      <c r="AU67" s="210" t="n"/>
      <c r="AV67" s="210" t="n"/>
      <c r="AW67" s="210" t="n"/>
      <c r="AX67" s="210" t="n"/>
      <c r="AY67" s="210" t="n"/>
      <c r="AZ67" s="210" t="n"/>
      <c r="BA67" s="210" t="n"/>
      <c r="BB67" s="210" t="n"/>
      <c r="BC67" s="210" t="n"/>
      <c r="BD67" s="210" t="n"/>
      <c r="BE67" s="210" t="n"/>
      <c r="BF67" s="210" t="n"/>
      <c r="BG67" s="210" t="n"/>
      <c r="BH67" s="210" t="n"/>
      <c r="BI67" s="210" t="n"/>
      <c r="BJ67" s="210" t="n"/>
      <c r="BK67" s="210" t="n"/>
      <c r="BL67" s="210" t="n"/>
      <c r="BM67" s="210" t="n"/>
      <c r="BN67" s="210" t="n"/>
      <c r="BO67" s="210" t="n"/>
      <c r="BP67" s="210" t="n"/>
      <c r="BQ67" s="210" t="n"/>
      <c r="BR67" s="210" t="n"/>
      <c r="BS67" s="210" t="n"/>
      <c r="BT67" s="210" t="n"/>
      <c r="BU67" s="210" t="n"/>
      <c r="BV67" s="210" t="n"/>
      <c r="BW67" s="210" t="n"/>
      <c r="BX67" s="210" t="n"/>
      <c r="BY67" s="210" t="n"/>
      <c r="BZ67" s="210" t="n"/>
      <c r="CA67" s="210" t="n"/>
      <c r="CB67" s="210" t="n"/>
      <c r="CC67" s="210" t="n"/>
      <c r="CD67" s="210" t="n"/>
      <c r="CE67" s="210" t="n"/>
      <c r="CF67" s="210" t="n"/>
      <c r="CG67" s="210" t="n"/>
      <c r="CH67" s="210" t="n"/>
      <c r="CI67" s="210" t="n"/>
      <c r="CJ67" s="210" t="n"/>
      <c r="CK67" s="210" t="n"/>
      <c r="CL67" s="210" t="n"/>
      <c r="CM67" s="210" t="n"/>
      <c r="CN67" s="210" t="n"/>
      <c r="CO67" s="210" t="n"/>
      <c r="CP67" s="210" t="n"/>
      <c r="CQ67" s="210" t="n"/>
      <c r="CR67" s="210" t="n"/>
      <c r="CS67" s="210" t="n"/>
      <c r="CT67" s="210" t="n"/>
      <c r="CU67" s="210" t="n"/>
      <c r="CV67" s="210" t="n"/>
      <c r="CW67" s="210" t="n"/>
      <c r="CX67" s="210" t="n"/>
      <c r="CY67" s="210" t="n"/>
      <c r="CZ67" s="210" t="n"/>
      <c r="DA67" s="210" t="n"/>
      <c r="DB67" s="211" t="n"/>
      <c r="DC67" s="211" t="n"/>
      <c r="DD67" s="211" t="n"/>
      <c r="DE67" s="211" t="n"/>
      <c r="DF67" s="211" t="n"/>
      <c r="DG67" s="211" t="n"/>
      <c r="DH67" s="211" t="n"/>
      <c r="DI67" s="211" t="n"/>
      <c r="DJ67" s="211" t="n"/>
      <c r="DK67" s="211" t="n"/>
      <c r="DL67" s="211" t="n"/>
      <c r="DM67" s="211" t="n"/>
      <c r="DN67" s="211" t="n"/>
      <c r="DO67" s="211" t="n"/>
      <c r="DP67" s="211" t="n"/>
      <c r="DQ67" s="212" t="n"/>
      <c r="DR67" s="211" t="n"/>
      <c r="DS67" s="211" t="n"/>
      <c r="DT67" s="211" t="n"/>
      <c r="DU67" s="211" t="n"/>
      <c r="DV67" s="211" t="n"/>
      <c r="DW67" s="211" t="n"/>
      <c r="DX67" s="211" t="n"/>
      <c r="DY67" s="211" t="n"/>
      <c r="DZ67" s="211" t="n"/>
      <c r="EA67" s="211" t="n"/>
      <c r="EB67" s="211" t="n"/>
      <c r="EC67" s="211" t="n"/>
      <c r="ED67" s="211" t="n"/>
      <c r="EE67" s="211" t="n"/>
      <c r="EF67" s="211" t="n"/>
      <c r="EG67" s="212" t="n"/>
      <c r="EH67" s="211" t="n"/>
      <c r="EI67" s="211" t="n"/>
      <c r="EJ67" s="211" t="n"/>
      <c r="EK67" s="211" t="n"/>
      <c r="EL67" s="211" t="n"/>
      <c r="EM67" s="211" t="n"/>
      <c r="EN67" s="211" t="n"/>
      <c r="EO67" s="211" t="n"/>
      <c r="EP67" s="211" t="n"/>
      <c r="EQ67" s="211" t="n"/>
      <c r="ER67" s="211" t="n"/>
      <c r="ES67" s="211" t="n"/>
      <c r="ET67" s="211" t="n"/>
      <c r="EU67" s="211" t="n"/>
      <c r="EV67" s="211" t="n"/>
      <c r="EW67" s="209" t="n"/>
      <c r="EX67" s="212" t="n"/>
      <c r="EY67" s="211" t="n"/>
    </row>
    <row r="68">
      <c r="A68" s="213" t="inlineStr">
        <is>
          <t xml:space="preserve">## Include NFO - Mirae Asset BSE Select IPO ETF Fund of Fund and Mirae Asset BSE 200 Equal Weight ETF Fund of Fund. There was a Fundamental Attribute Change carried out in one MF scheme, pursuant to which, the scheme which was earlier categorised as fund of fund overseas is now classified as fund of fund domestic. </t>
        </is>
      </c>
      <c r="B68" s="213" t="n"/>
      <c r="C68" s="213" t="n"/>
      <c r="D68" s="213" t="n"/>
      <c r="E68" s="213" t="n"/>
      <c r="F68" s="213" t="n"/>
      <c r="P68" s="213" t="n"/>
      <c r="Q68" s="213" t="n"/>
      <c r="R68" s="213" t="n"/>
      <c r="S68" s="213" t="n"/>
      <c r="T68" s="213" t="n"/>
      <c r="U68" s="213" t="n"/>
      <c r="V68" s="213" t="n"/>
      <c r="W68" s="213" t="n"/>
      <c r="X68" s="213" t="n"/>
      <c r="Y68" s="213" t="n"/>
      <c r="Z68" s="213" t="n"/>
      <c r="AA68" s="213" t="n"/>
      <c r="AB68" s="213" t="n"/>
      <c r="AC68" s="213" t="n"/>
      <c r="AD68" s="213" t="n"/>
      <c r="AE68" s="213" t="n"/>
      <c r="AF68" s="213" t="n"/>
      <c r="AG68" s="213" t="n"/>
      <c r="AH68" s="213" t="n"/>
      <c r="AI68" s="213" t="n"/>
      <c r="AJ68" s="213" t="n"/>
      <c r="AK68" s="213" t="n"/>
      <c r="AL68" s="213" t="n"/>
      <c r="AM68" s="213" t="n"/>
      <c r="AN68" s="213" t="n"/>
      <c r="AO68" s="213" t="n"/>
      <c r="AP68" s="213" t="n"/>
      <c r="AQ68" s="213" t="n"/>
      <c r="AR68" s="213" t="n"/>
      <c r="AS68" s="213" t="n"/>
      <c r="AT68" s="213" t="n"/>
      <c r="AU68" s="213" t="n"/>
      <c r="AV68" s="213" t="n"/>
      <c r="AW68" s="213" t="n"/>
      <c r="AX68" s="213" t="n"/>
      <c r="AY68" s="213" t="n"/>
      <c r="AZ68" s="213" t="n"/>
      <c r="BA68" s="213" t="n"/>
      <c r="BB68" s="213" t="n"/>
      <c r="BC68" s="213" t="n"/>
      <c r="BD68" s="213" t="n"/>
      <c r="BE68" s="213" t="n"/>
      <c r="BF68" s="213" t="n"/>
      <c r="BG68" s="213" t="n"/>
      <c r="BH68" s="213" t="n"/>
      <c r="BI68" s="213" t="n"/>
      <c r="BJ68" s="213" t="n"/>
      <c r="BK68" s="213" t="n"/>
      <c r="BL68" s="213" t="n"/>
      <c r="BM68" s="213" t="n"/>
      <c r="BN68" s="213" t="n"/>
      <c r="BO68" s="213" t="n"/>
      <c r="BP68" s="213" t="n"/>
      <c r="BQ68" s="213" t="n"/>
      <c r="BR68" s="213" t="n"/>
      <c r="BS68" s="213" t="n"/>
      <c r="BT68" s="213" t="n"/>
      <c r="BU68" s="213" t="n"/>
      <c r="BV68" s="213" t="n"/>
      <c r="BW68" s="213" t="n"/>
      <c r="BX68" s="213" t="n"/>
      <c r="BY68" s="213" t="n"/>
      <c r="BZ68" s="213" t="n"/>
      <c r="CA68" s="213" t="n"/>
      <c r="CB68" s="213" t="n"/>
      <c r="CC68" s="213" t="n"/>
      <c r="CD68" s="213" t="n"/>
      <c r="CE68" s="213" t="n"/>
      <c r="CF68" s="213" t="n"/>
      <c r="CG68" s="213" t="n"/>
      <c r="CH68" s="213" t="n"/>
      <c r="CI68" s="213" t="n"/>
      <c r="CJ68" s="213" t="n"/>
      <c r="CK68" s="213" t="n"/>
      <c r="CL68" s="213" t="n"/>
      <c r="CM68" s="213" t="n"/>
      <c r="CN68" s="213" t="n"/>
      <c r="CO68" s="213" t="n"/>
      <c r="CP68" s="213" t="n"/>
      <c r="CQ68" s="213" t="n"/>
      <c r="CR68" s="213" t="n"/>
      <c r="CS68" s="213" t="n"/>
      <c r="CT68" s="213" t="n"/>
      <c r="CU68" s="213" t="n"/>
      <c r="CV68" s="213" t="n"/>
      <c r="CW68" s="213" t="n"/>
      <c r="CX68" s="213" t="n"/>
      <c r="CY68" s="213" t="n"/>
      <c r="CZ68" s="213" t="n"/>
      <c r="DA68" s="213" t="n"/>
      <c r="DB68" s="214" t="n"/>
      <c r="DC68" s="214" t="n"/>
      <c r="DD68" s="214" t="n"/>
      <c r="DE68" s="214" t="n"/>
      <c r="DF68" s="214" t="n"/>
      <c r="DG68" s="214" t="n"/>
      <c r="DH68" s="214" t="n"/>
      <c r="DI68" s="214" t="n"/>
      <c r="DJ68" s="214" t="n"/>
      <c r="DK68" s="214" t="n"/>
      <c r="DL68" s="214" t="n"/>
      <c r="DM68" s="214" t="n"/>
      <c r="DN68" s="214" t="n"/>
      <c r="DO68" s="214" t="n"/>
      <c r="DP68" s="214" t="n"/>
      <c r="DQ68" s="215" t="n"/>
      <c r="DR68" s="214" t="n"/>
      <c r="DS68" s="214" t="n"/>
      <c r="DT68" s="214" t="n"/>
      <c r="DU68" s="214" t="n"/>
      <c r="DV68" s="214" t="n"/>
      <c r="DW68" s="214" t="n"/>
      <c r="DX68" s="214" t="n"/>
      <c r="DY68" s="214" t="n"/>
      <c r="DZ68" s="214" t="n"/>
      <c r="EA68" s="214" t="n"/>
      <c r="EB68" s="214" t="n"/>
      <c r="EC68" s="214" t="n"/>
      <c r="ED68" s="214" t="n"/>
      <c r="EE68" s="214" t="n"/>
      <c r="EF68" s="214" t="n"/>
      <c r="EG68" s="215" t="n"/>
      <c r="EH68" s="214" t="n"/>
      <c r="EI68" s="214" t="n"/>
      <c r="EJ68" s="214" t="n"/>
      <c r="EK68" s="214" t="n"/>
      <c r="EL68" s="214" t="n"/>
      <c r="EM68" s="214" t="n"/>
      <c r="EN68" s="214" t="n"/>
      <c r="EO68" s="214" t="n"/>
      <c r="EP68" s="214" t="n"/>
      <c r="EQ68" s="214" t="n"/>
      <c r="ER68" s="214" t="n"/>
      <c r="ES68" s="214" t="n"/>
      <c r="ET68" s="214" t="n"/>
      <c r="EU68" s="214" t="n"/>
      <c r="EV68" s="214" t="n"/>
      <c r="EW68" s="209" t="n"/>
      <c r="EX68" s="215" t="n"/>
      <c r="EY68" s="214" t="n"/>
    </row>
    <row r="69" ht="12"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c r="BF69" s="1" t="n"/>
      <c r="BG69" s="1" t="n"/>
      <c r="BH69" s="1" t="n"/>
      <c r="BI69" s="1" t="n"/>
      <c r="BJ69" s="1" t="n"/>
      <c r="BK69" s="1" t="n"/>
      <c r="BL69" s="1" t="n"/>
      <c r="BM69" s="1" t="n"/>
      <c r="BN69" s="1" t="n"/>
      <c r="BO69" s="1" t="n"/>
      <c r="BP69" s="1" t="n"/>
      <c r="BQ69" s="1" t="n"/>
      <c r="BR69" s="1" t="n"/>
      <c r="BS69" s="1" t="n"/>
      <c r="BT69" s="1" t="n"/>
      <c r="BU69" s="1" t="n"/>
      <c r="BV69" s="1" t="n"/>
      <c r="BW69" s="1" t="n"/>
      <c r="BX69" s="1" t="n"/>
      <c r="BY69" s="1" t="n"/>
      <c r="BZ69" s="1" t="n"/>
      <c r="CA69" s="1" t="n"/>
      <c r="CB69" s="1" t="n"/>
      <c r="CC69" s="1" t="n"/>
      <c r="CD69" s="1" t="n"/>
      <c r="CE69" s="1" t="n"/>
      <c r="CF69" s="1" t="n"/>
      <c r="CG69" s="1" t="n"/>
      <c r="CH69" s="1" t="n"/>
      <c r="CI69" s="1" t="n"/>
      <c r="CJ69" s="1" t="n"/>
      <c r="CK69" s="1" t="n"/>
      <c r="CL69" s="1" t="n"/>
      <c r="CM69" s="1" t="n"/>
      <c r="CN69" s="1" t="n"/>
      <c r="CO69" s="1" t="n"/>
      <c r="CP69" s="1" t="n"/>
      <c r="CQ69" s="1" t="n"/>
      <c r="CR69" s="1" t="n"/>
      <c r="CS69" s="1" t="n"/>
      <c r="CT69" s="1" t="n"/>
      <c r="CU69" s="1" t="n"/>
      <c r="CV69" s="1" t="n"/>
      <c r="CW69" s="1" t="n"/>
      <c r="CX69" s="1" t="n"/>
      <c r="CY69" s="1" t="n"/>
      <c r="CZ69" s="1" t="n"/>
      <c r="DA69" s="1" t="n"/>
      <c r="DQ69" s="1" t="n"/>
      <c r="EG69" s="1" t="n"/>
      <c r="EW69" s="1" t="n"/>
      <c r="EX69" s="1" t="n"/>
    </row>
    <row r="70" ht="12"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c r="BF70" s="1" t="n"/>
      <c r="BG70" s="1" t="n"/>
      <c r="BH70" s="1" t="n"/>
      <c r="BI70" s="1" t="n"/>
      <c r="BJ70" s="1" t="n"/>
      <c r="BK70" s="1" t="n"/>
      <c r="BL70" s="1" t="n"/>
      <c r="BM70" s="1" t="n"/>
      <c r="BN70" s="1" t="n"/>
      <c r="BO70" s="1" t="n"/>
      <c r="BP70" s="1" t="n"/>
      <c r="BQ70" s="1" t="n"/>
      <c r="BR70" s="1" t="n"/>
      <c r="BS70" s="1" t="n"/>
      <c r="BT70" s="1" t="n"/>
      <c r="BU70" s="1" t="n"/>
      <c r="BV70" s="1" t="n"/>
      <c r="BW70" s="1" t="n"/>
      <c r="BX70" s="1" t="n"/>
      <c r="BY70" s="1" t="n"/>
      <c r="BZ70" s="1" t="n"/>
      <c r="CA70" s="1" t="n"/>
      <c r="CB70" s="1" t="n"/>
      <c r="CC70" s="1" t="n"/>
      <c r="CD70" s="1" t="n"/>
      <c r="CE70" s="1" t="n"/>
      <c r="CF70" s="1" t="n"/>
      <c r="CG70" s="1" t="n"/>
      <c r="CH70" s="1" t="n"/>
      <c r="CI70" s="1" t="n"/>
      <c r="CJ70" s="1" t="n"/>
      <c r="CK70" s="1" t="n"/>
      <c r="CL70" s="1" t="n"/>
      <c r="CM70" s="1" t="n"/>
      <c r="CN70" s="1" t="n"/>
      <c r="CO70" s="1" t="n"/>
      <c r="CP70" s="1" t="n"/>
      <c r="CQ70" s="1" t="n"/>
      <c r="CR70" s="1" t="n"/>
      <c r="CS70" s="1" t="n"/>
      <c r="CT70" s="1" t="n"/>
      <c r="CU70" s="1" t="n"/>
      <c r="CV70" s="1" t="n"/>
      <c r="CW70" s="1" t="n"/>
      <c r="CX70" s="1" t="n"/>
      <c r="CY70" s="1" t="n"/>
      <c r="CZ70" s="1" t="n"/>
      <c r="DA70" s="1" t="n"/>
      <c r="DQ70" s="1" t="n"/>
      <c r="EG70" s="1" t="n"/>
      <c r="EW70" s="1" t="n"/>
      <c r="EX70" s="1" t="n"/>
    </row>
    <row r="71" ht="12"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c r="AW71" s="1" t="n"/>
      <c r="AX71" s="1" t="n"/>
      <c r="AY71" s="1" t="n"/>
      <c r="AZ71" s="1" t="n"/>
      <c r="BA71" s="1" t="n"/>
      <c r="BB71" s="1" t="n"/>
      <c r="BC71" s="1" t="n"/>
      <c r="BD71" s="1" t="n"/>
      <c r="BE71" s="1" t="n"/>
      <c r="BF71" s="1" t="n"/>
      <c r="BG71" s="1" t="n"/>
      <c r="BH71" s="1" t="n"/>
      <c r="BI71" s="1" t="n"/>
      <c r="BJ71" s="1" t="n"/>
      <c r="BK71" s="1" t="n"/>
      <c r="BL71" s="1" t="n"/>
      <c r="BM71" s="1" t="n"/>
      <c r="BN71" s="1" t="n"/>
      <c r="BO71" s="1" t="n"/>
      <c r="BP71" s="1" t="n"/>
      <c r="BQ71" s="1" t="n"/>
      <c r="BR71" s="1" t="n"/>
      <c r="BS71" s="1" t="n"/>
      <c r="BT71" s="1" t="n"/>
      <c r="BU71" s="1" t="n"/>
      <c r="BV71" s="1" t="n"/>
      <c r="BW71" s="1" t="n"/>
      <c r="BX71" s="1" t="n"/>
      <c r="BY71" s="1" t="n"/>
      <c r="BZ71" s="1" t="n"/>
      <c r="CA71" s="1" t="n"/>
      <c r="CB71" s="1" t="n"/>
      <c r="CC71" s="1" t="n"/>
      <c r="CD71" s="1" t="n"/>
      <c r="CE71" s="1" t="n"/>
      <c r="CF71" s="1" t="n"/>
      <c r="CG71" s="1" t="n"/>
      <c r="CH71" s="1" t="n"/>
      <c r="CI71" s="1" t="n"/>
      <c r="CJ71" s="1" t="n"/>
      <c r="CK71" s="1" t="n"/>
      <c r="CL71" s="1" t="n"/>
      <c r="CM71" s="1" t="n"/>
      <c r="CN71" s="1" t="n"/>
      <c r="CO71" s="1" t="n"/>
      <c r="CP71" s="1" t="n"/>
      <c r="CQ71" s="1" t="n"/>
      <c r="CR71" s="1" t="n"/>
      <c r="CS71" s="1" t="n"/>
      <c r="CT71" s="1" t="n"/>
      <c r="CU71" s="1" t="n"/>
      <c r="CV71" s="1" t="n"/>
      <c r="CW71" s="1" t="n"/>
      <c r="CX71" s="1" t="n"/>
      <c r="CY71" s="1" t="n"/>
      <c r="CZ71" s="1" t="n"/>
      <c r="DA71" s="1" t="n"/>
      <c r="DQ71" s="1" t="n"/>
      <c r="EG71" s="1" t="n"/>
      <c r="EW71" s="1" t="n"/>
      <c r="EX71" s="1" t="n"/>
    </row>
    <row r="72">
      <c r="EW72" s="209" t="n"/>
      <c r="EX72" s="102" t="n"/>
    </row>
    <row r="73">
      <c r="EW73" s="209" t="n"/>
      <c r="EX73" s="102" t="n"/>
    </row>
    <row r="74">
      <c r="EW74" s="209" t="n"/>
      <c r="EX74" s="102" t="n"/>
    </row>
    <row r="75">
      <c r="EW75" s="209" t="n"/>
      <c r="EX75" s="102" t="n"/>
    </row>
    <row r="76">
      <c r="EW76" s="209" t="n"/>
      <c r="EX76" s="102" t="n"/>
    </row>
    <row r="77">
      <c r="EW77" s="209" t="n"/>
      <c r="EX77" s="102" t="n"/>
    </row>
    <row r="78">
      <c r="EW78" s="209" t="n"/>
      <c r="EX78" s="102" t="n"/>
    </row>
    <row r="79">
      <c r="EW79" s="209" t="n"/>
      <c r="EX79" s="102" t="n"/>
    </row>
    <row r="80">
      <c r="EW80" s="209" t="n"/>
      <c r="EX80" s="102" t="n"/>
    </row>
    <row r="81">
      <c r="EW81" s="209" t="n"/>
      <c r="EX81" s="102" t="n"/>
    </row>
    <row r="82">
      <c r="EW82" s="209" t="n"/>
      <c r="EX82" s="102" t="n"/>
    </row>
    <row r="83">
      <c r="EW83" s="209" t="n"/>
      <c r="EX83" s="102" t="n"/>
    </row>
    <row r="84">
      <c r="EW84" s="209" t="n"/>
      <c r="EX84" s="102" t="n"/>
    </row>
    <row r="85">
      <c r="EW85" s="209" t="n"/>
      <c r="EX85" s="102" t="n"/>
    </row>
    <row r="86">
      <c r="EW86" s="209" t="n"/>
      <c r="EX86" s="102" t="n"/>
    </row>
    <row r="87">
      <c r="EW87" s="209" t="n"/>
      <c r="EX87" s="102" t="n"/>
    </row>
    <row r="88">
      <c r="EW88" s="209" t="n"/>
      <c r="EX88" s="102" t="n"/>
    </row>
    <row r="89">
      <c r="EW89" s="209" t="n"/>
      <c r="EX89" s="102" t="n"/>
    </row>
    <row r="90">
      <c r="EW90" s="209" t="n"/>
      <c r="EX90" s="102" t="n"/>
    </row>
    <row r="91">
      <c r="EW91" s="209" t="n"/>
      <c r="EX91" s="102" t="n"/>
    </row>
    <row r="92">
      <c r="EW92" s="209" t="n"/>
      <c r="EX92" s="102" t="n"/>
    </row>
    <row r="93">
      <c r="EW93" s="209" t="n"/>
      <c r="EX93" s="102" t="n"/>
    </row>
    <row r="94">
      <c r="EW94" s="209" t="n"/>
      <c r="EX94" s="102" t="n"/>
    </row>
    <row r="95">
      <c r="EW95" s="209" t="n"/>
      <c r="EX95" s="102" t="n"/>
    </row>
    <row r="96">
      <c r="EW96" s="209" t="n"/>
      <c r="EX96" s="102" t="n"/>
    </row>
    <row r="97">
      <c r="EW97" s="209" t="n"/>
      <c r="EX97" s="102" t="n"/>
    </row>
    <row r="98">
      <c r="EW98" s="209" t="n"/>
      <c r="EX98" s="102" t="n"/>
    </row>
    <row r="99">
      <c r="EW99" s="209" t="n"/>
      <c r="EX99" s="102" t="n"/>
    </row>
    <row r="100">
      <c r="EW100" s="209" t="n"/>
      <c r="EX100" s="102" t="n"/>
    </row>
    <row r="101">
      <c r="EW101" s="209" t="n"/>
      <c r="EX101" s="102" t="n"/>
    </row>
    <row r="102">
      <c r="EW102" s="209" t="n"/>
      <c r="EX102" s="102" t="n"/>
    </row>
    <row r="103">
      <c r="EW103" s="209" t="n"/>
      <c r="EX103" s="102" t="n"/>
    </row>
    <row r="104">
      <c r="EW104" s="209" t="n"/>
      <c r="EX104" s="102" t="n"/>
    </row>
    <row r="105">
      <c r="EW105" s="209" t="n"/>
      <c r="EX105" s="102" t="n"/>
    </row>
    <row r="106">
      <c r="EW106" s="209" t="n"/>
      <c r="EX106" s="102" t="n"/>
    </row>
    <row r="107">
      <c r="EW107" s="209" t="n"/>
      <c r="EX107" s="102" t="n"/>
    </row>
    <row r="108">
      <c r="EW108" s="209" t="n"/>
      <c r="EX108" s="102" t="n"/>
    </row>
    <row r="109">
      <c r="EW109" s="209" t="n"/>
      <c r="EX109" s="102" t="n"/>
    </row>
    <row r="110">
      <c r="EW110" s="209" t="n"/>
      <c r="EX110" s="102" t="n"/>
    </row>
    <row r="111">
      <c r="EW111" s="209" t="n"/>
      <c r="EX111" s="102" t="n"/>
    </row>
    <row r="112">
      <c r="EW112" s="209" t="n"/>
      <c r="EX112" s="102" t="n"/>
    </row>
    <row r="113">
      <c r="EW113" s="209" t="n"/>
      <c r="EX113" s="102" t="n"/>
    </row>
    <row r="114">
      <c r="EW114" s="209" t="n"/>
      <c r="EX114" s="102" t="n"/>
    </row>
    <row r="115">
      <c r="EW115" s="209" t="n"/>
      <c r="EX115" s="102" t="n"/>
    </row>
    <row r="116">
      <c r="EW116" s="209" t="n"/>
      <c r="EX116" s="102" t="n"/>
    </row>
    <row r="117">
      <c r="EW117" s="209" t="n"/>
      <c r="EX117" s="102" t="n"/>
    </row>
    <row r="118">
      <c r="EW118" s="209" t="n"/>
      <c r="EX118" s="102" t="n"/>
    </row>
    <row r="119">
      <c r="EW119" s="209" t="n"/>
      <c r="EX119" s="102" t="n"/>
    </row>
    <row r="120">
      <c r="EW120" s="209" t="n"/>
      <c r="EX120" s="102" t="n"/>
    </row>
    <row r="121">
      <c r="EW121" s="209" t="n"/>
      <c r="EX121" s="102" t="n"/>
    </row>
    <row r="122">
      <c r="EW122" s="209" t="n"/>
      <c r="EX122" s="102" t="n"/>
    </row>
    <row r="123">
      <c r="EW123" s="209" t="n"/>
      <c r="EX123" s="102" t="n"/>
    </row>
    <row r="124">
      <c r="EW124" s="209" t="n"/>
      <c r="EX124" s="102" t="n"/>
    </row>
    <row r="125">
      <c r="EW125" s="209" t="n"/>
      <c r="EX125" s="102" t="n"/>
    </row>
    <row r="126">
      <c r="EW126" s="209" t="n"/>
      <c r="EX126" s="102" t="n"/>
    </row>
    <row r="127">
      <c r="EW127" s="209" t="n"/>
      <c r="EX127" s="102" t="n"/>
    </row>
    <row r="128">
      <c r="EW128" s="209" t="n"/>
      <c r="EX128" s="102" t="n"/>
    </row>
    <row r="129">
      <c r="EW129" s="209" t="n"/>
      <c r="EX129" s="102" t="n"/>
    </row>
    <row r="130">
      <c r="EW130" s="209" t="n"/>
      <c r="EX130" s="102" t="n"/>
    </row>
    <row r="131">
      <c r="EW131" s="209" t="n"/>
      <c r="EX131" s="102" t="n"/>
    </row>
    <row r="132">
      <c r="EW132" s="209" t="n"/>
      <c r="EX132" s="102" t="n"/>
    </row>
    <row r="133">
      <c r="EW133" s="209" t="n"/>
      <c r="EX133" s="102" t="n"/>
    </row>
    <row r="134">
      <c r="EW134" s="209" t="n"/>
      <c r="EX134" s="102" t="n"/>
    </row>
    <row r="135">
      <c r="EW135" s="209" t="n"/>
      <c r="EX135" s="102" t="n"/>
    </row>
    <row r="136">
      <c r="EW136" s="209" t="n"/>
      <c r="EX136" s="102" t="n"/>
    </row>
    <row r="137">
      <c r="EW137" s="209" t="n"/>
      <c r="EX137" s="102" t="n"/>
    </row>
    <row r="138">
      <c r="EW138" s="209" t="n"/>
      <c r="EX138" s="102" t="n"/>
    </row>
    <row r="139">
      <c r="EW139" s="209" t="n"/>
      <c r="EX139" s="102" t="n"/>
    </row>
    <row r="140">
      <c r="EW140" s="209" t="n"/>
      <c r="EX140" s="102" t="n"/>
    </row>
    <row r="141">
      <c r="EW141" s="209" t="n"/>
      <c r="EX141" s="102" t="n"/>
    </row>
    <row r="142">
      <c r="EW142" s="209" t="n"/>
      <c r="EX142" s="102" t="n"/>
    </row>
    <row r="143">
      <c r="EW143" s="209" t="n"/>
      <c r="EX143" s="102" t="n"/>
    </row>
    <row r="144">
      <c r="EW144" s="209" t="n"/>
      <c r="EX144" s="102" t="n"/>
    </row>
    <row r="145">
      <c r="EW145" s="209" t="n"/>
      <c r="EX145" s="102" t="n"/>
    </row>
    <row r="146">
      <c r="EW146" s="209" t="n"/>
      <c r="EX146" s="102" t="n"/>
    </row>
    <row r="147">
      <c r="EW147" s="209" t="n"/>
      <c r="EX147" s="102" t="n"/>
    </row>
    <row r="148">
      <c r="EW148" s="209" t="n"/>
      <c r="EX148" s="102" t="n"/>
    </row>
    <row r="149">
      <c r="EW149" s="209" t="n"/>
      <c r="EX149" s="102" t="n"/>
    </row>
    <row r="150">
      <c r="EW150" s="209" t="n"/>
      <c r="EX150" s="102" t="n"/>
    </row>
    <row r="151">
      <c r="EW151" s="209" t="n"/>
      <c r="EX151" s="102" t="n"/>
    </row>
    <row r="152">
      <c r="EW152" s="209" t="n"/>
      <c r="EX152" s="102" t="n"/>
    </row>
    <row r="153">
      <c r="EW153" s="209" t="n"/>
      <c r="EX153" s="102" t="n"/>
    </row>
    <row r="154">
      <c r="EW154" s="209" t="n"/>
      <c r="EX154" s="102" t="n"/>
    </row>
    <row r="155">
      <c r="EW155" s="209" t="n"/>
      <c r="EX155" s="102" t="n"/>
    </row>
    <row r="156">
      <c r="EW156" s="209" t="n"/>
      <c r="EX156" s="102" t="n"/>
    </row>
    <row r="157">
      <c r="EW157" s="209" t="n"/>
      <c r="EX157" s="102" t="n"/>
    </row>
    <row r="158">
      <c r="EW158" s="209" t="n"/>
      <c r="EX158" s="102" t="n"/>
    </row>
    <row r="159">
      <c r="EW159" s="209" t="n"/>
      <c r="EX159" s="102" t="n"/>
    </row>
    <row r="160">
      <c r="EW160" s="209" t="n"/>
      <c r="EX160" s="102" t="n"/>
    </row>
    <row r="161">
      <c r="EW161" s="209" t="n"/>
      <c r="EX161" s="102" t="n"/>
    </row>
    <row r="162">
      <c r="EW162" s="209" t="n"/>
      <c r="EX162" s="102" t="n"/>
    </row>
    <row r="163">
      <c r="EW163" s="209" t="n"/>
      <c r="EX163" s="102" t="n"/>
    </row>
    <row r="164">
      <c r="EW164" s="209" t="n"/>
      <c r="EX164" s="102" t="n"/>
    </row>
    <row r="165">
      <c r="EW165" s="209" t="n"/>
      <c r="EX165" s="102" t="n"/>
    </row>
    <row r="166">
      <c r="EW166" s="209" t="n"/>
      <c r="EX166" s="102" t="n"/>
    </row>
    <row r="167">
      <c r="EW167" s="209" t="n"/>
      <c r="EX167" s="102" t="n"/>
    </row>
    <row r="168">
      <c r="EW168" s="209" t="n"/>
      <c r="EX168" s="102" t="n"/>
    </row>
    <row r="169">
      <c r="EW169" s="209" t="n"/>
      <c r="EX169" s="102" t="n"/>
    </row>
    <row r="170">
      <c r="EW170" s="209" t="n"/>
      <c r="EX170" s="102" t="n"/>
    </row>
    <row r="171">
      <c r="EW171" s="209" t="n"/>
      <c r="EX171" s="102" t="n"/>
    </row>
    <row r="172">
      <c r="EW172" s="209" t="n"/>
      <c r="EX172" s="102" t="n"/>
    </row>
    <row r="173">
      <c r="EW173" s="209" t="n"/>
      <c r="EX173" s="102" t="n"/>
    </row>
    <row r="174">
      <c r="EW174" s="209" t="n"/>
      <c r="EX174" s="102" t="n"/>
    </row>
    <row r="175">
      <c r="EW175" s="209" t="n"/>
      <c r="EX175" s="102" t="n"/>
    </row>
    <row r="176">
      <c r="EW176" s="209" t="n"/>
      <c r="EX176" s="102" t="n"/>
    </row>
    <row r="177">
      <c r="EW177" s="209" t="n"/>
      <c r="EX177" s="102" t="n"/>
    </row>
    <row r="178">
      <c r="EW178" s="209" t="n"/>
      <c r="EX178" s="102" t="n"/>
    </row>
    <row r="179">
      <c r="EW179" s="209" t="n"/>
      <c r="EX179" s="102" t="n"/>
    </row>
    <row r="180">
      <c r="EW180" s="209" t="n"/>
      <c r="EX180" s="102" t="n"/>
    </row>
    <row r="181">
      <c r="EW181" s="209" t="n"/>
      <c r="EX181" s="102" t="n"/>
    </row>
    <row r="182">
      <c r="EW182" s="209" t="n"/>
      <c r="EX182" s="102" t="n"/>
    </row>
    <row r="183">
      <c r="EW183" s="209" t="n"/>
      <c r="EX183" s="102" t="n"/>
    </row>
    <row r="184">
      <c r="EW184" s="209" t="n"/>
      <c r="EX184" s="102" t="n"/>
    </row>
    <row r="185">
      <c r="EW185" s="209" t="n"/>
      <c r="EX185" s="102" t="n"/>
    </row>
    <row r="186">
      <c r="EW186" s="209" t="n"/>
      <c r="EX186" s="102" t="n"/>
    </row>
    <row r="187">
      <c r="EW187" s="209" t="n"/>
      <c r="EX187" s="102" t="n"/>
    </row>
    <row r="188">
      <c r="EW188" s="209" t="n"/>
      <c r="EX188" s="102" t="n"/>
    </row>
    <row r="189">
      <c r="EW189" s="209" t="n"/>
      <c r="EX189" s="102" t="n"/>
    </row>
    <row r="190">
      <c r="EW190" s="209" t="n"/>
      <c r="EX190" s="102" t="n"/>
    </row>
    <row r="191">
      <c r="EW191" s="209" t="n"/>
      <c r="EX191" s="102" t="n"/>
    </row>
    <row r="192">
      <c r="EW192" s="209" t="n"/>
      <c r="EX192" s="102" t="n"/>
    </row>
    <row r="193">
      <c r="EW193" s="209" t="n"/>
      <c r="EX193" s="102" t="n"/>
    </row>
    <row r="194">
      <c r="EW194" s="209" t="n"/>
      <c r="EX194" s="102" t="n"/>
    </row>
    <row r="195">
      <c r="EW195" s="209" t="n"/>
      <c r="EX195" s="102" t="n"/>
    </row>
    <row r="196">
      <c r="EW196" s="209" t="n"/>
      <c r="EX196" s="102" t="n"/>
    </row>
    <row r="197">
      <c r="EW197" s="209" t="n"/>
      <c r="EX197" s="102" t="n"/>
    </row>
    <row r="198">
      <c r="EW198" s="209" t="n"/>
      <c r="EX198" s="102" t="n"/>
    </row>
    <row r="199">
      <c r="EW199" s="209" t="n"/>
      <c r="EX199" s="102" t="n"/>
    </row>
    <row r="200">
      <c r="EW200" s="209" t="n"/>
      <c r="EX200" s="102" t="n"/>
    </row>
    <row r="201">
      <c r="EW201" s="209" t="n"/>
      <c r="EX201" s="102" t="n"/>
    </row>
    <row r="202">
      <c r="EW202" s="209" t="n"/>
      <c r="EX202" s="102" t="n"/>
    </row>
    <row r="203">
      <c r="EW203" s="209" t="n"/>
      <c r="EX203" s="102" t="n"/>
    </row>
    <row r="204">
      <c r="EW204" s="209" t="n"/>
      <c r="EX204" s="102" t="n"/>
    </row>
    <row r="205">
      <c r="EW205" s="209" t="n"/>
      <c r="EX205" s="102" t="n"/>
    </row>
    <row r="206">
      <c r="EW206" s="209" t="n"/>
      <c r="EX206" s="102" t="n"/>
    </row>
    <row r="207">
      <c r="EW207" s="209" t="n"/>
      <c r="EX207" s="102" t="n"/>
    </row>
    <row r="208">
      <c r="EW208" s="209" t="n"/>
      <c r="EX208" s="102" t="n"/>
    </row>
    <row r="209">
      <c r="EW209" s="209" t="n"/>
      <c r="EX209" s="102" t="n"/>
    </row>
    <row r="210">
      <c r="EW210" s="209" t="n"/>
      <c r="EX210" s="102" t="n"/>
    </row>
    <row r="211">
      <c r="EW211" s="209" t="n"/>
      <c r="EX211" s="102" t="n"/>
    </row>
    <row r="212">
      <c r="EW212" s="209" t="n"/>
      <c r="EX212" s="102" t="n"/>
    </row>
    <row r="213">
      <c r="EW213" s="209" t="n"/>
      <c r="EX213" s="102" t="n"/>
    </row>
    <row r="214">
      <c r="EW214" s="209" t="n"/>
      <c r="EX214" s="102" t="n"/>
    </row>
    <row r="215">
      <c r="EW215" s="209" t="n"/>
      <c r="EX215" s="102" t="n"/>
    </row>
    <row r="216">
      <c r="EW216" s="209" t="n"/>
      <c r="EX216" s="102" t="n"/>
    </row>
    <row r="217">
      <c r="EW217" s="209" t="n"/>
      <c r="EX217" s="102" t="n"/>
    </row>
    <row r="218">
      <c r="EW218" s="209" t="n"/>
      <c r="EX218" s="102" t="n"/>
    </row>
    <row r="219">
      <c r="EW219" s="209" t="n"/>
      <c r="EX219" s="102" t="n"/>
    </row>
    <row r="220">
      <c r="EW220" s="209" t="n"/>
      <c r="EX220" s="102" t="n"/>
    </row>
    <row r="221">
      <c r="EW221" s="209" t="n"/>
      <c r="EX221" s="102" t="n"/>
    </row>
    <row r="222">
      <c r="EW222" s="209" t="n"/>
      <c r="EX222" s="102" t="n"/>
    </row>
    <row r="223">
      <c r="EW223" s="209" t="n"/>
      <c r="EX223" s="102" t="n"/>
    </row>
    <row r="224">
      <c r="EW224" s="209" t="n"/>
      <c r="EX224" s="102" t="n"/>
    </row>
    <row r="225">
      <c r="EW225" s="209" t="n"/>
      <c r="EX225" s="102" t="n"/>
    </row>
    <row r="226">
      <c r="EW226" s="209" t="n"/>
      <c r="EX226" s="102" t="n"/>
    </row>
    <row r="227">
      <c r="EW227" s="209" t="n"/>
      <c r="EX227" s="102" t="n"/>
    </row>
    <row r="228">
      <c r="EW228" s="209" t="n"/>
      <c r="EX228" s="102" t="n"/>
    </row>
    <row r="229">
      <c r="EW229" s="209" t="n"/>
      <c r="EX229" s="102" t="n"/>
    </row>
    <row r="230">
      <c r="EW230" s="209" t="n"/>
      <c r="EX230" s="102" t="n"/>
    </row>
    <row r="231">
      <c r="EW231" s="209" t="n"/>
      <c r="EX231" s="102" t="n"/>
    </row>
    <row r="232">
      <c r="EW232" s="209" t="n"/>
      <c r="EX232" s="102" t="n"/>
    </row>
    <row r="233">
      <c r="EW233" s="209" t="n"/>
      <c r="EX233" s="102" t="n"/>
    </row>
    <row r="234">
      <c r="EW234" s="209" t="n"/>
      <c r="EX234" s="102" t="n"/>
    </row>
    <row r="235">
      <c r="EW235" s="209" t="n"/>
      <c r="EX235" s="102" t="n"/>
    </row>
    <row r="236">
      <c r="EW236" s="209" t="n"/>
      <c r="EX236" s="102" t="n"/>
    </row>
    <row r="237">
      <c r="EW237" s="209" t="n"/>
      <c r="EX237" s="102" t="n"/>
    </row>
    <row r="238">
      <c r="EW238" s="209" t="n"/>
      <c r="EX238" s="102" t="n"/>
    </row>
    <row r="239">
      <c r="EW239" s="209" t="n"/>
      <c r="EX239" s="102" t="n"/>
    </row>
    <row r="240">
      <c r="EW240" s="209" t="n"/>
      <c r="EX240" s="102" t="n"/>
    </row>
    <row r="241">
      <c r="EW241" s="209" t="n"/>
      <c r="EX241" s="102" t="n"/>
    </row>
    <row r="242">
      <c r="EW242" s="209" t="n"/>
      <c r="EX242" s="102" t="n"/>
    </row>
    <row r="243">
      <c r="EW243" s="209" t="n"/>
      <c r="EX243" s="102" t="n"/>
    </row>
    <row r="244">
      <c r="EW244" s="209" t="n"/>
      <c r="EX244" s="102" t="n"/>
    </row>
    <row r="245">
      <c r="EW245" s="209" t="n"/>
      <c r="EX245" s="102" t="n"/>
    </row>
    <row r="246">
      <c r="EW246" s="209" t="n"/>
      <c r="EX246" s="102" t="n"/>
    </row>
    <row r="247">
      <c r="EW247" s="209" t="n"/>
      <c r="EX247" s="102" t="n"/>
    </row>
    <row r="248">
      <c r="EW248" s="209" t="n"/>
      <c r="EX248" s="102" t="n"/>
    </row>
    <row r="249">
      <c r="EW249" s="209" t="n"/>
      <c r="EX249" s="102" t="n"/>
    </row>
    <row r="250">
      <c r="EW250" s="209" t="n"/>
      <c r="EX250" s="102" t="n"/>
    </row>
    <row r="251">
      <c r="EW251" s="209" t="n"/>
      <c r="EX251" s="102" t="n"/>
    </row>
    <row r="252">
      <c r="EW252" s="209" t="n"/>
      <c r="EX252" s="102" t="n"/>
    </row>
    <row r="253">
      <c r="EW253" s="209" t="n"/>
      <c r="EX253" s="102" t="n"/>
    </row>
    <row r="254">
      <c r="EW254" s="209" t="n"/>
      <c r="EX254" s="102" t="n"/>
    </row>
    <row r="255">
      <c r="EW255" s="209" t="n"/>
      <c r="EX255" s="102" t="n"/>
    </row>
    <row r="256">
      <c r="EW256" s="209" t="n"/>
      <c r="EX256" s="102" t="n"/>
    </row>
    <row r="257">
      <c r="EW257" s="209" t="n"/>
      <c r="EX257" s="102" t="n"/>
    </row>
    <row r="258">
      <c r="EW258" s="209" t="n"/>
      <c r="EX258" s="102" t="n"/>
    </row>
    <row r="259">
      <c r="EW259" s="209" t="n"/>
      <c r="EX259" s="102" t="n"/>
    </row>
    <row r="260">
      <c r="EW260" s="209" t="n"/>
      <c r="EX260" s="102" t="n"/>
    </row>
    <row r="261">
      <c r="EW261" s="209" t="n"/>
      <c r="EX261" s="102" t="n"/>
    </row>
    <row r="262">
      <c r="EW262" s="209" t="n"/>
      <c r="EX262" s="102" t="n"/>
    </row>
    <row r="263">
      <c r="EW263" s="209" t="n"/>
      <c r="EX263" s="102" t="n"/>
    </row>
    <row r="264">
      <c r="EW264" s="209" t="n"/>
      <c r="EX264" s="102" t="n"/>
    </row>
    <row r="265">
      <c r="EW265" s="209" t="n"/>
      <c r="EX265" s="102" t="n"/>
    </row>
    <row r="266">
      <c r="EW266" s="209" t="n"/>
      <c r="EX266" s="102" t="n"/>
    </row>
    <row r="267">
      <c r="EW267" s="209" t="n"/>
      <c r="EX267" s="102" t="n"/>
    </row>
    <row r="268">
      <c r="EW268" s="209" t="n"/>
      <c r="EX268" s="102" t="n"/>
    </row>
    <row r="269">
      <c r="EW269" s="209" t="n"/>
      <c r="EX269" s="102" t="n"/>
    </row>
    <row r="270">
      <c r="EW270" s="209" t="n"/>
      <c r="EX270" s="102" t="n"/>
    </row>
    <row r="271">
      <c r="EW271" s="209" t="n"/>
      <c r="EX271" s="102" t="n"/>
    </row>
    <row r="272">
      <c r="EW272" s="209" t="n"/>
      <c r="EX272" s="102" t="n"/>
    </row>
    <row r="273">
      <c r="EW273" s="209" t="n"/>
      <c r="EX273" s="102" t="n"/>
    </row>
    <row r="274">
      <c r="EW274" s="209" t="n"/>
      <c r="EX274" s="102" t="n"/>
    </row>
    <row r="275">
      <c r="EW275" s="209" t="n"/>
      <c r="EX275" s="102" t="n"/>
    </row>
    <row r="276">
      <c r="EW276" s="209" t="n"/>
      <c r="EX276" s="102" t="n"/>
    </row>
    <row r="277">
      <c r="EW277" s="209" t="n"/>
      <c r="EX277" s="102" t="n"/>
    </row>
    <row r="278">
      <c r="EW278" s="209" t="n"/>
      <c r="EX278" s="102" t="n"/>
    </row>
    <row r="279">
      <c r="EW279" s="209" t="n"/>
      <c r="EX279" s="102" t="n"/>
    </row>
    <row r="280">
      <c r="EW280" s="209" t="n"/>
      <c r="EX280" s="102" t="n"/>
    </row>
    <row r="281">
      <c r="EW281" s="209" t="n"/>
      <c r="EX281" s="102" t="n"/>
    </row>
    <row r="282">
      <c r="EW282" s="209" t="n"/>
      <c r="EX282" s="102" t="n"/>
    </row>
    <row r="283">
      <c r="EW283" s="209" t="n"/>
      <c r="EX283" s="102" t="n"/>
    </row>
    <row r="284">
      <c r="EW284" s="209" t="n"/>
      <c r="EX284" s="102" t="n"/>
    </row>
    <row r="285">
      <c r="EW285" s="209" t="n"/>
      <c r="EX285" s="102" t="n"/>
    </row>
    <row r="286">
      <c r="EW286" s="209" t="n"/>
      <c r="EX286" s="102" t="n"/>
    </row>
    <row r="287">
      <c r="EW287" s="209" t="n"/>
      <c r="EX287" s="102" t="n"/>
    </row>
    <row r="288">
      <c r="EW288" s="209" t="n"/>
      <c r="EX288" s="102" t="n"/>
    </row>
    <row r="289">
      <c r="EW289" s="209" t="n"/>
      <c r="EX289" s="102" t="n"/>
    </row>
    <row r="290">
      <c r="EW290" s="209" t="n"/>
      <c r="EX290" s="102" t="n"/>
    </row>
    <row r="291">
      <c r="EW291" s="209" t="n"/>
      <c r="EX291" s="102" t="n"/>
    </row>
    <row r="292">
      <c r="EW292" s="209" t="n"/>
      <c r="EX292" s="102" t="n"/>
    </row>
    <row r="293">
      <c r="EW293" s="209" t="n"/>
      <c r="EX293" s="102" t="n"/>
    </row>
    <row r="294">
      <c r="EW294" s="209" t="n"/>
      <c r="EX294" s="102" t="n"/>
    </row>
    <row r="295">
      <c r="EW295" s="209" t="n"/>
      <c r="EX295" s="102" t="n"/>
    </row>
    <row r="296">
      <c r="EW296" s="209" t="n"/>
      <c r="EX296" s="102" t="n"/>
    </row>
    <row r="297">
      <c r="EW297" s="209" t="n"/>
      <c r="EX297" s="102" t="n"/>
    </row>
    <row r="298">
      <c r="EW298" s="209" t="n"/>
      <c r="EX298" s="102" t="n"/>
    </row>
    <row r="299">
      <c r="EW299" s="209" t="n"/>
      <c r="EX299" s="102" t="n"/>
    </row>
    <row r="300">
      <c r="EW300" s="209" t="n"/>
      <c r="EX300" s="102" t="n"/>
    </row>
    <row r="301">
      <c r="EW301" s="209" t="n"/>
      <c r="EX301" s="102" t="n"/>
    </row>
    <row r="302">
      <c r="EW302" s="209" t="n"/>
      <c r="EX302" s="102" t="n"/>
    </row>
    <row r="303">
      <c r="EW303" s="209" t="n"/>
      <c r="EX303" s="102" t="n"/>
    </row>
    <row r="304">
      <c r="EW304" s="209" t="n"/>
      <c r="EX304" s="102" t="n"/>
    </row>
    <row r="305">
      <c r="EW305" s="209" t="n"/>
      <c r="EX305" s="102" t="n"/>
    </row>
    <row r="306">
      <c r="EW306" s="209" t="n"/>
      <c r="EX306" s="102" t="n"/>
    </row>
    <row r="307">
      <c r="EW307" s="209" t="n"/>
      <c r="EX307" s="102" t="n"/>
    </row>
    <row r="308">
      <c r="EW308" s="209" t="n"/>
      <c r="EX308" s="102" t="n"/>
    </row>
    <row r="309">
      <c r="EW309" s="209" t="n"/>
      <c r="EX309" s="102" t="n"/>
    </row>
    <row r="310">
      <c r="EW310" s="209" t="n"/>
      <c r="EX310" s="102" t="n"/>
    </row>
    <row r="311">
      <c r="EW311" s="209" t="n"/>
      <c r="EX311" s="102" t="n"/>
    </row>
    <row r="312">
      <c r="EW312" s="209" t="n"/>
      <c r="EX312" s="102" t="n"/>
    </row>
    <row r="313">
      <c r="EW313" s="209" t="n"/>
      <c r="EX313" s="102" t="n"/>
    </row>
    <row r="314">
      <c r="EW314" s="209" t="n"/>
      <c r="EX314" s="102" t="n"/>
    </row>
    <row r="315">
      <c r="EW315" s="209" t="n"/>
      <c r="EX315" s="102" t="n"/>
    </row>
    <row r="316">
      <c r="EW316" s="209" t="n"/>
      <c r="EX316" s="102" t="n"/>
    </row>
    <row r="317">
      <c r="EW317" s="209" t="n"/>
      <c r="EX317" s="102" t="n"/>
    </row>
    <row r="318">
      <c r="EW318" s="209" t="n"/>
      <c r="EX318" s="102" t="n"/>
    </row>
    <row r="319">
      <c r="EW319" s="209" t="n"/>
      <c r="EX319" s="102" t="n"/>
    </row>
    <row r="320">
      <c r="EW320" s="209" t="n"/>
      <c r="EX320" s="102" t="n"/>
    </row>
    <row r="321">
      <c r="EW321" s="209" t="n"/>
      <c r="EX321" s="102" t="n"/>
    </row>
    <row r="322">
      <c r="EW322" s="209" t="n"/>
      <c r="EX322" s="102" t="n"/>
    </row>
    <row r="323">
      <c r="EW323" s="209" t="n"/>
      <c r="EX323" s="102" t="n"/>
    </row>
    <row r="324">
      <c r="EW324" s="209" t="n"/>
      <c r="EX324" s="102" t="n"/>
    </row>
    <row r="325">
      <c r="EW325" s="209" t="n"/>
      <c r="EX325" s="102" t="n"/>
    </row>
    <row r="326">
      <c r="EW326" s="209" t="n"/>
      <c r="EX326" s="102" t="n"/>
    </row>
    <row r="327">
      <c r="EW327" s="209" t="n"/>
      <c r="EX327" s="102" t="n"/>
    </row>
    <row r="328">
      <c r="EW328" s="209" t="n"/>
      <c r="EX328" s="102" t="n"/>
    </row>
    <row r="329">
      <c r="EW329" s="209" t="n"/>
      <c r="EX329" s="102" t="n"/>
    </row>
    <row r="330">
      <c r="EW330" s="209" t="n"/>
      <c r="EX330" s="102" t="n"/>
    </row>
    <row r="331">
      <c r="EW331" s="209" t="n"/>
      <c r="EX331" s="102" t="n"/>
    </row>
    <row r="332">
      <c r="EW332" s="209" t="n"/>
      <c r="EX332" s="102" t="n"/>
    </row>
    <row r="333">
      <c r="EW333" s="209" t="n"/>
      <c r="EX333" s="102" t="n"/>
    </row>
    <row r="334">
      <c r="EW334" s="209" t="n"/>
      <c r="EX334" s="102" t="n"/>
    </row>
    <row r="335">
      <c r="EW335" s="209" t="n"/>
      <c r="EX335" s="102" t="n"/>
    </row>
    <row r="336">
      <c r="EW336" s="209" t="n"/>
      <c r="EX336" s="102" t="n"/>
    </row>
    <row r="337">
      <c r="EW337" s="209" t="n"/>
      <c r="EX337" s="102" t="n"/>
    </row>
    <row r="338">
      <c r="EW338" s="209" t="n"/>
      <c r="EX338" s="102" t="n"/>
    </row>
    <row r="339">
      <c r="EW339" s="209" t="n"/>
      <c r="EX339" s="102" t="n"/>
    </row>
    <row r="340">
      <c r="EW340" s="209" t="n"/>
      <c r="EX340" s="102" t="n"/>
    </row>
    <row r="341">
      <c r="EW341" s="209" t="n"/>
      <c r="EX341" s="102" t="n"/>
    </row>
    <row r="342">
      <c r="EW342" s="209" t="n"/>
      <c r="EX342" s="102" t="n"/>
    </row>
    <row r="343">
      <c r="EW343" s="209" t="n"/>
      <c r="EX343" s="102" t="n"/>
    </row>
    <row r="344">
      <c r="EW344" s="209" t="n"/>
      <c r="EX344" s="102" t="n"/>
    </row>
    <row r="345">
      <c r="EW345" s="209" t="n"/>
      <c r="EX345" s="102" t="n"/>
    </row>
    <row r="346">
      <c r="EW346" s="209" t="n"/>
      <c r="EX346" s="102" t="n"/>
    </row>
    <row r="347">
      <c r="EW347" s="209" t="n"/>
      <c r="EX347" s="102" t="n"/>
    </row>
    <row r="348">
      <c r="EW348" s="209" t="n"/>
      <c r="EX348" s="102" t="n"/>
    </row>
    <row r="349">
      <c r="EW349" s="209" t="n"/>
      <c r="EX349" s="102" t="n"/>
    </row>
    <row r="350">
      <c r="EW350" s="209" t="n"/>
      <c r="EX350" s="102" t="n"/>
    </row>
    <row r="351">
      <c r="EW351" s="209" t="n"/>
      <c r="EX351" s="102" t="n"/>
    </row>
    <row r="352">
      <c r="EW352" s="209" t="n"/>
      <c r="EX352" s="102" t="n"/>
    </row>
    <row r="353">
      <c r="EW353" s="209" t="n"/>
      <c r="EX353" s="102" t="n"/>
    </row>
    <row r="354">
      <c r="EW354" s="209" t="n"/>
      <c r="EX354" s="102" t="n"/>
    </row>
    <row r="355">
      <c r="EW355" s="209" t="n"/>
      <c r="EX355" s="102" t="n"/>
    </row>
    <row r="356">
      <c r="EW356" s="209" t="n"/>
      <c r="EX356" s="102" t="n"/>
    </row>
    <row r="357">
      <c r="EW357" s="209" t="n"/>
      <c r="EX357" s="102" t="n"/>
    </row>
    <row r="358">
      <c r="EW358" s="209" t="n"/>
      <c r="EX358" s="102" t="n"/>
    </row>
    <row r="359">
      <c r="EW359" s="209" t="n"/>
      <c r="EX359" s="102" t="n"/>
    </row>
    <row r="360">
      <c r="EW360" s="209" t="n"/>
      <c r="EX360" s="102" t="n"/>
    </row>
    <row r="361">
      <c r="EW361" s="209" t="n"/>
      <c r="EX361" s="102" t="n"/>
    </row>
    <row r="362">
      <c r="EW362" s="209" t="n"/>
      <c r="EX362" s="102" t="n"/>
    </row>
    <row r="363">
      <c r="EW363" s="209" t="n"/>
      <c r="EX363" s="102" t="n"/>
    </row>
    <row r="364">
      <c r="EW364" s="209" t="n"/>
      <c r="EX364" s="102" t="n"/>
    </row>
    <row r="365">
      <c r="EW365" s="209" t="n"/>
      <c r="EX365" s="102" t="n"/>
    </row>
    <row r="366">
      <c r="EW366" s="209" t="n"/>
      <c r="EX366" s="102" t="n"/>
    </row>
    <row r="367">
      <c r="EW367" s="209" t="n"/>
      <c r="EX367" s="102" t="n"/>
    </row>
    <row r="368">
      <c r="EW368" s="209" t="n"/>
      <c r="EX368" s="102" t="n"/>
    </row>
    <row r="369">
      <c r="EW369" s="209" t="n"/>
      <c r="EX369" s="102" t="n"/>
    </row>
    <row r="370">
      <c r="EW370" s="209" t="n"/>
      <c r="EX370" s="102" t="n"/>
    </row>
    <row r="371">
      <c r="EW371" s="209" t="n"/>
      <c r="EX371" s="102" t="n"/>
    </row>
    <row r="372">
      <c r="EW372" s="209" t="n"/>
      <c r="EX372" s="102" t="n"/>
    </row>
    <row r="373">
      <c r="EW373" s="209" t="n"/>
      <c r="EX373" s="102" t="n"/>
    </row>
    <row r="374">
      <c r="EW374" s="209" t="n"/>
      <c r="EX374" s="102" t="n"/>
    </row>
    <row r="375">
      <c r="EW375" s="209" t="n"/>
      <c r="EX375" s="102" t="n"/>
    </row>
    <row r="376">
      <c r="EW376" s="209" t="n"/>
      <c r="EX376" s="102" t="n"/>
    </row>
    <row r="377">
      <c r="EW377" s="209" t="n"/>
      <c r="EX377" s="102" t="n"/>
    </row>
    <row r="378">
      <c r="EW378" s="209" t="n"/>
      <c r="EX378" s="102" t="n"/>
    </row>
    <row r="379">
      <c r="EW379" s="209" t="n"/>
      <c r="EX379" s="102" t="n"/>
    </row>
    <row r="380">
      <c r="EW380" s="209" t="n"/>
      <c r="EX380" s="102" t="n"/>
    </row>
    <row r="381">
      <c r="EW381" s="209" t="n"/>
      <c r="EX381" s="102" t="n"/>
    </row>
    <row r="382">
      <c r="EW382" s="209" t="n"/>
      <c r="EX382" s="102" t="n"/>
    </row>
    <row r="383">
      <c r="EW383" s="209" t="n"/>
      <c r="EX383" s="102" t="n"/>
    </row>
    <row r="384">
      <c r="EW384" s="209" t="n"/>
      <c r="EX384" s="102" t="n"/>
    </row>
    <row r="385">
      <c r="EW385" s="209" t="n"/>
      <c r="EX385" s="102" t="n"/>
    </row>
    <row r="386">
      <c r="EW386" s="209" t="n"/>
      <c r="EX386" s="102" t="n"/>
    </row>
    <row r="387">
      <c r="EW387" s="209" t="n"/>
      <c r="EX387" s="102" t="n"/>
    </row>
    <row r="388">
      <c r="EW388" s="209" t="n"/>
      <c r="EX388" s="102" t="n"/>
    </row>
    <row r="389">
      <c r="EW389" s="209" t="n"/>
      <c r="EX389" s="102" t="n"/>
    </row>
    <row r="390">
      <c r="EW390" s="209" t="n"/>
      <c r="EX390" s="102" t="n"/>
    </row>
    <row r="391">
      <c r="EW391" s="209" t="n"/>
      <c r="EX391" s="102" t="n"/>
    </row>
    <row r="392">
      <c r="EW392" s="209" t="n"/>
      <c r="EX392" s="102" t="n"/>
    </row>
    <row r="393">
      <c r="EW393" s="209" t="n"/>
      <c r="EX393" s="102" t="n"/>
    </row>
    <row r="394">
      <c r="EW394" s="209" t="n"/>
      <c r="EX394" s="102" t="n"/>
    </row>
    <row r="395">
      <c r="EW395" s="209" t="n"/>
      <c r="EX395" s="102" t="n"/>
    </row>
    <row r="396">
      <c r="EW396" s="209" t="n"/>
      <c r="EX396" s="102" t="n"/>
    </row>
    <row r="397">
      <c r="EW397" s="209" t="n"/>
      <c r="EX397" s="102" t="n"/>
    </row>
    <row r="398">
      <c r="EW398" s="209" t="n"/>
      <c r="EX398" s="102" t="n"/>
    </row>
    <row r="399">
      <c r="EW399" s="209" t="n"/>
      <c r="EX399" s="102" t="n"/>
    </row>
    <row r="400">
      <c r="EW400" s="209" t="n"/>
      <c r="EX400" s="102" t="n"/>
    </row>
    <row r="401">
      <c r="EW401" s="209" t="n"/>
      <c r="EX401" s="102" t="n"/>
    </row>
    <row r="402">
      <c r="EW402" s="209" t="n"/>
      <c r="EX402" s="102" t="n"/>
    </row>
    <row r="403">
      <c r="EW403" s="209" t="n"/>
      <c r="EX403" s="102" t="n"/>
    </row>
    <row r="404">
      <c r="EW404" s="209" t="n"/>
      <c r="EX404" s="102" t="n"/>
    </row>
    <row r="405">
      <c r="EW405" s="209" t="n"/>
      <c r="EX405" s="102" t="n"/>
    </row>
    <row r="406">
      <c r="EW406" s="209" t="n"/>
      <c r="EX406" s="102" t="n"/>
    </row>
    <row r="407">
      <c r="EW407" s="209" t="n"/>
      <c r="EX407" s="102" t="n"/>
    </row>
    <row r="408">
      <c r="EW408" s="209" t="n"/>
      <c r="EX408" s="102" t="n"/>
    </row>
    <row r="409">
      <c r="EW409" s="209" t="n"/>
      <c r="EX409" s="102" t="n"/>
    </row>
    <row r="410">
      <c r="EW410" s="209" t="n"/>
      <c r="EX410" s="102" t="n"/>
    </row>
    <row r="411">
      <c r="EW411" s="209" t="n"/>
      <c r="EX411" s="102" t="n"/>
    </row>
    <row r="412">
      <c r="EW412" s="209" t="n"/>
      <c r="EX412" s="102" t="n"/>
    </row>
    <row r="413">
      <c r="EW413" s="209" t="n"/>
      <c r="EX413" s="102" t="n"/>
    </row>
    <row r="414">
      <c r="EW414" s="209" t="n"/>
      <c r="EX414" s="102" t="n"/>
    </row>
    <row r="415">
      <c r="EW415" s="209" t="n"/>
      <c r="EX415" s="102" t="n"/>
    </row>
    <row r="416">
      <c r="EW416" s="209" t="n"/>
      <c r="EX416" s="102" t="n"/>
    </row>
    <row r="417">
      <c r="EW417" s="209" t="n"/>
      <c r="EX417" s="102" t="n"/>
    </row>
    <row r="418">
      <c r="EW418" s="209" t="n"/>
      <c r="EX418" s="102" t="n"/>
    </row>
    <row r="419">
      <c r="EW419" s="209" t="n"/>
      <c r="EX419" s="102" t="n"/>
    </row>
    <row r="420">
      <c r="EW420" s="209" t="n"/>
      <c r="EX420" s="102" t="n"/>
    </row>
    <row r="421">
      <c r="EW421" s="209" t="n"/>
      <c r="EX421" s="102" t="n"/>
    </row>
    <row r="422">
      <c r="EW422" s="209" t="n"/>
      <c r="EX422" s="102" t="n"/>
    </row>
    <row r="423">
      <c r="EW423" s="209" t="n"/>
      <c r="EX423" s="102" t="n"/>
    </row>
    <row r="424">
      <c r="EW424" s="209" t="n"/>
      <c r="EX424" s="102" t="n"/>
    </row>
    <row r="425">
      <c r="EW425" s="209" t="n"/>
      <c r="EX425" s="102" t="n"/>
    </row>
    <row r="426">
      <c r="EW426" s="209" t="n"/>
      <c r="EX426" s="102" t="n"/>
    </row>
    <row r="427">
      <c r="EW427" s="209" t="n"/>
      <c r="EX427" s="102" t="n"/>
    </row>
    <row r="428">
      <c r="EW428" s="209" t="n"/>
      <c r="EX428" s="102" t="n"/>
    </row>
    <row r="429">
      <c r="EW429" s="209" t="n"/>
      <c r="EX429" s="102" t="n"/>
    </row>
    <row r="430">
      <c r="EW430" s="209" t="n"/>
      <c r="EX430" s="102" t="n"/>
    </row>
    <row r="431">
      <c r="EW431" s="209" t="n"/>
      <c r="EX431" s="102" t="n"/>
    </row>
    <row r="432">
      <c r="EW432" s="209" t="n"/>
      <c r="EX432" s="102" t="n"/>
    </row>
    <row r="433">
      <c r="EW433" s="209" t="n"/>
      <c r="EX433" s="102" t="n"/>
    </row>
    <row r="434">
      <c r="EW434" s="209" t="n"/>
      <c r="EX434" s="102" t="n"/>
    </row>
    <row r="435">
      <c r="EW435" s="209" t="n"/>
      <c r="EX435" s="102" t="n"/>
    </row>
    <row r="436">
      <c r="EW436" s="209" t="n"/>
      <c r="EX436" s="102" t="n"/>
    </row>
    <row r="437">
      <c r="EW437" s="209" t="n"/>
      <c r="EX437" s="102" t="n"/>
    </row>
    <row r="438">
      <c r="EW438" s="209" t="n"/>
      <c r="EX438" s="102" t="n"/>
    </row>
    <row r="439">
      <c r="EW439" s="209" t="n"/>
      <c r="EX439" s="102" t="n"/>
    </row>
    <row r="440">
      <c r="EW440" s="209" t="n"/>
      <c r="EX440" s="102" t="n"/>
    </row>
    <row r="441">
      <c r="EW441" s="209" t="n"/>
      <c r="EX441" s="102" t="n"/>
    </row>
    <row r="442">
      <c r="EW442" s="209" t="n"/>
      <c r="EX442" s="102" t="n"/>
    </row>
    <row r="443">
      <c r="EW443" s="209" t="n"/>
      <c r="EX443" s="102" t="n"/>
    </row>
    <row r="444">
      <c r="EW444" s="209" t="n"/>
      <c r="EX444" s="102" t="n"/>
    </row>
    <row r="445">
      <c r="EW445" s="209" t="n"/>
      <c r="EX445" s="102" t="n"/>
    </row>
    <row r="446">
      <c r="EW446" s="209" t="n"/>
      <c r="EX446" s="102" t="n"/>
    </row>
    <row r="447">
      <c r="EW447" s="209" t="n"/>
      <c r="EX447" s="102" t="n"/>
    </row>
    <row r="448">
      <c r="EW448" s="209" t="n"/>
      <c r="EX448" s="102" t="n"/>
    </row>
    <row r="449">
      <c r="EW449" s="209" t="n"/>
      <c r="EX449" s="102" t="n"/>
    </row>
    <row r="450">
      <c r="EW450" s="209" t="n"/>
      <c r="EX450" s="102" t="n"/>
    </row>
    <row r="451">
      <c r="EW451" s="209" t="n"/>
      <c r="EX451" s="102" t="n"/>
    </row>
    <row r="452">
      <c r="EW452" s="209" t="n"/>
      <c r="EX452" s="102" t="n"/>
    </row>
    <row r="453">
      <c r="EW453" s="209" t="n"/>
      <c r="EX453" s="102" t="n"/>
    </row>
    <row r="454">
      <c r="EW454" s="209" t="n"/>
      <c r="EX454" s="102" t="n"/>
    </row>
    <row r="455">
      <c r="EW455" s="209" t="n"/>
      <c r="EX455" s="102" t="n"/>
    </row>
    <row r="456">
      <c r="EW456" s="209" t="n"/>
      <c r="EX456" s="102" t="n"/>
    </row>
    <row r="457">
      <c r="EW457" s="209" t="n"/>
      <c r="EX457" s="102" t="n"/>
    </row>
    <row r="458">
      <c r="EW458" s="209" t="n"/>
      <c r="EX458" s="102" t="n"/>
    </row>
    <row r="459">
      <c r="EW459" s="209" t="n"/>
      <c r="EX459" s="102" t="n"/>
    </row>
    <row r="460">
      <c r="EW460" s="209" t="n"/>
      <c r="EX460" s="102" t="n"/>
    </row>
    <row r="461">
      <c r="EW461" s="209" t="n"/>
      <c r="EX461" s="102" t="n"/>
    </row>
    <row r="462">
      <c r="EW462" s="209" t="n"/>
      <c r="EX462" s="102" t="n"/>
    </row>
    <row r="463">
      <c r="EW463" s="209" t="n"/>
      <c r="EX463" s="102" t="n"/>
    </row>
    <row r="464">
      <c r="EW464" s="209" t="n"/>
      <c r="EX464" s="102" t="n"/>
    </row>
    <row r="465">
      <c r="EW465" s="209" t="n"/>
      <c r="EX465" s="102" t="n"/>
    </row>
    <row r="466">
      <c r="EW466" s="209" t="n"/>
      <c r="EX466" s="102" t="n"/>
    </row>
    <row r="467">
      <c r="EW467" s="209" t="n"/>
      <c r="EX467" s="102" t="n"/>
    </row>
    <row r="468">
      <c r="EW468" s="209" t="n"/>
      <c r="EX468" s="102" t="n"/>
    </row>
    <row r="469">
      <c r="EW469" s="209" t="n"/>
      <c r="EX469" s="102" t="n"/>
    </row>
    <row r="470">
      <c r="EW470" s="209" t="n"/>
      <c r="EX470" s="102" t="n"/>
    </row>
    <row r="471">
      <c r="EW471" s="209" t="n"/>
      <c r="EX471" s="102" t="n"/>
    </row>
    <row r="472">
      <c r="EW472" s="209" t="n"/>
      <c r="EX472" s="102" t="n"/>
    </row>
    <row r="473">
      <c r="EW473" s="209" t="n"/>
      <c r="EX473" s="102" t="n"/>
    </row>
    <row r="474">
      <c r="EW474" s="209" t="n"/>
      <c r="EX474" s="102" t="n"/>
    </row>
    <row r="475">
      <c r="EW475" s="209" t="n"/>
      <c r="EX475" s="102" t="n"/>
    </row>
    <row r="476">
      <c r="EW476" s="209" t="n"/>
      <c r="EX476" s="102" t="n"/>
    </row>
    <row r="477">
      <c r="EW477" s="209" t="n"/>
      <c r="EX477" s="102" t="n"/>
    </row>
    <row r="478">
      <c r="EW478" s="209" t="n"/>
      <c r="EX478" s="102" t="n"/>
    </row>
    <row r="479">
      <c r="EW479" s="209" t="n"/>
      <c r="EX479" s="102" t="n"/>
    </row>
    <row r="480">
      <c r="EW480" s="209" t="n"/>
      <c r="EX480" s="102" t="n"/>
    </row>
    <row r="481">
      <c r="EW481" s="209" t="n"/>
      <c r="EX481" s="102" t="n"/>
    </row>
    <row r="482">
      <c r="EW482" s="209" t="n"/>
      <c r="EX482" s="102" t="n"/>
    </row>
    <row r="483">
      <c r="EW483" s="209" t="n"/>
      <c r="EX483" s="102" t="n"/>
    </row>
    <row r="484">
      <c r="EW484" s="209" t="n"/>
      <c r="EX484" s="102" t="n"/>
    </row>
    <row r="485">
      <c r="EW485" s="209" t="n"/>
      <c r="EX485" s="102" t="n"/>
    </row>
    <row r="486">
      <c r="EW486" s="209" t="n"/>
      <c r="EX486" s="102" t="n"/>
    </row>
    <row r="487">
      <c r="EW487" s="209" t="n"/>
      <c r="EX487" s="102" t="n"/>
    </row>
    <row r="488">
      <c r="EW488" s="209" t="n"/>
      <c r="EX488" s="102" t="n"/>
    </row>
    <row r="489">
      <c r="EW489" s="209" t="n"/>
      <c r="EX489" s="102" t="n"/>
    </row>
    <row r="490">
      <c r="EW490" s="209" t="n"/>
      <c r="EX490" s="102" t="n"/>
    </row>
    <row r="491">
      <c r="EW491" s="209" t="n"/>
      <c r="EX491" s="102" t="n"/>
    </row>
    <row r="492">
      <c r="EW492" s="209" t="n"/>
      <c r="EX492" s="102" t="n"/>
    </row>
    <row r="493">
      <c r="EW493" s="209" t="n"/>
      <c r="EX493" s="102" t="n"/>
    </row>
    <row r="494">
      <c r="EW494" s="209" t="n"/>
      <c r="EX494" s="102" t="n"/>
    </row>
    <row r="495">
      <c r="EW495" s="209" t="n"/>
      <c r="EX495" s="102" t="n"/>
    </row>
    <row r="496">
      <c r="EW496" s="209" t="n"/>
      <c r="EX496" s="102" t="n"/>
    </row>
    <row r="497">
      <c r="EW497" s="209" t="n"/>
      <c r="EX497" s="102" t="n"/>
    </row>
    <row r="498">
      <c r="EW498" s="209" t="n"/>
      <c r="EX498" s="102" t="n"/>
    </row>
    <row r="499">
      <c r="EW499" s="209" t="n"/>
      <c r="EX499" s="102" t="n"/>
    </row>
    <row r="500">
      <c r="EW500" s="209" t="n"/>
      <c r="EX500" s="102" t="n"/>
    </row>
    <row r="501">
      <c r="EW501" s="209" t="n"/>
      <c r="EX501" s="102" t="n"/>
    </row>
    <row r="502">
      <c r="EW502" s="209" t="n"/>
      <c r="EX502" s="102" t="n"/>
    </row>
    <row r="503">
      <c r="EW503" s="209" t="n"/>
      <c r="EX503" s="102" t="n"/>
    </row>
    <row r="504">
      <c r="EW504" s="209" t="n"/>
      <c r="EX504" s="102" t="n"/>
    </row>
    <row r="505">
      <c r="EW505" s="209" t="n"/>
      <c r="EX505" s="102" t="n"/>
    </row>
    <row r="506">
      <c r="EW506" s="209" t="n"/>
      <c r="EX506" s="102" t="n"/>
    </row>
    <row r="507">
      <c r="EW507" s="209" t="n"/>
      <c r="EX507" s="102" t="n"/>
    </row>
    <row r="508">
      <c r="EW508" s="209" t="n"/>
      <c r="EX508" s="102" t="n"/>
    </row>
    <row r="509">
      <c r="EW509" s="209" t="n"/>
      <c r="EX509" s="102" t="n"/>
    </row>
    <row r="510">
      <c r="EW510" s="209" t="n"/>
      <c r="EX510" s="102" t="n"/>
    </row>
    <row r="511">
      <c r="EW511" s="209" t="n"/>
      <c r="EX511" s="102" t="n"/>
    </row>
    <row r="512">
      <c r="EW512" s="209" t="n"/>
      <c r="EX512" s="102" t="n"/>
    </row>
    <row r="513">
      <c r="EW513" s="209" t="n"/>
      <c r="EX513" s="102" t="n"/>
    </row>
    <row r="514">
      <c r="EW514" s="209" t="n"/>
      <c r="EX514" s="102" t="n"/>
    </row>
    <row r="515">
      <c r="EW515" s="209" t="n"/>
      <c r="EX515" s="102" t="n"/>
    </row>
    <row r="516">
      <c r="EW516" s="209" t="n"/>
      <c r="EX516" s="102" t="n"/>
    </row>
    <row r="517">
      <c r="EW517" s="209" t="n"/>
      <c r="EX517" s="102" t="n"/>
    </row>
    <row r="518">
      <c r="EW518" s="209" t="n"/>
      <c r="EX518" s="102" t="n"/>
    </row>
    <row r="519">
      <c r="EW519" s="209" t="n"/>
      <c r="EX519" s="102" t="n"/>
    </row>
    <row r="520">
      <c r="EW520" s="209" t="n"/>
      <c r="EX520" s="102" t="n"/>
    </row>
    <row r="521">
      <c r="EW521" s="209" t="n"/>
      <c r="EX521" s="102" t="n"/>
    </row>
    <row r="522">
      <c r="EW522" s="209" t="n"/>
      <c r="EX522" s="102" t="n"/>
    </row>
    <row r="523">
      <c r="EW523" s="209" t="n"/>
      <c r="EX523" s="102" t="n"/>
    </row>
    <row r="524">
      <c r="EW524" s="209" t="n"/>
      <c r="EX524" s="102" t="n"/>
    </row>
    <row r="525">
      <c r="EW525" s="209" t="n"/>
      <c r="EX525" s="102" t="n"/>
    </row>
    <row r="526">
      <c r="EW526" s="209" t="n"/>
      <c r="EX526" s="102" t="n"/>
    </row>
    <row r="527">
      <c r="EW527" s="209" t="n"/>
      <c r="EX527" s="102" t="n"/>
    </row>
    <row r="528">
      <c r="EW528" s="209" t="n"/>
      <c r="EX528" s="102" t="n"/>
    </row>
    <row r="529">
      <c r="EW529" s="209" t="n"/>
      <c r="EX529" s="102" t="n"/>
    </row>
    <row r="530">
      <c r="EW530" s="209" t="n"/>
      <c r="EX530" s="102" t="n"/>
    </row>
    <row r="531">
      <c r="EW531" s="209" t="n"/>
      <c r="EX531" s="102" t="n"/>
    </row>
    <row r="532">
      <c r="EW532" s="209" t="n"/>
      <c r="EX532" s="102" t="n"/>
    </row>
    <row r="533">
      <c r="EW533" s="209" t="n"/>
      <c r="EX533" s="102" t="n"/>
    </row>
    <row r="534">
      <c r="EW534" s="209" t="n"/>
      <c r="EX534" s="102" t="n"/>
    </row>
    <row r="535">
      <c r="EW535" s="209" t="n"/>
      <c r="EX535" s="102" t="n"/>
    </row>
    <row r="536">
      <c r="EW536" s="209" t="n"/>
      <c r="EX536" s="102" t="n"/>
    </row>
    <row r="537">
      <c r="EW537" s="209" t="n"/>
      <c r="EX537" s="102" t="n"/>
    </row>
    <row r="538">
      <c r="EW538" s="209" t="n"/>
      <c r="EX538" s="102" t="n"/>
    </row>
    <row r="539">
      <c r="EW539" s="209" t="n"/>
      <c r="EX539" s="102" t="n"/>
    </row>
    <row r="540">
      <c r="EW540" s="209" t="n"/>
      <c r="EX540" s="102" t="n"/>
    </row>
    <row r="541">
      <c r="EW541" s="209" t="n"/>
      <c r="EX541" s="102" t="n"/>
    </row>
    <row r="542">
      <c r="EW542" s="209" t="n"/>
      <c r="EX542" s="102" t="n"/>
    </row>
    <row r="543">
      <c r="EW543" s="209" t="n"/>
      <c r="EX543" s="102" t="n"/>
    </row>
    <row r="544">
      <c r="EW544" s="209" t="n"/>
      <c r="EX544" s="102" t="n"/>
    </row>
    <row r="545">
      <c r="EW545" s="209" t="n"/>
      <c r="EX545" s="102" t="n"/>
    </row>
    <row r="546">
      <c r="EW546" s="209" t="n"/>
      <c r="EX546" s="102" t="n"/>
    </row>
    <row r="547">
      <c r="EW547" s="209" t="n"/>
      <c r="EX547" s="102" t="n"/>
    </row>
    <row r="548">
      <c r="EW548" s="209" t="n"/>
      <c r="EX548" s="102" t="n"/>
    </row>
    <row r="549">
      <c r="EW549" s="209" t="n"/>
      <c r="EX549" s="102" t="n"/>
    </row>
    <row r="550">
      <c r="EW550" s="209" t="n"/>
      <c r="EX550" s="102" t="n"/>
    </row>
    <row r="551">
      <c r="EW551" s="209" t="n"/>
      <c r="EX551" s="102" t="n"/>
    </row>
    <row r="552">
      <c r="EW552" s="209" t="n"/>
      <c r="EX552" s="102" t="n"/>
    </row>
    <row r="553">
      <c r="EW553" s="209" t="n"/>
      <c r="EX553" s="102" t="n"/>
    </row>
    <row r="554">
      <c r="EW554" s="209" t="n"/>
      <c r="EX554" s="102" t="n"/>
    </row>
    <row r="555">
      <c r="EW555" s="209" t="n"/>
      <c r="EX555" s="102" t="n"/>
    </row>
    <row r="556">
      <c r="EW556" s="209" t="n"/>
      <c r="EX556" s="102" t="n"/>
    </row>
    <row r="557">
      <c r="EW557" s="209" t="n"/>
      <c r="EX557" s="102" t="n"/>
    </row>
    <row r="558">
      <c r="EW558" s="209" t="n"/>
      <c r="EX558" s="102" t="n"/>
    </row>
    <row r="559">
      <c r="EW559" s="209" t="n"/>
      <c r="EX559" s="102" t="n"/>
    </row>
    <row r="560">
      <c r="EW560" s="209" t="n"/>
      <c r="EX560" s="102" t="n"/>
    </row>
    <row r="561">
      <c r="EW561" s="209" t="n"/>
      <c r="EX561" s="102" t="n"/>
    </row>
    <row r="562">
      <c r="EW562" s="209" t="n"/>
      <c r="EX562" s="102" t="n"/>
    </row>
    <row r="563">
      <c r="EW563" s="209" t="n"/>
      <c r="EX563" s="102" t="n"/>
    </row>
    <row r="564">
      <c r="EW564" s="209" t="n"/>
      <c r="EX564" s="102" t="n"/>
    </row>
    <row r="565">
      <c r="EW565" s="209" t="n"/>
      <c r="EX565" s="102" t="n"/>
    </row>
    <row r="566">
      <c r="EW566" s="209" t="n"/>
      <c r="EX566" s="102" t="n"/>
    </row>
    <row r="567">
      <c r="EW567" s="209" t="n"/>
      <c r="EX567" s="102" t="n"/>
    </row>
    <row r="568">
      <c r="EW568" s="209" t="n"/>
      <c r="EX568" s="102" t="n"/>
    </row>
    <row r="569">
      <c r="EW569" s="209" t="n"/>
      <c r="EX569" s="102" t="n"/>
    </row>
    <row r="570">
      <c r="EW570" s="209" t="n"/>
      <c r="EX570" s="102" t="n"/>
    </row>
    <row r="571">
      <c r="EW571" s="209" t="n"/>
      <c r="EX571" s="102" t="n"/>
    </row>
    <row r="572">
      <c r="EW572" s="209" t="n"/>
      <c r="EX572" s="102" t="n"/>
    </row>
    <row r="573">
      <c r="EW573" s="209" t="n"/>
      <c r="EX573" s="102" t="n"/>
    </row>
    <row r="574">
      <c r="EW574" s="209" t="n"/>
      <c r="EX574" s="102" t="n"/>
    </row>
    <row r="575">
      <c r="EW575" s="209" t="n"/>
      <c r="EX575" s="102" t="n"/>
    </row>
    <row r="576">
      <c r="EW576" s="209" t="n"/>
      <c r="EX576" s="102" t="n"/>
    </row>
    <row r="577">
      <c r="EW577" s="209" t="n"/>
      <c r="EX577" s="102" t="n"/>
    </row>
    <row r="578">
      <c r="EW578" s="209" t="n"/>
      <c r="EX578" s="102" t="n"/>
    </row>
    <row r="579">
      <c r="EW579" s="209" t="n"/>
      <c r="EX579" s="102" t="n"/>
    </row>
    <row r="580">
      <c r="EW580" s="209" t="n"/>
      <c r="EX580" s="102" t="n"/>
    </row>
    <row r="581">
      <c r="EW581" s="209" t="n"/>
      <c r="EX581" s="102" t="n"/>
    </row>
    <row r="582">
      <c r="EW582" s="209" t="n"/>
      <c r="EX582" s="102" t="n"/>
    </row>
    <row r="583">
      <c r="EW583" s="209" t="n"/>
      <c r="EX583" s="102" t="n"/>
    </row>
    <row r="584">
      <c r="EW584" s="209" t="n"/>
      <c r="EX584" s="102" t="n"/>
    </row>
    <row r="585">
      <c r="EW585" s="209" t="n"/>
      <c r="EX585" s="102" t="n"/>
    </row>
    <row r="586">
      <c r="EW586" s="209" t="n"/>
      <c r="EX586" s="102" t="n"/>
    </row>
    <row r="587">
      <c r="EW587" s="209" t="n"/>
      <c r="EX587" s="102" t="n"/>
    </row>
    <row r="588">
      <c r="EW588" s="209" t="n"/>
      <c r="EX588" s="102" t="n"/>
    </row>
    <row r="589">
      <c r="EW589" s="209" t="n"/>
      <c r="EX589" s="102" t="n"/>
    </row>
    <row r="590">
      <c r="EW590" s="209" t="n"/>
      <c r="EX590" s="102" t="n"/>
    </row>
    <row r="591">
      <c r="EW591" s="209" t="n"/>
      <c r="EX591" s="102" t="n"/>
    </row>
    <row r="592">
      <c r="EW592" s="209" t="n"/>
      <c r="EX592" s="102" t="n"/>
    </row>
    <row r="593">
      <c r="EW593" s="209" t="n"/>
      <c r="EX593" s="102" t="n"/>
    </row>
    <row r="594">
      <c r="EW594" s="209" t="n"/>
      <c r="EX594" s="102" t="n"/>
    </row>
    <row r="595">
      <c r="EW595" s="209" t="n"/>
      <c r="EX595" s="102" t="n"/>
    </row>
    <row r="596">
      <c r="EW596" s="209" t="n"/>
      <c r="EX596" s="102" t="n"/>
    </row>
    <row r="597">
      <c r="EW597" s="209" t="n"/>
      <c r="EX597" s="102" t="n"/>
    </row>
    <row r="598">
      <c r="EW598" s="209" t="n"/>
      <c r="EX598" s="102" t="n"/>
    </row>
    <row r="599">
      <c r="EW599" s="209" t="n"/>
      <c r="EX599" s="102" t="n"/>
    </row>
    <row r="600">
      <c r="EW600" s="209" t="n"/>
      <c r="EX600" s="102" t="n"/>
    </row>
    <row r="601">
      <c r="EW601" s="209" t="n"/>
      <c r="EX601" s="102" t="n"/>
    </row>
    <row r="602">
      <c r="EW602" s="209" t="n"/>
      <c r="EX602" s="102" t="n"/>
    </row>
    <row r="603">
      <c r="EW603" s="209" t="n"/>
      <c r="EX603" s="102" t="n"/>
    </row>
    <row r="604">
      <c r="EW604" s="209" t="n"/>
      <c r="EX604" s="102" t="n"/>
    </row>
    <row r="605">
      <c r="EW605" s="209" t="n"/>
      <c r="EX605" s="102" t="n"/>
    </row>
    <row r="606">
      <c r="EW606" s="209" t="n"/>
      <c r="EX606" s="102" t="n"/>
    </row>
    <row r="607">
      <c r="EW607" s="209" t="n"/>
      <c r="EX607" s="102" t="n"/>
    </row>
    <row r="608">
      <c r="EW608" s="209" t="n"/>
      <c r="EX608" s="102" t="n"/>
    </row>
    <row r="609">
      <c r="EW609" s="209" t="n"/>
      <c r="EX609" s="102" t="n"/>
    </row>
    <row r="610">
      <c r="EW610" s="209" t="n"/>
      <c r="EX610" s="102" t="n"/>
    </row>
    <row r="611">
      <c r="EW611" s="209" t="n"/>
      <c r="EX611" s="102" t="n"/>
    </row>
    <row r="612">
      <c r="EW612" s="209" t="n"/>
      <c r="EX612" s="102" t="n"/>
    </row>
    <row r="613">
      <c r="EW613" s="209" t="n"/>
      <c r="EX613" s="102" t="n"/>
    </row>
    <row r="614">
      <c r="EW614" s="209" t="n"/>
      <c r="EX614" s="102" t="n"/>
    </row>
    <row r="615">
      <c r="EW615" s="209" t="n"/>
      <c r="EX615" s="102" t="n"/>
    </row>
    <row r="616">
      <c r="EW616" s="209" t="n"/>
      <c r="EX616" s="102" t="n"/>
    </row>
    <row r="617">
      <c r="EW617" s="209" t="n"/>
      <c r="EX617" s="102" t="n"/>
    </row>
    <row r="618">
      <c r="EW618" s="209" t="n"/>
      <c r="EX618" s="102" t="n"/>
    </row>
    <row r="619">
      <c r="EW619" s="209" t="n"/>
      <c r="EX619" s="102" t="n"/>
    </row>
    <row r="620">
      <c r="EW620" s="209" t="n"/>
      <c r="EX620" s="102" t="n"/>
    </row>
    <row r="621">
      <c r="EW621" s="209" t="n"/>
      <c r="EX621" s="102" t="n"/>
    </row>
    <row r="622">
      <c r="EW622" s="209" t="n"/>
      <c r="EX622" s="102" t="n"/>
    </row>
    <row r="623">
      <c r="EW623" s="209" t="n"/>
      <c r="EX623" s="102" t="n"/>
    </row>
    <row r="624">
      <c r="EW624" s="209" t="n"/>
      <c r="EX624" s="102" t="n"/>
    </row>
    <row r="625">
      <c r="EW625" s="209" t="n"/>
      <c r="EX625" s="102" t="n"/>
    </row>
    <row r="626">
      <c r="EW626" s="209" t="n"/>
      <c r="EX626" s="102" t="n"/>
    </row>
    <row r="627">
      <c r="EW627" s="209" t="n"/>
      <c r="EX627" s="102" t="n"/>
    </row>
    <row r="628">
      <c r="EW628" s="209" t="n"/>
      <c r="EX628" s="102" t="n"/>
    </row>
    <row r="629">
      <c r="EW629" s="209" t="n"/>
      <c r="EX629" s="102" t="n"/>
    </row>
    <row r="630">
      <c r="EW630" s="209" t="n"/>
      <c r="EX630" s="102" t="n"/>
    </row>
    <row r="631">
      <c r="EW631" s="209" t="n"/>
      <c r="EX631" s="102" t="n"/>
    </row>
    <row r="632">
      <c r="EW632" s="209" t="n"/>
      <c r="EX632" s="102" t="n"/>
    </row>
    <row r="633">
      <c r="EW633" s="209" t="n"/>
      <c r="EX633" s="102" t="n"/>
    </row>
    <row r="634">
      <c r="EW634" s="209" t="n"/>
      <c r="EX634" s="102" t="n"/>
    </row>
    <row r="635">
      <c r="EW635" s="209" t="n"/>
      <c r="EX635" s="102" t="n"/>
    </row>
    <row r="636">
      <c r="EW636" s="209" t="n"/>
      <c r="EX636" s="102" t="n"/>
    </row>
    <row r="637">
      <c r="EW637" s="209" t="n"/>
      <c r="EX637" s="102" t="n"/>
    </row>
    <row r="638">
      <c r="EW638" s="209" t="n"/>
      <c r="EX638" s="102" t="n"/>
    </row>
    <row r="639">
      <c r="EW639" s="209" t="n"/>
      <c r="EX639" s="102" t="n"/>
    </row>
    <row r="640">
      <c r="EW640" s="209" t="n"/>
      <c r="EX640" s="102" t="n"/>
    </row>
    <row r="641">
      <c r="EW641" s="209" t="n"/>
      <c r="EX641" s="102" t="n"/>
    </row>
    <row r="642">
      <c r="EW642" s="209" t="n"/>
      <c r="EX642" s="102" t="n"/>
    </row>
    <row r="643">
      <c r="EW643" s="209" t="n"/>
      <c r="EX643" s="102" t="n"/>
    </row>
    <row r="644">
      <c r="EW644" s="209" t="n"/>
      <c r="EX644" s="102" t="n"/>
    </row>
    <row r="645">
      <c r="EW645" s="209" t="n"/>
      <c r="EX645" s="102" t="n"/>
    </row>
    <row r="646">
      <c r="EW646" s="209" t="n"/>
      <c r="EX646" s="102" t="n"/>
    </row>
    <row r="647">
      <c r="EW647" s="209" t="n"/>
      <c r="EX647" s="102" t="n"/>
    </row>
    <row r="648">
      <c r="EW648" s="209" t="n"/>
      <c r="EX648" s="102" t="n"/>
    </row>
    <row r="649">
      <c r="EW649" s="209" t="n"/>
      <c r="EX649" s="102" t="n"/>
    </row>
    <row r="650">
      <c r="EW650" s="209" t="n"/>
      <c r="EX650" s="102" t="n"/>
    </row>
    <row r="651">
      <c r="EW651" s="209" t="n"/>
      <c r="EX651" s="102" t="n"/>
    </row>
    <row r="652">
      <c r="EW652" s="209" t="n"/>
      <c r="EX652" s="102" t="n"/>
    </row>
    <row r="653">
      <c r="EW653" s="209" t="n"/>
      <c r="EX653" s="102" t="n"/>
    </row>
    <row r="654">
      <c r="EW654" s="209" t="n"/>
      <c r="EX654" s="102" t="n"/>
    </row>
    <row r="655">
      <c r="EW655" s="209" t="n"/>
      <c r="EX655" s="102" t="n"/>
    </row>
    <row r="656">
      <c r="EW656" s="209" t="n"/>
      <c r="EX656" s="102" t="n"/>
    </row>
    <row r="657">
      <c r="EW657" s="209" t="n"/>
      <c r="EX657" s="102" t="n"/>
    </row>
    <row r="658">
      <c r="EW658" s="209" t="n"/>
      <c r="EX658" s="102" t="n"/>
    </row>
    <row r="659">
      <c r="EW659" s="209" t="n"/>
      <c r="EX659" s="102" t="n"/>
    </row>
    <row r="660">
      <c r="EW660" s="209" t="n"/>
      <c r="EX660" s="102" t="n"/>
    </row>
    <row r="661">
      <c r="EW661" s="209" t="n"/>
      <c r="EX661" s="102" t="n"/>
    </row>
    <row r="662">
      <c r="EW662" s="209" t="n"/>
      <c r="EX662" s="102" t="n"/>
    </row>
    <row r="663">
      <c r="EW663" s="209" t="n"/>
      <c r="EX663" s="102" t="n"/>
    </row>
    <row r="664">
      <c r="EW664" s="209" t="n"/>
      <c r="EX664" s="102" t="n"/>
    </row>
    <row r="665">
      <c r="EW665" s="209" t="n"/>
      <c r="EX665" s="102" t="n"/>
    </row>
    <row r="666">
      <c r="EW666" s="209" t="n"/>
      <c r="EX666" s="102" t="n"/>
    </row>
    <row r="667">
      <c r="EW667" s="209" t="n"/>
      <c r="EX667" s="102" t="n"/>
    </row>
    <row r="668">
      <c r="EW668" s="209" t="n"/>
      <c r="EX668" s="102" t="n"/>
    </row>
    <row r="669">
      <c r="EW669" s="209" t="n"/>
      <c r="EX669" s="102" t="n"/>
    </row>
    <row r="670">
      <c r="EW670" s="209" t="n"/>
      <c r="EX670" s="102" t="n"/>
    </row>
    <row r="671">
      <c r="EW671" s="209" t="n"/>
      <c r="EX671" s="102" t="n"/>
    </row>
    <row r="672">
      <c r="EW672" s="209" t="n"/>
      <c r="EX672" s="102" t="n"/>
    </row>
    <row r="673">
      <c r="EW673" s="209" t="n"/>
      <c r="EX673" s="102" t="n"/>
    </row>
    <row r="674">
      <c r="EW674" s="209" t="n"/>
      <c r="EX674" s="102" t="n"/>
    </row>
    <row r="675">
      <c r="EW675" s="209" t="n"/>
      <c r="EX675" s="102" t="n"/>
    </row>
    <row r="676">
      <c r="EW676" s="209" t="n"/>
      <c r="EX676" s="102" t="n"/>
    </row>
    <row r="677">
      <c r="EW677" s="209" t="n"/>
      <c r="EX677" s="102" t="n"/>
    </row>
    <row r="678">
      <c r="EW678" s="209" t="n"/>
      <c r="EX678" s="102" t="n"/>
    </row>
    <row r="679">
      <c r="EW679" s="209" t="n"/>
      <c r="EX679" s="102" t="n"/>
    </row>
    <row r="680">
      <c r="EW680" s="209" t="n"/>
      <c r="EX680" s="102" t="n"/>
    </row>
    <row r="681">
      <c r="EW681" s="209" t="n"/>
      <c r="EX681" s="102" t="n"/>
    </row>
    <row r="682">
      <c r="EW682" s="209" t="n"/>
      <c r="EX682" s="102" t="n"/>
    </row>
    <row r="683">
      <c r="EW683" s="209" t="n"/>
      <c r="EX683" s="102" t="n"/>
    </row>
    <row r="684">
      <c r="EW684" s="209" t="n"/>
      <c r="EX684" s="102" t="n"/>
    </row>
    <row r="685">
      <c r="EW685" s="209" t="n"/>
      <c r="EX685" s="102" t="n"/>
    </row>
    <row r="686">
      <c r="EW686" s="209" t="n"/>
      <c r="EX686" s="102" t="n"/>
    </row>
    <row r="687">
      <c r="EW687" s="209" t="n"/>
      <c r="EX687" s="102" t="n"/>
    </row>
    <row r="688">
      <c r="EW688" s="209" t="n"/>
      <c r="EX688" s="102" t="n"/>
    </row>
    <row r="689">
      <c r="EW689" s="209" t="n"/>
      <c r="EX689" s="102" t="n"/>
    </row>
    <row r="690">
      <c r="EW690" s="209" t="n"/>
      <c r="EX690" s="102" t="n"/>
    </row>
    <row r="691">
      <c r="EW691" s="209" t="n"/>
      <c r="EX691" s="102" t="n"/>
    </row>
    <row r="692">
      <c r="EW692" s="209" t="n"/>
      <c r="EX692" s="102" t="n"/>
    </row>
    <row r="693">
      <c r="EW693" s="209" t="n"/>
      <c r="EX693" s="102" t="n"/>
    </row>
    <row r="694">
      <c r="EW694" s="209" t="n"/>
      <c r="EX694" s="102" t="n"/>
    </row>
    <row r="695">
      <c r="EW695" s="209" t="n"/>
      <c r="EX695" s="102" t="n"/>
    </row>
    <row r="696">
      <c r="EW696" s="209" t="n"/>
      <c r="EX696" s="102" t="n"/>
    </row>
    <row r="697">
      <c r="EW697" s="209" t="n"/>
      <c r="EX697" s="102" t="n"/>
    </row>
    <row r="698">
      <c r="EW698" s="209" t="n"/>
      <c r="EX698" s="102" t="n"/>
    </row>
    <row r="699">
      <c r="EW699" s="209" t="n"/>
      <c r="EX699" s="102" t="n"/>
    </row>
    <row r="700">
      <c r="EW700" s="209" t="n"/>
      <c r="EX700" s="102" t="n"/>
    </row>
    <row r="701">
      <c r="EW701" s="209" t="n"/>
      <c r="EX701" s="102" t="n"/>
    </row>
    <row r="702">
      <c r="EW702" s="209" t="n"/>
      <c r="EX702" s="102" t="n"/>
    </row>
    <row r="703">
      <c r="EW703" s="209" t="n"/>
      <c r="EX703" s="102" t="n"/>
    </row>
    <row r="704">
      <c r="EW704" s="209" t="n"/>
      <c r="EX704" s="102" t="n"/>
    </row>
    <row r="705">
      <c r="EW705" s="209" t="n"/>
      <c r="EX705" s="102" t="n"/>
    </row>
    <row r="706">
      <c r="EW706" s="209" t="n"/>
      <c r="EX706" s="102" t="n"/>
    </row>
    <row r="707">
      <c r="EW707" s="209" t="n"/>
      <c r="EX707" s="102" t="n"/>
    </row>
    <row r="708">
      <c r="EW708" s="209" t="n"/>
      <c r="EX708" s="102" t="n"/>
    </row>
    <row r="709">
      <c r="EW709" s="209" t="n"/>
      <c r="EX709" s="102" t="n"/>
    </row>
    <row r="710">
      <c r="EW710" s="209" t="n"/>
      <c r="EX710" s="102" t="n"/>
    </row>
    <row r="711">
      <c r="EW711" s="209" t="n"/>
      <c r="EX711" s="102" t="n"/>
    </row>
    <row r="712">
      <c r="EW712" s="209" t="n"/>
      <c r="EX712" s="102" t="n"/>
    </row>
    <row r="713">
      <c r="EW713" s="209" t="n"/>
      <c r="EX713" s="102" t="n"/>
    </row>
    <row r="714">
      <c r="EW714" s="209" t="n"/>
      <c r="EX714" s="102" t="n"/>
    </row>
    <row r="715">
      <c r="EW715" s="209" t="n"/>
      <c r="EX715" s="102" t="n"/>
    </row>
    <row r="716">
      <c r="EW716" s="209" t="n"/>
      <c r="EX716" s="102" t="n"/>
    </row>
    <row r="717">
      <c r="EW717" s="209" t="n"/>
      <c r="EX717" s="102" t="n"/>
    </row>
    <row r="718">
      <c r="EW718" s="209" t="n"/>
      <c r="EX718" s="102" t="n"/>
    </row>
    <row r="719">
      <c r="EW719" s="209" t="n"/>
      <c r="EX719" s="102" t="n"/>
    </row>
    <row r="720">
      <c r="EW720" s="209" t="n"/>
      <c r="EX720" s="102" t="n"/>
    </row>
    <row r="721">
      <c r="EW721" s="209" t="n"/>
      <c r="EX721" s="102" t="n"/>
    </row>
    <row r="722">
      <c r="EW722" s="209" t="n"/>
      <c r="EX722" s="102" t="n"/>
    </row>
    <row r="723">
      <c r="EW723" s="209" t="n"/>
      <c r="EX723" s="102" t="n"/>
    </row>
    <row r="724">
      <c r="EW724" s="209" t="n"/>
      <c r="EX724" s="102" t="n"/>
    </row>
    <row r="725">
      <c r="EW725" s="209" t="n"/>
      <c r="EX725" s="102" t="n"/>
    </row>
    <row r="726">
      <c r="EW726" s="209" t="n"/>
      <c r="EX726" s="102" t="n"/>
    </row>
    <row r="727">
      <c r="EW727" s="209" t="n"/>
      <c r="EX727" s="102" t="n"/>
    </row>
    <row r="728">
      <c r="EW728" s="209" t="n"/>
      <c r="EX728" s="102" t="n"/>
    </row>
    <row r="729">
      <c r="EW729" s="209" t="n"/>
      <c r="EX729" s="102" t="n"/>
    </row>
    <row r="730">
      <c r="EW730" s="209" t="n"/>
      <c r="EX730" s="102" t="n"/>
    </row>
    <row r="731">
      <c r="EW731" s="209" t="n"/>
      <c r="EX731" s="102" t="n"/>
    </row>
    <row r="732">
      <c r="EW732" s="209" t="n"/>
      <c r="EX732" s="102" t="n"/>
    </row>
    <row r="733">
      <c r="EW733" s="209" t="n"/>
      <c r="EX733" s="102" t="n"/>
    </row>
    <row r="734">
      <c r="EW734" s="209" t="n"/>
      <c r="EX734" s="102" t="n"/>
    </row>
    <row r="735">
      <c r="EW735" s="209" t="n"/>
      <c r="EX735" s="102" t="n"/>
    </row>
    <row r="736">
      <c r="EW736" s="209" t="n"/>
      <c r="EX736" s="102" t="n"/>
    </row>
    <row r="737">
      <c r="EW737" s="209" t="n"/>
      <c r="EX737" s="102" t="n"/>
    </row>
    <row r="738">
      <c r="EW738" s="209" t="n"/>
      <c r="EX738" s="102" t="n"/>
    </row>
    <row r="739">
      <c r="EW739" s="209" t="n"/>
      <c r="EX739" s="102" t="n"/>
    </row>
    <row r="740">
      <c r="EW740" s="209" t="n"/>
      <c r="EX740" s="102" t="n"/>
    </row>
    <row r="741">
      <c r="EW741" s="209" t="n"/>
      <c r="EX741" s="102" t="n"/>
    </row>
    <row r="742">
      <c r="EW742" s="209" t="n"/>
      <c r="EX742" s="102" t="n"/>
    </row>
    <row r="743">
      <c r="EW743" s="209" t="n"/>
      <c r="EX743" s="102" t="n"/>
    </row>
    <row r="744">
      <c r="EW744" s="209" t="n"/>
      <c r="EX744" s="102" t="n"/>
    </row>
    <row r="745">
      <c r="EW745" s="209" t="n"/>
      <c r="EX745" s="102" t="n"/>
    </row>
    <row r="746">
      <c r="EW746" s="209" t="n"/>
      <c r="EX746" s="102" t="n"/>
    </row>
    <row r="747">
      <c r="EW747" s="209" t="n"/>
      <c r="EX747" s="102" t="n"/>
    </row>
    <row r="748">
      <c r="EW748" s="209" t="n"/>
      <c r="EX748" s="102" t="n"/>
    </row>
    <row r="749">
      <c r="EW749" s="209" t="n"/>
      <c r="EX749" s="102" t="n"/>
    </row>
    <row r="750">
      <c r="EW750" s="209" t="n"/>
      <c r="EX750" s="102" t="n"/>
    </row>
    <row r="751">
      <c r="EW751" s="209" t="n"/>
      <c r="EX751" s="102" t="n"/>
    </row>
    <row r="752">
      <c r="EW752" s="209" t="n"/>
      <c r="EX752" s="102" t="n"/>
    </row>
    <row r="753">
      <c r="EW753" s="209" t="n"/>
      <c r="EX753" s="102" t="n"/>
    </row>
    <row r="754">
      <c r="EW754" s="209" t="n"/>
      <c r="EX754" s="102" t="n"/>
    </row>
    <row r="755">
      <c r="EW755" s="209" t="n"/>
      <c r="EX755" s="102" t="n"/>
    </row>
    <row r="756">
      <c r="EW756" s="209" t="n"/>
      <c r="EX756" s="102" t="n"/>
    </row>
    <row r="757">
      <c r="EW757" s="209" t="n"/>
      <c r="EX757" s="102" t="n"/>
    </row>
    <row r="758">
      <c r="EW758" s="209" t="n"/>
      <c r="EX758" s="102" t="n"/>
    </row>
    <row r="759">
      <c r="EW759" s="209" t="n"/>
      <c r="EX759" s="102" t="n"/>
    </row>
    <row r="760">
      <c r="EW760" s="209" t="n"/>
      <c r="EX760" s="102" t="n"/>
    </row>
    <row r="761">
      <c r="EW761" s="209" t="n"/>
      <c r="EX761" s="102" t="n"/>
    </row>
    <row r="762">
      <c r="EW762" s="209" t="n"/>
      <c r="EX762" s="102" t="n"/>
    </row>
    <row r="763">
      <c r="EW763" s="209" t="n"/>
      <c r="EX763" s="102" t="n"/>
    </row>
    <row r="764">
      <c r="EW764" s="209" t="n"/>
      <c r="EX764" s="102" t="n"/>
    </row>
    <row r="765">
      <c r="EW765" s="209" t="n"/>
      <c r="EX765" s="102" t="n"/>
    </row>
    <row r="766">
      <c r="EW766" s="209" t="n"/>
      <c r="EX766" s="102" t="n"/>
    </row>
    <row r="767">
      <c r="EW767" s="209" t="n"/>
      <c r="EX767" s="102" t="n"/>
    </row>
    <row r="768">
      <c r="EW768" s="209" t="n"/>
      <c r="EX768" s="102" t="n"/>
    </row>
    <row r="769">
      <c r="EW769" s="209" t="n"/>
      <c r="EX769" s="102" t="n"/>
    </row>
    <row r="770">
      <c r="EW770" s="209" t="n"/>
      <c r="EX770" s="102" t="n"/>
    </row>
    <row r="771">
      <c r="EW771" s="209" t="n"/>
      <c r="EX771" s="102" t="n"/>
    </row>
    <row r="772">
      <c r="EW772" s="209" t="n"/>
      <c r="EX772" s="102" t="n"/>
    </row>
    <row r="773">
      <c r="EW773" s="209" t="n"/>
      <c r="EX773" s="102" t="n"/>
    </row>
    <row r="774">
      <c r="EW774" s="209" t="n"/>
      <c r="EX774" s="102" t="n"/>
    </row>
    <row r="775">
      <c r="EW775" s="209" t="n"/>
      <c r="EX775" s="102" t="n"/>
    </row>
    <row r="776">
      <c r="EW776" s="209" t="n"/>
      <c r="EX776" s="102" t="n"/>
    </row>
    <row r="777">
      <c r="EW777" s="209" t="n"/>
      <c r="EX777" s="102" t="n"/>
    </row>
    <row r="778">
      <c r="EW778" s="209" t="n"/>
      <c r="EX778" s="102" t="n"/>
    </row>
    <row r="779">
      <c r="EW779" s="209" t="n"/>
      <c r="EX779" s="102" t="n"/>
    </row>
    <row r="780">
      <c r="EW780" s="209" t="n"/>
      <c r="EX780" s="102" t="n"/>
    </row>
    <row r="781">
      <c r="EW781" s="209" t="n"/>
      <c r="EX781" s="102" t="n"/>
    </row>
    <row r="782">
      <c r="EW782" s="209" t="n"/>
      <c r="EX782" s="102" t="n"/>
    </row>
    <row r="783">
      <c r="EW783" s="209" t="n"/>
      <c r="EX783" s="102" t="n"/>
    </row>
    <row r="784">
      <c r="EW784" s="209" t="n"/>
      <c r="EX784" s="102" t="n"/>
    </row>
    <row r="785">
      <c r="EW785" s="209" t="n"/>
      <c r="EX785" s="102" t="n"/>
    </row>
    <row r="786">
      <c r="EW786" s="209" t="n"/>
      <c r="EX786" s="102" t="n"/>
    </row>
    <row r="787">
      <c r="EW787" s="209" t="n"/>
      <c r="EX787" s="102" t="n"/>
    </row>
    <row r="788">
      <c r="EW788" s="209" t="n"/>
      <c r="EX788" s="102" t="n"/>
    </row>
    <row r="789">
      <c r="EW789" s="209" t="n"/>
      <c r="EX789" s="102" t="n"/>
    </row>
    <row r="790">
      <c r="EW790" s="209" t="n"/>
      <c r="EX790" s="102" t="n"/>
    </row>
    <row r="791">
      <c r="EW791" s="209" t="n"/>
      <c r="EX791" s="102" t="n"/>
    </row>
    <row r="792">
      <c r="EW792" s="209" t="n"/>
      <c r="EX792" s="102" t="n"/>
    </row>
    <row r="793">
      <c r="EW793" s="209" t="n"/>
      <c r="EX793" s="102" t="n"/>
    </row>
    <row r="794">
      <c r="EW794" s="209" t="n"/>
      <c r="EX794" s="102" t="n"/>
    </row>
    <row r="795">
      <c r="EW795" s="209" t="n"/>
      <c r="EX795" s="102" t="n"/>
    </row>
    <row r="796">
      <c r="EW796" s="209" t="n"/>
      <c r="EX796" s="102" t="n"/>
    </row>
    <row r="797">
      <c r="EW797" s="209" t="n"/>
      <c r="EX797" s="102" t="n"/>
    </row>
    <row r="798">
      <c r="EW798" s="209" t="n"/>
      <c r="EX798" s="102" t="n"/>
    </row>
    <row r="799">
      <c r="EW799" s="209" t="n"/>
      <c r="EX799" s="102" t="n"/>
    </row>
    <row r="800">
      <c r="EW800" s="209" t="n"/>
      <c r="EX800" s="102" t="n"/>
    </row>
    <row r="801">
      <c r="EW801" s="209" t="n"/>
      <c r="EX801" s="102" t="n"/>
    </row>
    <row r="802">
      <c r="EW802" s="209" t="n"/>
      <c r="EX802" s="102" t="n"/>
    </row>
    <row r="803">
      <c r="EW803" s="209" t="n"/>
      <c r="EX803" s="102" t="n"/>
    </row>
    <row r="804">
      <c r="EW804" s="209" t="n"/>
      <c r="EX804" s="102" t="n"/>
    </row>
    <row r="805">
      <c r="EW805" s="209" t="n"/>
      <c r="EX805" s="102" t="n"/>
    </row>
    <row r="806">
      <c r="EW806" s="209" t="n"/>
      <c r="EX806" s="102" t="n"/>
    </row>
    <row r="807">
      <c r="EW807" s="209" t="n"/>
      <c r="EX807" s="102" t="n"/>
    </row>
    <row r="808">
      <c r="EW808" s="209" t="n"/>
      <c r="EX808" s="102" t="n"/>
    </row>
    <row r="809">
      <c r="EW809" s="209" t="n"/>
      <c r="EX809" s="102" t="n"/>
    </row>
    <row r="810">
      <c r="EW810" s="209" t="n"/>
      <c r="EX810" s="102" t="n"/>
    </row>
    <row r="811">
      <c r="EW811" s="209" t="n"/>
      <c r="EX811" s="102" t="n"/>
    </row>
    <row r="812">
      <c r="EW812" s="209" t="n"/>
      <c r="EX812" s="102" t="n"/>
    </row>
    <row r="813">
      <c r="EW813" s="209" t="n"/>
      <c r="EX813" s="102" t="n"/>
    </row>
    <row r="814">
      <c r="EW814" s="209" t="n"/>
      <c r="EX814" s="102" t="n"/>
    </row>
    <row r="815">
      <c r="EW815" s="209" t="n"/>
      <c r="EX815" s="102" t="n"/>
    </row>
    <row r="816">
      <c r="EW816" s="209" t="n"/>
      <c r="EX816" s="102" t="n"/>
    </row>
    <row r="817">
      <c r="EW817" s="209" t="n"/>
      <c r="EX817" s="102" t="n"/>
    </row>
    <row r="818">
      <c r="EW818" s="209" t="n"/>
      <c r="EX818" s="102" t="n"/>
    </row>
    <row r="819">
      <c r="EW819" s="209" t="n"/>
      <c r="EX819" s="102" t="n"/>
    </row>
    <row r="820">
      <c r="EW820" s="209" t="n"/>
      <c r="EX820" s="102" t="n"/>
    </row>
    <row r="821">
      <c r="EW821" s="209" t="n"/>
      <c r="EX821" s="102" t="n"/>
    </row>
    <row r="822">
      <c r="EW822" s="209" t="n"/>
      <c r="EX822" s="102" t="n"/>
    </row>
    <row r="823">
      <c r="EW823" s="209" t="n"/>
      <c r="EX823" s="102" t="n"/>
    </row>
    <row r="824">
      <c r="EW824" s="209" t="n"/>
      <c r="EX824" s="102" t="n"/>
    </row>
    <row r="825">
      <c r="EW825" s="209" t="n"/>
      <c r="EX825" s="102" t="n"/>
    </row>
    <row r="826">
      <c r="EW826" s="209" t="n"/>
      <c r="EX826" s="102" t="n"/>
    </row>
    <row r="827">
      <c r="EW827" s="209" t="n"/>
      <c r="EX827" s="102" t="n"/>
    </row>
    <row r="828">
      <c r="EW828" s="209" t="n"/>
      <c r="EX828" s="102" t="n"/>
    </row>
    <row r="829">
      <c r="EW829" s="209" t="n"/>
      <c r="EX829" s="102" t="n"/>
    </row>
    <row r="830">
      <c r="EW830" s="209" t="n"/>
      <c r="EX830" s="102" t="n"/>
    </row>
    <row r="831">
      <c r="EW831" s="209" t="n"/>
      <c r="EX831" s="102" t="n"/>
    </row>
    <row r="832">
      <c r="EW832" s="209" t="n"/>
      <c r="EX832" s="102" t="n"/>
    </row>
    <row r="833">
      <c r="EW833" s="209" t="n"/>
      <c r="EX833" s="102" t="n"/>
    </row>
    <row r="834">
      <c r="EW834" s="209" t="n"/>
      <c r="EX834" s="102" t="n"/>
    </row>
    <row r="835">
      <c r="EW835" s="209" t="n"/>
      <c r="EX835" s="102" t="n"/>
    </row>
    <row r="836">
      <c r="EW836" s="209" t="n"/>
      <c r="EX836" s="102" t="n"/>
    </row>
    <row r="837">
      <c r="EW837" s="209" t="n"/>
      <c r="EX837" s="102" t="n"/>
    </row>
    <row r="838">
      <c r="EW838" s="209" t="n"/>
      <c r="EX838" s="102" t="n"/>
    </row>
    <row r="839">
      <c r="EW839" s="209" t="n"/>
      <c r="EX839" s="102" t="n"/>
    </row>
    <row r="840">
      <c r="EW840" s="209" t="n"/>
      <c r="EX840" s="102" t="n"/>
    </row>
    <row r="841">
      <c r="EW841" s="209" t="n"/>
      <c r="EX841" s="102" t="n"/>
    </row>
    <row r="842">
      <c r="EW842" s="209" t="n"/>
      <c r="EX842" s="102" t="n"/>
    </row>
    <row r="843">
      <c r="EW843" s="209" t="n"/>
      <c r="EX843" s="102" t="n"/>
    </row>
    <row r="844">
      <c r="EW844" s="209" t="n"/>
      <c r="EX844" s="102" t="n"/>
    </row>
    <row r="845">
      <c r="EW845" s="209" t="n"/>
      <c r="EX845" s="102" t="n"/>
    </row>
    <row r="846">
      <c r="EW846" s="209" t="n"/>
      <c r="EX846" s="102" t="n"/>
    </row>
    <row r="847">
      <c r="EW847" s="209" t="n"/>
      <c r="EX847" s="102" t="n"/>
    </row>
    <row r="848">
      <c r="EW848" s="209" t="n"/>
      <c r="EX848" s="102" t="n"/>
    </row>
    <row r="849">
      <c r="EW849" s="209" t="n"/>
      <c r="EX849" s="102" t="n"/>
    </row>
    <row r="850">
      <c r="EW850" s="209" t="n"/>
      <c r="EX850" s="102" t="n"/>
    </row>
    <row r="851">
      <c r="EW851" s="209" t="n"/>
      <c r="EX851" s="102" t="n"/>
    </row>
    <row r="852">
      <c r="EW852" s="209" t="n"/>
      <c r="EX852" s="102" t="n"/>
    </row>
    <row r="853">
      <c r="EW853" s="209" t="n"/>
      <c r="EX853" s="102" t="n"/>
    </row>
    <row r="854">
      <c r="EW854" s="209" t="n"/>
      <c r="EX854" s="102" t="n"/>
    </row>
    <row r="855">
      <c r="EW855" s="209" t="n"/>
      <c r="EX855" s="102" t="n"/>
    </row>
    <row r="856">
      <c r="EW856" s="209" t="n"/>
      <c r="EX856" s="102" t="n"/>
    </row>
    <row r="857">
      <c r="EW857" s="209" t="n"/>
      <c r="EX857" s="102" t="n"/>
    </row>
    <row r="858">
      <c r="EW858" s="209" t="n"/>
      <c r="EX858" s="102" t="n"/>
    </row>
    <row r="859">
      <c r="EW859" s="209" t="n"/>
      <c r="EX859" s="102" t="n"/>
    </row>
    <row r="860">
      <c r="EW860" s="209" t="n"/>
      <c r="EX860" s="102" t="n"/>
    </row>
    <row r="861">
      <c r="EW861" s="209" t="n"/>
      <c r="EX861" s="102" t="n"/>
    </row>
    <row r="862">
      <c r="EW862" s="209" t="n"/>
      <c r="EX862" s="102" t="n"/>
    </row>
    <row r="863">
      <c r="EW863" s="209" t="n"/>
      <c r="EX863" s="102" t="n"/>
    </row>
    <row r="864">
      <c r="EW864" s="209" t="n"/>
      <c r="EX864" s="102" t="n"/>
    </row>
    <row r="865">
      <c r="EW865" s="209" t="n"/>
      <c r="EX865" s="102" t="n"/>
    </row>
    <row r="866">
      <c r="EW866" s="209" t="n"/>
      <c r="EX866" s="102" t="n"/>
    </row>
    <row r="867">
      <c r="EW867" s="209" t="n"/>
      <c r="EX867" s="102" t="n"/>
    </row>
    <row r="868">
      <c r="EW868" s="209" t="n"/>
      <c r="EX868" s="102" t="n"/>
    </row>
    <row r="869">
      <c r="EW869" s="209" t="n"/>
      <c r="EX869" s="102" t="n"/>
    </row>
    <row r="870">
      <c r="EW870" s="209" t="n"/>
      <c r="EX870" s="102" t="n"/>
    </row>
    <row r="871">
      <c r="EW871" s="209" t="n"/>
      <c r="EX871" s="102" t="n"/>
    </row>
    <row r="872">
      <c r="EW872" s="209" t="n"/>
      <c r="EX872" s="102" t="n"/>
    </row>
    <row r="873">
      <c r="EW873" s="209" t="n"/>
      <c r="EX873" s="102" t="n"/>
    </row>
    <row r="874">
      <c r="EW874" s="209" t="n"/>
      <c r="EX874" s="102" t="n"/>
    </row>
    <row r="875">
      <c r="EW875" s="209" t="n"/>
      <c r="EX875" s="102" t="n"/>
    </row>
    <row r="876">
      <c r="EW876" s="209" t="n"/>
      <c r="EX876" s="102" t="n"/>
    </row>
    <row r="877">
      <c r="EW877" s="209" t="n"/>
      <c r="EX877" s="102" t="n"/>
    </row>
    <row r="878">
      <c r="EW878" s="209" t="n"/>
      <c r="EX878" s="102" t="n"/>
    </row>
    <row r="879">
      <c r="EW879" s="209" t="n"/>
      <c r="EX879" s="102" t="n"/>
    </row>
    <row r="880">
      <c r="EW880" s="209" t="n"/>
      <c r="EX880" s="102" t="n"/>
    </row>
    <row r="881">
      <c r="EW881" s="209" t="n"/>
      <c r="EX881" s="102" t="n"/>
    </row>
    <row r="882">
      <c r="EW882" s="209" t="n"/>
      <c r="EX882" s="102" t="n"/>
    </row>
    <row r="883">
      <c r="EW883" s="209" t="n"/>
      <c r="EX883" s="102" t="n"/>
    </row>
    <row r="884">
      <c r="EW884" s="209" t="n"/>
      <c r="EX884" s="102" t="n"/>
    </row>
    <row r="885">
      <c r="EW885" s="209" t="n"/>
      <c r="EX885" s="102" t="n"/>
    </row>
    <row r="886">
      <c r="EW886" s="209" t="n"/>
      <c r="EX886" s="102" t="n"/>
    </row>
    <row r="887">
      <c r="EW887" s="209" t="n"/>
      <c r="EX887" s="102" t="n"/>
    </row>
    <row r="888">
      <c r="EW888" s="209" t="n"/>
      <c r="EX888" s="102" t="n"/>
    </row>
    <row r="889">
      <c r="EW889" s="209" t="n"/>
      <c r="EX889" s="102" t="n"/>
    </row>
    <row r="890">
      <c r="EW890" s="209" t="n"/>
      <c r="EX890" s="102" t="n"/>
    </row>
    <row r="891">
      <c r="EW891" s="209" t="n"/>
      <c r="EX891" s="102" t="n"/>
    </row>
    <row r="892">
      <c r="EW892" s="209" t="n"/>
      <c r="EX892" s="102" t="n"/>
    </row>
    <row r="893">
      <c r="EW893" s="209" t="n"/>
      <c r="EX893" s="102" t="n"/>
    </row>
    <row r="894">
      <c r="EW894" s="209" t="n"/>
      <c r="EX894" s="102" t="n"/>
    </row>
    <row r="895">
      <c r="EW895" s="209" t="n"/>
      <c r="EX895" s="102" t="n"/>
    </row>
    <row r="896">
      <c r="EW896" s="209" t="n"/>
      <c r="EX896" s="102" t="n"/>
    </row>
    <row r="897">
      <c r="EW897" s="209" t="n"/>
      <c r="EX897" s="102" t="n"/>
    </row>
    <row r="898">
      <c r="EW898" s="209" t="n"/>
      <c r="EX898" s="102" t="n"/>
    </row>
    <row r="899">
      <c r="EW899" s="209" t="n"/>
      <c r="EX899" s="102" t="n"/>
    </row>
    <row r="900">
      <c r="EW900" s="209" t="n"/>
      <c r="EX900" s="102" t="n"/>
    </row>
    <row r="901">
      <c r="EW901" s="209" t="n"/>
      <c r="EX901" s="102" t="n"/>
    </row>
    <row r="902">
      <c r="EW902" s="209" t="n"/>
      <c r="EX902" s="102" t="n"/>
    </row>
    <row r="903">
      <c r="EW903" s="209" t="n"/>
      <c r="EX903" s="102" t="n"/>
    </row>
    <row r="904">
      <c r="EW904" s="209" t="n"/>
      <c r="EX904" s="102" t="n"/>
    </row>
    <row r="905">
      <c r="EW905" s="209" t="n"/>
      <c r="EX905" s="102" t="n"/>
    </row>
    <row r="906">
      <c r="EW906" s="209" t="n"/>
      <c r="EX906" s="102" t="n"/>
    </row>
    <row r="907">
      <c r="EW907" s="209" t="n"/>
      <c r="EX907" s="102" t="n"/>
    </row>
    <row r="908">
      <c r="EW908" s="209" t="n"/>
      <c r="EX908" s="102" t="n"/>
    </row>
    <row r="909">
      <c r="EW909" s="209" t="n"/>
      <c r="EX909" s="102" t="n"/>
    </row>
    <row r="910">
      <c r="EW910" s="209" t="n"/>
      <c r="EX910" s="102" t="n"/>
    </row>
    <row r="911">
      <c r="EW911" s="209" t="n"/>
      <c r="EX911" s="102" t="n"/>
    </row>
    <row r="912">
      <c r="EW912" s="209" t="n"/>
      <c r="EX912" s="102" t="n"/>
    </row>
    <row r="913">
      <c r="EW913" s="209" t="n"/>
      <c r="EX913" s="102" t="n"/>
    </row>
    <row r="914">
      <c r="EW914" s="209" t="n"/>
      <c r="EX914" s="102" t="n"/>
    </row>
    <row r="915">
      <c r="EW915" s="209" t="n"/>
      <c r="EX915" s="102" t="n"/>
    </row>
    <row r="916">
      <c r="EW916" s="209" t="n"/>
      <c r="EX916" s="102" t="n"/>
    </row>
    <row r="917">
      <c r="EW917" s="209" t="n"/>
      <c r="EX917" s="102" t="n"/>
    </row>
    <row r="918">
      <c r="EW918" s="209" t="n"/>
      <c r="EX918" s="102" t="n"/>
    </row>
    <row r="919">
      <c r="EW919" s="209" t="n"/>
      <c r="EX919" s="102" t="n"/>
    </row>
    <row r="920">
      <c r="EW920" s="209" t="n"/>
      <c r="EX920" s="102" t="n"/>
    </row>
    <row r="921">
      <c r="EW921" s="209" t="n"/>
      <c r="EX921" s="102" t="n"/>
    </row>
    <row r="922">
      <c r="EW922" s="209" t="n"/>
      <c r="EX922" s="102" t="n"/>
    </row>
    <row r="923">
      <c r="EW923" s="209" t="n"/>
      <c r="EX923" s="102" t="n"/>
    </row>
    <row r="924">
      <c r="EW924" s="209" t="n"/>
      <c r="EX924" s="102" t="n"/>
    </row>
    <row r="925">
      <c r="EW925" s="209" t="n"/>
      <c r="EX925" s="102" t="n"/>
    </row>
    <row r="926">
      <c r="EW926" s="209" t="n"/>
      <c r="EX926" s="102" t="n"/>
    </row>
    <row r="927">
      <c r="EW927" s="209" t="n"/>
      <c r="EX927" s="102" t="n"/>
    </row>
    <row r="928">
      <c r="EW928" s="209" t="n"/>
      <c r="EX928" s="102" t="n"/>
    </row>
    <row r="929">
      <c r="EW929" s="209" t="n"/>
      <c r="EX929" s="102" t="n"/>
    </row>
    <row r="930">
      <c r="EW930" s="209" t="n"/>
      <c r="EX930" s="102" t="n"/>
    </row>
    <row r="931">
      <c r="EW931" s="209" t="n"/>
      <c r="EX931" s="102" t="n"/>
    </row>
    <row r="932">
      <c r="EW932" s="209" t="n"/>
      <c r="EX932" s="102" t="n"/>
    </row>
    <row r="933">
      <c r="EW933" s="209" t="n"/>
      <c r="EX933" s="102" t="n"/>
    </row>
    <row r="934">
      <c r="EW934" s="209" t="n"/>
      <c r="EX934" s="102" t="n"/>
    </row>
    <row r="935">
      <c r="EW935" s="209" t="n"/>
      <c r="EX935" s="102" t="n"/>
    </row>
    <row r="936">
      <c r="EW936" s="209" t="n"/>
      <c r="EX936" s="102" t="n"/>
    </row>
    <row r="937">
      <c r="EW937" s="209" t="n"/>
      <c r="EX937" s="102" t="n"/>
    </row>
    <row r="938">
      <c r="EW938" s="209" t="n"/>
      <c r="EX938" s="102" t="n"/>
    </row>
    <row r="939">
      <c r="EW939" s="209" t="n"/>
      <c r="EX939" s="102" t="n"/>
    </row>
    <row r="940">
      <c r="EW940" s="209" t="n"/>
      <c r="EX940" s="102" t="n"/>
    </row>
    <row r="941">
      <c r="EW941" s="209" t="n"/>
      <c r="EX941" s="102" t="n"/>
    </row>
    <row r="942">
      <c r="EW942" s="209" t="n"/>
      <c r="EX942" s="102" t="n"/>
    </row>
    <row r="943">
      <c r="EW943" s="209" t="n"/>
      <c r="EX943" s="102" t="n"/>
    </row>
    <row r="944">
      <c r="EW944" s="209" t="n"/>
      <c r="EX944" s="102" t="n"/>
    </row>
    <row r="945">
      <c r="EW945" s="209" t="n"/>
      <c r="EX945" s="102" t="n"/>
    </row>
    <row r="946">
      <c r="EW946" s="209" t="n"/>
      <c r="EX946" s="102" t="n"/>
    </row>
    <row r="947">
      <c r="EW947" s="209" t="n"/>
      <c r="EX947" s="102" t="n"/>
    </row>
    <row r="948">
      <c r="EW948" s="209" t="n"/>
      <c r="EX948" s="102" t="n"/>
    </row>
    <row r="949">
      <c r="EW949" s="209" t="n"/>
      <c r="EX949" s="102" t="n"/>
    </row>
    <row r="950">
      <c r="EW950" s="209" t="n"/>
      <c r="EX950" s="102" t="n"/>
    </row>
    <row r="951">
      <c r="EW951" s="209" t="n"/>
      <c r="EX951" s="102" t="n"/>
    </row>
    <row r="952">
      <c r="EW952" s="209" t="n"/>
      <c r="EX952" s="102" t="n"/>
    </row>
    <row r="953">
      <c r="EW953" s="209" t="n"/>
      <c r="EX953" s="102" t="n"/>
    </row>
    <row r="954">
      <c r="EW954" s="209" t="n"/>
      <c r="EX954" s="102" t="n"/>
    </row>
    <row r="955">
      <c r="EW955" s="209" t="n"/>
      <c r="EX955" s="102" t="n"/>
    </row>
    <row r="956">
      <c r="EW956" s="209" t="n"/>
      <c r="EX956" s="102" t="n"/>
    </row>
    <row r="957">
      <c r="EW957" s="209" t="n"/>
      <c r="EX957" s="102" t="n"/>
    </row>
    <row r="958">
      <c r="EW958" s="209" t="n"/>
      <c r="EX958" s="102" t="n"/>
    </row>
    <row r="959">
      <c r="EW959" s="209" t="n"/>
      <c r="EX959" s="102" t="n"/>
    </row>
    <row r="960">
      <c r="EW960" s="209" t="n"/>
      <c r="EX960" s="102" t="n"/>
    </row>
    <row r="961">
      <c r="EW961" s="209" t="n"/>
      <c r="EX961" s="102" t="n"/>
    </row>
    <row r="962">
      <c r="EW962" s="209" t="n"/>
      <c r="EX962" s="102" t="n"/>
    </row>
    <row r="963">
      <c r="EW963" s="209" t="n"/>
      <c r="EX963" s="102" t="n"/>
    </row>
    <row r="964">
      <c r="EW964" s="209" t="n"/>
      <c r="EX964" s="102" t="n"/>
    </row>
    <row r="965">
      <c r="EW965" s="209" t="n"/>
      <c r="EX965" s="102" t="n"/>
    </row>
    <row r="966">
      <c r="EW966" s="209" t="n"/>
      <c r="EX966" s="102" t="n"/>
    </row>
    <row r="967">
      <c r="EW967" s="209" t="n"/>
      <c r="EX967" s="102" t="n"/>
    </row>
    <row r="968">
      <c r="EW968" s="209" t="n"/>
      <c r="EX968" s="102" t="n"/>
    </row>
    <row r="969">
      <c r="EW969" s="209" t="n"/>
      <c r="EX969" s="102" t="n"/>
    </row>
    <row r="970">
      <c r="EW970" s="209" t="n"/>
      <c r="EX970" s="102" t="n"/>
    </row>
    <row r="971">
      <c r="EW971" s="209" t="n"/>
      <c r="EX971" s="102" t="n"/>
    </row>
    <row r="972">
      <c r="EW972" s="209" t="n"/>
      <c r="EX972" s="102" t="n"/>
    </row>
    <row r="973">
      <c r="EW973" s="209" t="n"/>
      <c r="EX973" s="102" t="n"/>
    </row>
    <row r="974">
      <c r="EW974" s="209" t="n"/>
      <c r="EX974" s="102" t="n"/>
    </row>
    <row r="975">
      <c r="EW975" s="209" t="n"/>
      <c r="EX975" s="102" t="n"/>
    </row>
    <row r="976">
      <c r="EW976" s="209" t="n"/>
      <c r="EX976" s="102" t="n"/>
    </row>
    <row r="977">
      <c r="EW977" s="209" t="n"/>
      <c r="EX977" s="102" t="n"/>
    </row>
    <row r="978">
      <c r="EW978" s="209" t="n"/>
      <c r="EX978" s="102" t="n"/>
    </row>
    <row r="979">
      <c r="EW979" s="209" t="n"/>
      <c r="EX979" s="102" t="n"/>
    </row>
    <row r="980">
      <c r="EW980" s="209" t="n"/>
      <c r="EX980" s="102" t="n"/>
    </row>
    <row r="981">
      <c r="EW981" s="209" t="n"/>
      <c r="EX981" s="102" t="n"/>
    </row>
    <row r="982">
      <c r="EW982" s="209" t="n"/>
      <c r="EX982" s="102" t="n"/>
    </row>
    <row r="983">
      <c r="EW983" s="209" t="n"/>
      <c r="EX983" s="102" t="n"/>
    </row>
    <row r="984">
      <c r="EW984" s="209" t="n"/>
      <c r="EX984" s="102" t="n"/>
    </row>
    <row r="985">
      <c r="EW985" s="209" t="n"/>
      <c r="EX985" s="102" t="n"/>
    </row>
    <row r="986">
      <c r="EW986" s="209" t="n"/>
      <c r="EX986" s="102" t="n"/>
    </row>
    <row r="987">
      <c r="EW987" s="209" t="n"/>
      <c r="EX987" s="102" t="n"/>
    </row>
    <row r="988">
      <c r="EW988" s="209" t="n"/>
      <c r="EX988" s="102" t="n"/>
    </row>
    <row r="989">
      <c r="EW989" s="209" t="n"/>
      <c r="EX989" s="102" t="n"/>
    </row>
    <row r="990">
      <c r="EW990" s="209" t="n"/>
      <c r="EX990" s="102" t="n"/>
    </row>
    <row r="991">
      <c r="EW991" s="209" t="n"/>
      <c r="EX991" s="102" t="n"/>
    </row>
    <row r="992">
      <c r="EW992" s="209" t="n"/>
      <c r="EX992" s="102" t="n"/>
    </row>
    <row r="993">
      <c r="EW993" s="209" t="n"/>
      <c r="EX993" s="102" t="n"/>
    </row>
    <row r="994">
      <c r="EW994" s="209" t="n"/>
      <c r="EX994" s="102" t="n"/>
    </row>
    <row r="995">
      <c r="EW995" s="209" t="n"/>
      <c r="EX995" s="102" t="n"/>
    </row>
    <row r="996">
      <c r="EW996" s="209" t="n"/>
      <c r="EX996" s="102" t="n"/>
    </row>
    <row r="997">
      <c r="EW997" s="209" t="n"/>
      <c r="EX997" s="102" t="n"/>
    </row>
    <row r="998">
      <c r="EW998" s="209" t="n"/>
      <c r="EX998" s="102" t="n"/>
    </row>
    <row r="999">
      <c r="EW999" s="209" t="n"/>
      <c r="EX999" s="102" t="n"/>
    </row>
    <row r="1000">
      <c r="EW1000" s="209" t="n"/>
      <c r="EX1000" s="102" t="n"/>
    </row>
    <row r="1001">
      <c r="EW1001" s="209" t="n"/>
      <c r="EX1001" s="102" t="n"/>
    </row>
    <row r="1002">
      <c r="EW1002" s="209" t="n"/>
      <c r="EX1002" s="102" t="n"/>
    </row>
    <row r="1003">
      <c r="EW1003" s="209" t="n"/>
      <c r="EX1003" s="102" t="n"/>
    </row>
    <row r="1004">
      <c r="EW1004" s="209" t="n"/>
      <c r="EX1004" s="102" t="n"/>
    </row>
    <row r="1005">
      <c r="EW1005" s="209" t="n"/>
      <c r="EX1005" s="102" t="n"/>
    </row>
    <row r="1006">
      <c r="EW1006" s="209" t="n"/>
      <c r="EX1006" s="102" t="n"/>
    </row>
    <row r="1007">
      <c r="EW1007" s="209" t="n"/>
      <c r="EX1007" s="102" t="n"/>
    </row>
    <row r="1008">
      <c r="EW1008" s="209" t="n"/>
      <c r="EX1008" s="102" t="n"/>
    </row>
    <row r="1009">
      <c r="EW1009" s="209" t="n"/>
      <c r="EX1009" s="102" t="n"/>
    </row>
    <row r="1010">
      <c r="EW1010" s="209" t="n"/>
      <c r="EX1010" s="102" t="n"/>
    </row>
    <row r="1011">
      <c r="EW1011" s="209" t="n"/>
      <c r="EX1011" s="102" t="n"/>
    </row>
    <row r="1012">
      <c r="EW1012" s="209" t="n"/>
      <c r="EX1012" s="102" t="n"/>
    </row>
    <row r="1013">
      <c r="EW1013" s="209" t="n"/>
      <c r="EX1013" s="102" t="n"/>
    </row>
    <row r="1014">
      <c r="EW1014" s="209" t="n"/>
      <c r="EX1014" s="102" t="n"/>
    </row>
    <row r="1015">
      <c r="EW1015" s="209" t="n"/>
      <c r="EX1015" s="102" t="n"/>
    </row>
    <row r="1016">
      <c r="EW1016" s="209" t="n"/>
      <c r="EX1016" s="102" t="n"/>
    </row>
    <row r="1017">
      <c r="EW1017" s="209" t="n"/>
      <c r="EX1017" s="102" t="n"/>
    </row>
    <row r="1018">
      <c r="EW1018" s="209" t="n"/>
      <c r="EX1018" s="102" t="n"/>
    </row>
    <row r="1019">
      <c r="EW1019" s="209" t="n"/>
      <c r="EX1019" s="102" t="n"/>
    </row>
    <row r="1020">
      <c r="EW1020" s="209" t="n"/>
      <c r="EX1020" s="102" t="n"/>
    </row>
    <row r="1021">
      <c r="EW1021" s="209" t="n"/>
      <c r="EX1021" s="102" t="n"/>
    </row>
    <row r="1022">
      <c r="EW1022" s="209" t="n"/>
      <c r="EX1022" s="102" t="n"/>
    </row>
    <row r="1023">
      <c r="EW1023" s="209" t="n"/>
      <c r="EX1023" s="102" t="n"/>
    </row>
    <row r="1024">
      <c r="EW1024" s="209" t="n"/>
      <c r="EX1024" s="102" t="n"/>
    </row>
    <row r="1025">
      <c r="EW1025" s="209" t="n"/>
      <c r="EX1025" s="102" t="n"/>
    </row>
    <row r="1026">
      <c r="EW1026" s="209" t="n"/>
      <c r="EX1026" s="102" t="n"/>
    </row>
    <row r="1027">
      <c r="EW1027" s="209" t="n"/>
      <c r="EX1027" s="102" t="n"/>
    </row>
    <row r="1028">
      <c r="EW1028" s="209" t="n"/>
      <c r="EX1028" s="102" t="n"/>
    </row>
    <row r="1029">
      <c r="EW1029" s="209" t="n"/>
      <c r="EX1029" s="102" t="n"/>
    </row>
    <row r="1030">
      <c r="EW1030" s="209" t="n"/>
      <c r="EX1030" s="102" t="n"/>
    </row>
    <row r="1031">
      <c r="EW1031" s="209" t="n"/>
      <c r="EX1031" s="102" t="n"/>
    </row>
    <row r="1032">
      <c r="EW1032" s="209" t="n"/>
      <c r="EX1032" s="102" t="n"/>
    </row>
    <row r="1033">
      <c r="EW1033" s="209" t="n"/>
      <c r="EX1033" s="102" t="n"/>
    </row>
    <row r="1034">
      <c r="EW1034" s="209" t="n"/>
      <c r="EX1034" s="102" t="n"/>
    </row>
    <row r="1035">
      <c r="EW1035" s="209" t="n"/>
      <c r="EX1035" s="102" t="n"/>
    </row>
    <row r="1036">
      <c r="EW1036" s="209" t="n"/>
      <c r="EX1036" s="102" t="n"/>
    </row>
    <row r="1037">
      <c r="EW1037" s="209" t="n"/>
      <c r="EX1037" s="102" t="n"/>
    </row>
    <row r="1038">
      <c r="EW1038" s="209" t="n"/>
      <c r="EX1038" s="102" t="n"/>
    </row>
    <row r="1039">
      <c r="EW1039" s="209" t="n"/>
      <c r="EX1039" s="102" t="n"/>
    </row>
    <row r="1040">
      <c r="EW1040" s="209" t="n"/>
      <c r="EX1040" s="102" t="n"/>
    </row>
    <row r="1041">
      <c r="EW1041" s="209" t="n"/>
      <c r="EX1041" s="102" t="n"/>
    </row>
    <row r="1042">
      <c r="EW1042" s="209" t="n"/>
      <c r="EX1042" s="102" t="n"/>
    </row>
    <row r="1043">
      <c r="EW1043" s="209" t="n"/>
      <c r="EX1043" s="102" t="n"/>
    </row>
    <row r="1044">
      <c r="EW1044" s="209" t="n"/>
      <c r="EX1044" s="102" t="n"/>
    </row>
    <row r="1045">
      <c r="EW1045" s="209" t="n"/>
      <c r="EX1045" s="102" t="n"/>
    </row>
    <row r="1046">
      <c r="EW1046" s="209" t="n"/>
      <c r="EX1046" s="102" t="n"/>
    </row>
    <row r="1047">
      <c r="EW1047" s="209" t="n"/>
      <c r="EX1047" s="102" t="n"/>
    </row>
    <row r="1048">
      <c r="EW1048" s="209" t="n"/>
      <c r="EX1048" s="102" t="n"/>
    </row>
    <row r="1049">
      <c r="EW1049" s="209" t="n"/>
      <c r="EX1049" s="102" t="n"/>
    </row>
    <row r="1050">
      <c r="EW1050" s="209" t="n"/>
      <c r="EX1050" s="102" t="n"/>
    </row>
    <row r="1051">
      <c r="EW1051" s="209" t="n"/>
      <c r="EX1051" s="102" t="n"/>
    </row>
    <row r="1052">
      <c r="EW1052" s="209" t="n"/>
      <c r="EX1052" s="102" t="n"/>
    </row>
    <row r="1053">
      <c r="EW1053" s="209" t="n"/>
      <c r="EX1053" s="102" t="n"/>
    </row>
    <row r="1054">
      <c r="EW1054" s="209" t="n"/>
      <c r="EX1054" s="102" t="n"/>
    </row>
    <row r="1055">
      <c r="EW1055" s="209" t="n"/>
      <c r="EX1055" s="102" t="n"/>
    </row>
    <row r="1056">
      <c r="EW1056" s="209" t="n"/>
      <c r="EX1056" s="102" t="n"/>
    </row>
    <row r="1057">
      <c r="EW1057" s="209" t="n"/>
      <c r="EX1057" s="102" t="n"/>
    </row>
    <row r="1058">
      <c r="EW1058" s="209" t="n"/>
      <c r="EX1058" s="102" t="n"/>
    </row>
    <row r="1059">
      <c r="EW1059" s="209" t="n"/>
      <c r="EX1059" s="102" t="n"/>
    </row>
    <row r="1060">
      <c r="EW1060" s="209" t="n"/>
      <c r="EX1060" s="102" t="n"/>
    </row>
    <row r="1061">
      <c r="EW1061" s="209" t="n"/>
      <c r="EX1061" s="102" t="n"/>
    </row>
    <row r="1062">
      <c r="EW1062" s="209" t="n"/>
      <c r="EX1062" s="102" t="n"/>
    </row>
    <row r="1063">
      <c r="EW1063" s="209" t="n"/>
      <c r="EX1063" s="102" t="n"/>
    </row>
    <row r="1064">
      <c r="EW1064" s="209" t="n"/>
      <c r="EX1064" s="102" t="n"/>
    </row>
    <row r="1065">
      <c r="EW1065" s="209" t="n"/>
      <c r="EX1065" s="102" t="n"/>
    </row>
    <row r="1066">
      <c r="EW1066" s="209" t="n"/>
      <c r="EX1066" s="102" t="n"/>
    </row>
    <row r="1067">
      <c r="EW1067" s="209" t="n"/>
      <c r="EX1067" s="102" t="n"/>
    </row>
    <row r="1068">
      <c r="EW1068" s="209" t="n"/>
      <c r="EX1068" s="102" t="n"/>
    </row>
    <row r="1069">
      <c r="EW1069" s="209" t="n"/>
      <c r="EX1069" s="102" t="n"/>
    </row>
    <row r="1070">
      <c r="EW1070" s="209" t="n"/>
      <c r="EX1070" s="102" t="n"/>
    </row>
    <row r="1071">
      <c r="EW1071" s="209" t="n"/>
      <c r="EX1071" s="102" t="n"/>
    </row>
    <row r="1072">
      <c r="EW1072" s="209" t="n"/>
      <c r="EX1072" s="102" t="n"/>
    </row>
    <row r="1073">
      <c r="EW1073" s="209" t="n"/>
      <c r="EX1073" s="102" t="n"/>
    </row>
    <row r="1074">
      <c r="EW1074" s="209" t="n"/>
      <c r="EX1074" s="102" t="n"/>
    </row>
    <row r="1075">
      <c r="EW1075" s="209" t="n"/>
      <c r="EX1075" s="102" t="n"/>
    </row>
    <row r="1076">
      <c r="EW1076" s="209" t="n"/>
      <c r="EX1076" s="102" t="n"/>
    </row>
    <row r="1077">
      <c r="EW1077" s="209" t="n"/>
      <c r="EX1077" s="102" t="n"/>
    </row>
    <row r="1078">
      <c r="EW1078" s="209" t="n"/>
      <c r="EX1078" s="102" t="n"/>
    </row>
    <row r="1079">
      <c r="EW1079" s="209" t="n"/>
      <c r="EX1079" s="102" t="n"/>
    </row>
    <row r="1080">
      <c r="EW1080" s="209" t="n"/>
      <c r="EX1080" s="102" t="n"/>
    </row>
    <row r="1081">
      <c r="EW1081" s="209" t="n"/>
      <c r="EX1081" s="102" t="n"/>
    </row>
    <row r="1082">
      <c r="EW1082" s="209" t="n"/>
      <c r="EX1082" s="102" t="n"/>
    </row>
    <row r="1083">
      <c r="EW1083" s="209" t="n"/>
      <c r="EX1083" s="102" t="n"/>
    </row>
    <row r="1084">
      <c r="EW1084" s="209" t="n"/>
      <c r="EX1084" s="102" t="n"/>
    </row>
    <row r="1085">
      <c r="EW1085" s="209" t="n"/>
      <c r="EX1085" s="102" t="n"/>
    </row>
    <row r="1086">
      <c r="EW1086" s="209" t="n"/>
      <c r="EX1086" s="102" t="n"/>
    </row>
    <row r="1087">
      <c r="EW1087" s="209" t="n"/>
      <c r="EX1087" s="102" t="n"/>
    </row>
    <row r="1088">
      <c r="EW1088" s="209" t="n"/>
      <c r="EX1088" s="102" t="n"/>
    </row>
    <row r="1089">
      <c r="EW1089" s="209" t="n"/>
      <c r="EX1089" s="102" t="n"/>
    </row>
    <row r="1090">
      <c r="EW1090" s="209" t="n"/>
      <c r="EX1090" s="102" t="n"/>
    </row>
    <row r="1091">
      <c r="EW1091" s="209" t="n"/>
      <c r="EX1091" s="102" t="n"/>
    </row>
    <row r="1092">
      <c r="EW1092" s="209" t="n"/>
      <c r="EX1092" s="102" t="n"/>
    </row>
    <row r="1093">
      <c r="EW1093" s="209" t="n"/>
      <c r="EX1093" s="102" t="n"/>
    </row>
    <row r="1094">
      <c r="EW1094" s="209" t="n"/>
      <c r="EX1094" s="102" t="n"/>
    </row>
    <row r="1095">
      <c r="EW1095" s="209" t="n"/>
      <c r="EX1095" s="102" t="n"/>
    </row>
    <row r="1096">
      <c r="EW1096" s="209" t="n"/>
      <c r="EX1096" s="102" t="n"/>
    </row>
    <row r="1097">
      <c r="EW1097" s="209" t="n"/>
      <c r="EX1097" s="102" t="n"/>
    </row>
    <row r="1098">
      <c r="EW1098" s="209" t="n"/>
      <c r="EX1098" s="102" t="n"/>
    </row>
    <row r="1099">
      <c r="EW1099" s="209" t="n"/>
      <c r="EX1099" s="102" t="n"/>
    </row>
    <row r="1100">
      <c r="EW1100" s="209" t="n"/>
      <c r="EX1100" s="102" t="n"/>
    </row>
    <row r="1101">
      <c r="EW1101" s="209" t="n"/>
      <c r="EX1101" s="102" t="n"/>
    </row>
    <row r="1102">
      <c r="EW1102" s="209" t="n"/>
      <c r="EX1102" s="102" t="n"/>
    </row>
    <row r="1103">
      <c r="EW1103" s="209" t="n"/>
      <c r="EX1103" s="102" t="n"/>
    </row>
    <row r="1104">
      <c r="EW1104" s="209" t="n"/>
      <c r="EX1104" s="102" t="n"/>
    </row>
    <row r="1105">
      <c r="EW1105" s="209" t="n"/>
      <c r="EX1105" s="102" t="n"/>
    </row>
    <row r="1106">
      <c r="EW1106" s="209" t="n"/>
      <c r="EX1106" s="102" t="n"/>
    </row>
    <row r="1107">
      <c r="EW1107" s="209" t="n"/>
      <c r="EX1107" s="102" t="n"/>
    </row>
    <row r="1108">
      <c r="EW1108" s="209" t="n"/>
      <c r="EX1108" s="102" t="n"/>
    </row>
    <row r="1109">
      <c r="EW1109" s="209" t="n"/>
      <c r="EX1109" s="102" t="n"/>
    </row>
    <row r="1110">
      <c r="EW1110" s="209" t="n"/>
      <c r="EX1110" s="102" t="n"/>
    </row>
    <row r="1111">
      <c r="EW1111" s="209" t="n"/>
      <c r="EX1111" s="102" t="n"/>
    </row>
    <row r="1112">
      <c r="EW1112" s="209" t="n"/>
      <c r="EX1112" s="102" t="n"/>
    </row>
    <row r="1113">
      <c r="EW1113" s="209" t="n"/>
      <c r="EX1113" s="102" t="n"/>
    </row>
    <row r="1114">
      <c r="EW1114" s="209" t="n"/>
      <c r="EX1114" s="102" t="n"/>
    </row>
    <row r="1115">
      <c r="EW1115" s="209" t="n"/>
      <c r="EX1115" s="102" t="n"/>
    </row>
    <row r="1116">
      <c r="EW1116" s="209" t="n"/>
      <c r="EX1116" s="102" t="n"/>
    </row>
    <row r="1117">
      <c r="EW1117" s="209" t="n"/>
      <c r="EX1117" s="102" t="n"/>
    </row>
    <row r="1118">
      <c r="EW1118" s="209" t="n"/>
      <c r="EX1118" s="102" t="n"/>
    </row>
    <row r="1119">
      <c r="EW1119" s="209" t="n"/>
      <c r="EX1119" s="102" t="n"/>
    </row>
    <row r="1120">
      <c r="EW1120" s="209" t="n"/>
      <c r="EX1120" s="102" t="n"/>
    </row>
    <row r="1121">
      <c r="EW1121" s="209" t="n"/>
      <c r="EX1121" s="102" t="n"/>
    </row>
    <row r="1122">
      <c r="EW1122" s="209" t="n"/>
      <c r="EX1122" s="102" t="n"/>
    </row>
    <row r="1123">
      <c r="EW1123" s="209" t="n"/>
      <c r="EX1123" s="102" t="n"/>
    </row>
    <row r="1124">
      <c r="EW1124" s="209" t="n"/>
      <c r="EX1124" s="102" t="n"/>
    </row>
    <row r="1125">
      <c r="EW1125" s="209" t="n"/>
      <c r="EX1125" s="102" t="n"/>
    </row>
    <row r="1126">
      <c r="EW1126" s="209" t="n"/>
      <c r="EX1126" s="102" t="n"/>
    </row>
    <row r="1127">
      <c r="EW1127" s="209" t="n"/>
      <c r="EX1127" s="102" t="n"/>
    </row>
    <row r="1128">
      <c r="EW1128" s="209" t="n"/>
      <c r="EX1128" s="102" t="n"/>
    </row>
    <row r="1129">
      <c r="EW1129" s="209" t="n"/>
      <c r="EX1129" s="102" t="n"/>
    </row>
    <row r="1130">
      <c r="EW1130" s="209" t="n"/>
      <c r="EX1130" s="102" t="n"/>
    </row>
    <row r="1131">
      <c r="EW1131" s="209" t="n"/>
      <c r="EX1131" s="102" t="n"/>
    </row>
    <row r="1132">
      <c r="EW1132" s="209" t="n"/>
      <c r="EX1132" s="102" t="n"/>
    </row>
    <row r="1133">
      <c r="EW1133" s="209" t="n"/>
      <c r="EX1133" s="102" t="n"/>
    </row>
    <row r="1134">
      <c r="EW1134" s="209" t="n"/>
      <c r="EX1134" s="102" t="n"/>
    </row>
    <row r="1135">
      <c r="EW1135" s="209" t="n"/>
      <c r="EX1135" s="102" t="n"/>
    </row>
    <row r="1136">
      <c r="EW1136" s="209" t="n"/>
      <c r="EX1136" s="102" t="n"/>
    </row>
    <row r="1137">
      <c r="EW1137" s="209" t="n"/>
      <c r="EX1137" s="102" t="n"/>
    </row>
    <row r="1138">
      <c r="EW1138" s="209" t="n"/>
      <c r="EX1138" s="102" t="n"/>
    </row>
    <row r="1139">
      <c r="EW1139" s="209" t="n"/>
      <c r="EX1139" s="102" t="n"/>
    </row>
    <row r="1140">
      <c r="EW1140" s="209" t="n"/>
      <c r="EX1140" s="102" t="n"/>
    </row>
    <row r="1141">
      <c r="EW1141" s="209" t="n"/>
      <c r="EX1141" s="102" t="n"/>
    </row>
    <row r="1142">
      <c r="EW1142" s="209" t="n"/>
      <c r="EX1142" s="102" t="n"/>
    </row>
    <row r="1143">
      <c r="EW1143" s="209" t="n"/>
      <c r="EX1143" s="102" t="n"/>
    </row>
    <row r="1144">
      <c r="EW1144" s="209" t="n"/>
      <c r="EX1144" s="102" t="n"/>
    </row>
    <row r="1145">
      <c r="EW1145" s="209" t="n"/>
      <c r="EX1145" s="102" t="n"/>
    </row>
    <row r="1146">
      <c r="EW1146" s="209" t="n"/>
      <c r="EX1146" s="102" t="n"/>
    </row>
    <row r="1147">
      <c r="EW1147" s="209" t="n"/>
      <c r="EX1147" s="102" t="n"/>
    </row>
    <row r="1148">
      <c r="EW1148" s="209" t="n"/>
      <c r="EX1148" s="102" t="n"/>
    </row>
    <row r="1149">
      <c r="EW1149" s="209" t="n"/>
      <c r="EX1149" s="102" t="n"/>
    </row>
    <row r="1150">
      <c r="EW1150" s="209" t="n"/>
      <c r="EX1150" s="102" t="n"/>
    </row>
    <row r="1151">
      <c r="EW1151" s="209" t="n"/>
      <c r="EX1151" s="102" t="n"/>
    </row>
    <row r="1152">
      <c r="EW1152" s="209" t="n"/>
      <c r="EX1152" s="102" t="n"/>
    </row>
    <row r="1153">
      <c r="EW1153" s="209" t="n"/>
      <c r="EX1153" s="102" t="n"/>
    </row>
    <row r="1154">
      <c r="EW1154" s="209" t="n"/>
      <c r="EX1154" s="102" t="n"/>
    </row>
    <row r="1155">
      <c r="EW1155" s="209" t="n"/>
      <c r="EX1155" s="102" t="n"/>
    </row>
    <row r="1156">
      <c r="EW1156" s="209" t="n"/>
      <c r="EX1156" s="102" t="n"/>
    </row>
    <row r="1157">
      <c r="EW1157" s="209" t="n"/>
      <c r="EX1157" s="102" t="n"/>
    </row>
    <row r="1158">
      <c r="EW1158" s="209" t="n"/>
      <c r="EX1158" s="102" t="n"/>
    </row>
    <row r="1159">
      <c r="EW1159" s="209" t="n"/>
      <c r="EX1159" s="102" t="n"/>
    </row>
    <row r="1160">
      <c r="EW1160" s="209" t="n"/>
      <c r="EX1160" s="102" t="n"/>
    </row>
    <row r="1161">
      <c r="EW1161" s="209" t="n"/>
      <c r="EX1161" s="102" t="n"/>
    </row>
    <row r="1162">
      <c r="EW1162" s="209" t="n"/>
      <c r="EX1162" s="102" t="n"/>
    </row>
    <row r="1163">
      <c r="EW1163" s="209" t="n"/>
      <c r="EX1163" s="102" t="n"/>
    </row>
    <row r="1164">
      <c r="EW1164" s="209" t="n"/>
      <c r="EX1164" s="102" t="n"/>
    </row>
    <row r="1165">
      <c r="EW1165" s="209" t="n"/>
      <c r="EX1165" s="102" t="n"/>
    </row>
    <row r="1166">
      <c r="EW1166" s="209" t="n"/>
      <c r="EX1166" s="102" t="n"/>
    </row>
    <row r="1167">
      <c r="EW1167" s="209" t="n"/>
      <c r="EX1167" s="102" t="n"/>
    </row>
    <row r="1168">
      <c r="EW1168" s="209" t="n"/>
      <c r="EX1168" s="102" t="n"/>
    </row>
    <row r="1169">
      <c r="EW1169" s="209" t="n"/>
      <c r="EX1169" s="102" t="n"/>
    </row>
    <row r="1170">
      <c r="EW1170" s="209" t="n"/>
      <c r="EX1170" s="102" t="n"/>
    </row>
    <row r="1171">
      <c r="EW1171" s="209" t="n"/>
      <c r="EX1171" s="102" t="n"/>
    </row>
    <row r="1172">
      <c r="EW1172" s="209" t="n"/>
      <c r="EX1172" s="102" t="n"/>
    </row>
    <row r="1173">
      <c r="EW1173" s="209" t="n"/>
      <c r="EX1173" s="102" t="n"/>
    </row>
    <row r="1174">
      <c r="EW1174" s="209" t="n"/>
      <c r="EX1174" s="102" t="n"/>
    </row>
    <row r="1175">
      <c r="EW1175" s="209" t="n"/>
      <c r="EX1175" s="102" t="n"/>
    </row>
    <row r="1176">
      <c r="EW1176" s="209" t="n"/>
      <c r="EX1176" s="102" t="n"/>
    </row>
    <row r="1177">
      <c r="EW1177" s="209" t="n"/>
      <c r="EX1177" s="102" t="n"/>
    </row>
    <row r="1178">
      <c r="EW1178" s="209" t="n"/>
      <c r="EX1178" s="102" t="n"/>
    </row>
    <row r="1179">
      <c r="EW1179" s="209" t="n"/>
      <c r="EX1179" s="102" t="n"/>
    </row>
    <row r="1180">
      <c r="EW1180" s="209" t="n"/>
      <c r="EX1180" s="102" t="n"/>
    </row>
    <row r="1181">
      <c r="EW1181" s="209" t="n"/>
      <c r="EX1181" s="102" t="n"/>
    </row>
    <row r="1182">
      <c r="EW1182" s="209" t="n"/>
      <c r="EX1182" s="102" t="n"/>
    </row>
    <row r="1183">
      <c r="EW1183" s="209" t="n"/>
      <c r="EX1183" s="102" t="n"/>
    </row>
    <row r="1184">
      <c r="EW1184" s="209" t="n"/>
      <c r="EX1184" s="102" t="n"/>
    </row>
    <row r="1185">
      <c r="EW1185" s="209" t="n"/>
      <c r="EX1185" s="102" t="n"/>
    </row>
    <row r="1186">
      <c r="EW1186" s="209" t="n"/>
      <c r="EX1186" s="102" t="n"/>
    </row>
    <row r="1187">
      <c r="EW1187" s="209" t="n"/>
      <c r="EX1187" s="102" t="n"/>
    </row>
    <row r="1188">
      <c r="EW1188" s="209" t="n"/>
      <c r="EX1188" s="102" t="n"/>
    </row>
    <row r="1189">
      <c r="EW1189" s="209" t="n"/>
      <c r="EX1189" s="102" t="n"/>
    </row>
    <row r="1190">
      <c r="EW1190" s="209" t="n"/>
      <c r="EX1190" s="102" t="n"/>
    </row>
    <row r="1191">
      <c r="EW1191" s="209" t="n"/>
      <c r="EX1191" s="102" t="n"/>
    </row>
    <row r="1192">
      <c r="EW1192" s="209" t="n"/>
      <c r="EX1192" s="102" t="n"/>
    </row>
    <row r="1193">
      <c r="EW1193" s="209" t="n"/>
      <c r="EX1193" s="102" t="n"/>
    </row>
    <row r="1194">
      <c r="EW1194" s="209" t="n"/>
      <c r="EX1194" s="102" t="n"/>
    </row>
    <row r="1195">
      <c r="EW1195" s="209" t="n"/>
      <c r="EX1195" s="102" t="n"/>
    </row>
    <row r="1196">
      <c r="EW1196" s="209" t="n"/>
      <c r="EX1196" s="102" t="n"/>
    </row>
    <row r="1197">
      <c r="EW1197" s="209" t="n"/>
      <c r="EX1197" s="102" t="n"/>
    </row>
    <row r="1198">
      <c r="EW1198" s="209" t="n"/>
      <c r="EX1198" s="102" t="n"/>
    </row>
    <row r="1199">
      <c r="EW1199" s="209" t="n"/>
      <c r="EX1199" s="102" t="n"/>
    </row>
    <row r="1200">
      <c r="EW1200" s="209" t="n"/>
      <c r="EX1200" s="102" t="n"/>
    </row>
    <row r="1201">
      <c r="EW1201" s="209" t="n"/>
      <c r="EX1201" s="102" t="n"/>
    </row>
    <row r="1202">
      <c r="EW1202" s="209" t="n"/>
      <c r="EX1202" s="102" t="n"/>
    </row>
    <row r="1203">
      <c r="EW1203" s="209" t="n"/>
      <c r="EX1203" s="102" t="n"/>
    </row>
    <row r="1204">
      <c r="EW1204" s="209" t="n"/>
      <c r="EX1204" s="102" t="n"/>
    </row>
    <row r="1205">
      <c r="EW1205" s="209" t="n"/>
      <c r="EX1205" s="102" t="n"/>
    </row>
    <row r="1206">
      <c r="EW1206" s="209" t="n"/>
      <c r="EX1206" s="102" t="n"/>
    </row>
    <row r="1207">
      <c r="EW1207" s="209" t="n"/>
      <c r="EX1207" s="102" t="n"/>
    </row>
    <row r="1208">
      <c r="EW1208" s="209" t="n"/>
      <c r="EX1208" s="102" t="n"/>
    </row>
    <row r="1209">
      <c r="EW1209" s="209" t="n"/>
      <c r="EX1209" s="102" t="n"/>
    </row>
    <row r="1210">
      <c r="EW1210" s="209" t="n"/>
      <c r="EX1210" s="102" t="n"/>
    </row>
    <row r="1211">
      <c r="EW1211" s="209" t="n"/>
      <c r="EX1211" s="102" t="n"/>
    </row>
    <row r="1212">
      <c r="EW1212" s="209" t="n"/>
      <c r="EX1212" s="102" t="n"/>
    </row>
    <row r="1213">
      <c r="EW1213" s="209" t="n"/>
      <c r="EX1213" s="102" t="n"/>
    </row>
    <row r="1214">
      <c r="EW1214" s="209" t="n"/>
      <c r="EX1214" s="102" t="n"/>
    </row>
    <row r="1215">
      <c r="EW1215" s="209" t="n"/>
      <c r="EX1215" s="102" t="n"/>
    </row>
    <row r="1216">
      <c r="EW1216" s="209" t="n"/>
      <c r="EX1216" s="102" t="n"/>
    </row>
    <row r="1217">
      <c r="EW1217" s="209" t="n"/>
      <c r="EX1217" s="102" t="n"/>
    </row>
    <row r="1218">
      <c r="EW1218" s="209" t="n"/>
      <c r="EX1218" s="102" t="n"/>
    </row>
    <row r="1219">
      <c r="EW1219" s="209" t="n"/>
      <c r="EX1219" s="102" t="n"/>
    </row>
    <row r="1220">
      <c r="EW1220" s="209" t="n"/>
      <c r="EX1220" s="102" t="n"/>
    </row>
    <row r="1221">
      <c r="EW1221" s="209" t="n"/>
      <c r="EX1221" s="102" t="n"/>
    </row>
    <row r="1222">
      <c r="EW1222" s="209" t="n"/>
      <c r="EX1222" s="102" t="n"/>
    </row>
    <row r="1223">
      <c r="EW1223" s="209" t="n"/>
      <c r="EX1223" s="102" t="n"/>
    </row>
    <row r="1224">
      <c r="EW1224" s="209" t="n"/>
      <c r="EX1224" s="102" t="n"/>
    </row>
    <row r="1225">
      <c r="EW1225" s="209" t="n"/>
      <c r="EX1225" s="102" t="n"/>
    </row>
    <row r="1226">
      <c r="EW1226" s="209" t="n"/>
      <c r="EX1226" s="102" t="n"/>
    </row>
    <row r="1227">
      <c r="EW1227" s="209" t="n"/>
      <c r="EX1227" s="102" t="n"/>
    </row>
    <row r="1228">
      <c r="EW1228" s="209" t="n"/>
      <c r="EX1228" s="102" t="n"/>
    </row>
    <row r="1229">
      <c r="EW1229" s="209" t="n"/>
      <c r="EX1229" s="102" t="n"/>
    </row>
    <row r="1230">
      <c r="EW1230" s="209" t="n"/>
      <c r="EX1230" s="102" t="n"/>
    </row>
    <row r="1231">
      <c r="EW1231" s="209" t="n"/>
      <c r="EX1231" s="102" t="n"/>
    </row>
    <row r="1232">
      <c r="EW1232" s="209" t="n"/>
      <c r="EX1232" s="102" t="n"/>
    </row>
    <row r="1233">
      <c r="EW1233" s="209" t="n"/>
      <c r="EX1233" s="102" t="n"/>
    </row>
    <row r="1234">
      <c r="EW1234" s="209" t="n"/>
      <c r="EX1234" s="102" t="n"/>
    </row>
    <row r="1235">
      <c r="EW1235" s="209" t="n"/>
      <c r="EX1235" s="102" t="n"/>
    </row>
    <row r="1236">
      <c r="EW1236" s="209" t="n"/>
      <c r="EX1236" s="102" t="n"/>
    </row>
    <row r="1237">
      <c r="EW1237" s="209" t="n"/>
      <c r="EX1237" s="102" t="n"/>
    </row>
    <row r="1238">
      <c r="EW1238" s="209" t="n"/>
      <c r="EX1238" s="102" t="n"/>
    </row>
    <row r="1239">
      <c r="EW1239" s="209" t="n"/>
      <c r="EX1239" s="102" t="n"/>
    </row>
    <row r="1240">
      <c r="EW1240" s="209" t="n"/>
      <c r="EX1240" s="102" t="n"/>
    </row>
    <row r="1241">
      <c r="EW1241" s="209" t="n"/>
      <c r="EX1241" s="102" t="n"/>
    </row>
    <row r="1242">
      <c r="EW1242" s="209" t="n"/>
      <c r="EX1242" s="102" t="n"/>
    </row>
    <row r="1243">
      <c r="EW1243" s="209" t="n"/>
      <c r="EX1243" s="102" t="n"/>
    </row>
    <row r="1244">
      <c r="EW1244" s="209" t="n"/>
      <c r="EX1244" s="102" t="n"/>
    </row>
    <row r="1245">
      <c r="EW1245" s="209" t="n"/>
      <c r="EX1245" s="102" t="n"/>
    </row>
    <row r="1246">
      <c r="EW1246" s="209" t="n"/>
      <c r="EX1246" s="102" t="n"/>
    </row>
    <row r="1247">
      <c r="EW1247" s="209" t="n"/>
      <c r="EX1247" s="102" t="n"/>
    </row>
    <row r="1248">
      <c r="EW1248" s="209" t="n"/>
      <c r="EX1248" s="102" t="n"/>
    </row>
    <row r="1249">
      <c r="EW1249" s="209" t="n"/>
      <c r="EX1249" s="102" t="n"/>
    </row>
    <row r="1250">
      <c r="EW1250" s="209" t="n"/>
      <c r="EX1250" s="102" t="n"/>
    </row>
    <row r="1251">
      <c r="EW1251" s="209" t="n"/>
      <c r="EX1251" s="102" t="n"/>
    </row>
    <row r="1252">
      <c r="EW1252" s="209" t="n"/>
      <c r="EX1252" s="102" t="n"/>
    </row>
    <row r="1253">
      <c r="EW1253" s="209" t="n"/>
      <c r="EX1253" s="102" t="n"/>
    </row>
    <row r="1254">
      <c r="EW1254" s="209" t="n"/>
      <c r="EX1254" s="102" t="n"/>
    </row>
    <row r="1255">
      <c r="EW1255" s="209" t="n"/>
      <c r="EX1255" s="102" t="n"/>
    </row>
    <row r="1256">
      <c r="EW1256" s="209" t="n"/>
      <c r="EX1256" s="102" t="n"/>
    </row>
    <row r="1257">
      <c r="EW1257" s="209" t="n"/>
      <c r="EX1257" s="102" t="n"/>
    </row>
    <row r="1258">
      <c r="EW1258" s="209" t="n"/>
      <c r="EX1258" s="102" t="n"/>
    </row>
    <row r="1259">
      <c r="EW1259" s="209" t="n"/>
      <c r="EX1259" s="102" t="n"/>
    </row>
    <row r="1260">
      <c r="EW1260" s="209" t="n"/>
      <c r="EX1260" s="102" t="n"/>
    </row>
    <row r="1261">
      <c r="EW1261" s="209" t="n"/>
      <c r="EX1261" s="102" t="n"/>
    </row>
    <row r="1262">
      <c r="EW1262" s="209" t="n"/>
      <c r="EX1262" s="102" t="n"/>
    </row>
    <row r="1263">
      <c r="EW1263" s="209" t="n"/>
      <c r="EX1263" s="102" t="n"/>
    </row>
    <row r="1264">
      <c r="EW1264" s="209" t="n"/>
      <c r="EX1264" s="102" t="n"/>
    </row>
    <row r="1265">
      <c r="EW1265" s="209" t="n"/>
      <c r="EX1265" s="102" t="n"/>
    </row>
    <row r="1266">
      <c r="EW1266" s="209" t="n"/>
      <c r="EX1266" s="102" t="n"/>
    </row>
    <row r="1267">
      <c r="EW1267" s="209" t="n"/>
      <c r="EX1267" s="102" t="n"/>
    </row>
    <row r="1268">
      <c r="EW1268" s="209" t="n"/>
      <c r="EX1268" s="102" t="n"/>
    </row>
    <row r="1269">
      <c r="EW1269" s="209" t="n"/>
      <c r="EX1269" s="102" t="n"/>
    </row>
    <row r="1270">
      <c r="EW1270" s="209" t="n"/>
      <c r="EX1270" s="102" t="n"/>
    </row>
    <row r="1271">
      <c r="EW1271" s="209" t="n"/>
      <c r="EX1271" s="102" t="n"/>
    </row>
    <row r="1272">
      <c r="EW1272" s="209" t="n"/>
      <c r="EX1272" s="102" t="n"/>
    </row>
    <row r="1273">
      <c r="EW1273" s="209" t="n"/>
      <c r="EX1273" s="102" t="n"/>
    </row>
    <row r="1274">
      <c r="EW1274" s="209" t="n"/>
      <c r="EX1274" s="102" t="n"/>
    </row>
    <row r="1275">
      <c r="EW1275" s="209" t="n"/>
      <c r="EX1275" s="102" t="n"/>
    </row>
    <row r="1276">
      <c r="EW1276" s="209" t="n"/>
      <c r="EX1276" s="102" t="n"/>
    </row>
    <row r="1277">
      <c r="EW1277" s="209" t="n"/>
      <c r="EX1277" s="102" t="n"/>
    </row>
    <row r="1278">
      <c r="EW1278" s="209" t="n"/>
      <c r="EX1278" s="102" t="n"/>
    </row>
    <row r="1279">
      <c r="EW1279" s="209" t="n"/>
      <c r="EX1279" s="102" t="n"/>
    </row>
    <row r="1280">
      <c r="EW1280" s="209" t="n"/>
      <c r="EX1280" s="102" t="n"/>
    </row>
    <row r="1281">
      <c r="EW1281" s="209" t="n"/>
      <c r="EX1281" s="102" t="n"/>
    </row>
    <row r="1282">
      <c r="EW1282" s="209" t="n"/>
      <c r="EX1282" s="102" t="n"/>
    </row>
    <row r="1283">
      <c r="EW1283" s="209" t="n"/>
      <c r="EX1283" s="102" t="n"/>
    </row>
    <row r="1284">
      <c r="EW1284" s="209" t="n"/>
      <c r="EX1284" s="102" t="n"/>
    </row>
    <row r="1285">
      <c r="EW1285" s="209" t="n"/>
      <c r="EX1285" s="102" t="n"/>
    </row>
    <row r="1286">
      <c r="EW1286" s="209" t="n"/>
      <c r="EX1286" s="102" t="n"/>
    </row>
    <row r="1287">
      <c r="EW1287" s="209" t="n"/>
      <c r="EX1287" s="102" t="n"/>
    </row>
    <row r="1288">
      <c r="EW1288" s="209" t="n"/>
      <c r="EX1288" s="102" t="n"/>
    </row>
    <row r="1289">
      <c r="EW1289" s="209" t="n"/>
      <c r="EX1289" s="102" t="n"/>
    </row>
    <row r="1290">
      <c r="EW1290" s="209" t="n"/>
      <c r="EX1290" s="102" t="n"/>
    </row>
    <row r="1291">
      <c r="EW1291" s="209" t="n"/>
      <c r="EX1291" s="102" t="n"/>
    </row>
    <row r="1292">
      <c r="EW1292" s="209" t="n"/>
      <c r="EX1292" s="102" t="n"/>
    </row>
    <row r="1293">
      <c r="EW1293" s="209" t="n"/>
      <c r="EX1293" s="102" t="n"/>
    </row>
    <row r="1294">
      <c r="EW1294" s="209" t="n"/>
      <c r="EX1294" s="102" t="n"/>
    </row>
  </sheetData>
  <autoFilter ref="A3:EY52"/>
  <mergeCells count="26">
    <mergeCell ref="BE1:BM1"/>
    <mergeCell ref="BO2:BW2"/>
    <mergeCell ref="BY2:CG2"/>
    <mergeCell ref="CI2:CQ2"/>
    <mergeCell ref="CS2:DA2"/>
    <mergeCell ref="Q1:Y1"/>
    <mergeCell ref="AK1:AS1"/>
    <mergeCell ref="BE2:BM2"/>
    <mergeCell ref="CS1:DA1"/>
    <mergeCell ref="EJ2:ER2"/>
    <mergeCell ref="DS2:EA2"/>
    <mergeCell ref="ET2:EU2"/>
    <mergeCell ref="EC2:ED2"/>
    <mergeCell ref="Q2:Y2"/>
    <mergeCell ref="AA2:AI2"/>
    <mergeCell ref="G1:O1"/>
    <mergeCell ref="AK2:AS2"/>
    <mergeCell ref="AU2:BC2"/>
    <mergeCell ref="BO1:BW1"/>
    <mergeCell ref="BY1:CG1"/>
    <mergeCell ref="DM2:DN2"/>
    <mergeCell ref="G2:O2"/>
    <mergeCell ref="AA1:AI1"/>
    <mergeCell ref="AU1:BC1"/>
    <mergeCell ref="DC2:DK2"/>
    <mergeCell ref="CI1:CQ1"/>
  </mergeCells>
  <printOptions horizontalCentered="1"/>
  <pageMargins left="0.7480314960629921" right="0.7480314960629921" top="0.984251968503937" bottom="0.984251968503937" header="0.5118110236220472" footer="0.5118110236220472"/>
  <pageSetup orientation="portrait" paperSize="9" scale="46"/>
</worksheet>
</file>

<file path=xl/worksheets/sheet3.xml><?xml version="1.0" encoding="utf-8"?>
<worksheet xmlns="http://schemas.openxmlformats.org/spreadsheetml/2006/main">
  <sheetPr>
    <outlinePr summaryBelow="1" summaryRight="1"/>
    <pageSetUpPr/>
  </sheetPr>
  <dimension ref="A1:Q50"/>
  <sheetViews>
    <sheetView topLeftCell="A1" zoomScale="89" zoomScaleNormal="62" workbookViewId="0">
      <selection activeCell="A1" sqref="A1"/>
    </sheetView>
  </sheetViews>
  <sheetFormatPr baseColWidth="8" defaultRowHeight="15"/>
  <cols>
    <col width="16.36328125" bestFit="1" customWidth="1" min="1" max="1"/>
    <col width="11.36328125" bestFit="1" customWidth="1" min="2" max="2"/>
    <col width="12.36328125" bestFit="1" customWidth="1" min="3" max="3"/>
    <col width="11.26953125" customWidth="1" min="4" max="4"/>
    <col width="14.90625" customWidth="1" min="5" max="5"/>
    <col width="12.1796875" bestFit="1" customWidth="1" min="6" max="6"/>
    <col width="9.6328125" bestFit="1" customWidth="1" min="7" max="7"/>
    <col width="11" bestFit="1" customWidth="1" min="8" max="8"/>
    <col width="14.6328125" customWidth="1" min="9" max="9"/>
    <col width="9" bestFit="1" customWidth="1" min="10" max="10"/>
    <col width="11" customWidth="1" min="11" max="11"/>
    <col width="15.453125" bestFit="1" customWidth="1" min="12" max="12"/>
    <col width="11.36328125" bestFit="1" customWidth="1" min="13" max="13"/>
    <col width="11.26953125" bestFit="1" customWidth="1" min="14" max="14"/>
    <col width="8.90625" bestFit="1" customWidth="1" min="15" max="15"/>
    <col width="10.453125" customWidth="1" min="16" max="16"/>
    <col width="11" customWidth="1" min="17" max="17"/>
    <col width="8.90625" bestFit="1" customWidth="1" min="18" max="18"/>
    <col width="8.453125" customWidth="1" min="19" max="19"/>
    <col width="9.6328125" customWidth="1" min="20" max="20"/>
    <col width="9.90625" customWidth="1" min="21" max="21"/>
  </cols>
  <sheetData>
    <row r="1">
      <c r="K1" s="480" t="inlineStr">
        <is>
          <t>Data Source (auto-updates)</t>
        </is>
      </c>
      <c r="L1" s="481" t="n"/>
    </row>
    <row r="2">
      <c r="K2" s="369" t="inlineStr">
        <is>
          <t>Source sheet:</t>
        </is>
      </c>
      <c r="L2" s="370" t="inlineStr">
        <is>
          <t>AMFI-Mar'25 to Mar'26</t>
        </is>
      </c>
    </row>
    <row r="3">
      <c r="K3" s="369" t="inlineStr">
        <is>
          <t>Latest month:</t>
        </is>
      </c>
      <c r="L3" s="544">
        <f>SUBSTITUTE($D$4,"AUM ","")</f>
        <v/>
      </c>
    </row>
    <row r="4">
      <c r="A4" s="264" t="inlineStr">
        <is>
          <t>Category</t>
        </is>
      </c>
      <c r="B4" s="264">
        <f t="array" ref="B4">"AUM "&amp;INDEX('AMFI-Mar''25 to Mar''26'!$A$2:$AAG$2,1,LARGE(_xlfn._xlws.FILTER(COLUMN('AMFI-Mar''25 to Mar''26'!$A$3:$AAG$3),ISNUMBER(SEARCH("Net Assets Under Management as on",'AMFI-Mar''25 to Mar''26'!$A$3:$AAG$3))),2)-5)</f>
        <v/>
      </c>
      <c r="C4" s="264">
        <f t="array" ref="C4">"AUM Share "&amp;INDEX('AMFI-Mar''25 to Mar''26'!$A$2:$AAG$2,1,LARGE(_xlfn._xlws.FILTER(COLUMN('AMFI-Mar''25 to Mar''26'!$A$3:$AAG$3),ISNUMBER(SEARCH("Net Assets Under Management as on",'AMFI-Mar''25 to Mar''26'!$A$3:$AAG$3))),2)-5)</f>
        <v/>
      </c>
      <c r="D4" s="264">
        <f t="array" ref="D4">"AUM "&amp;INDEX('AMFI-Mar''25 to Mar''26'!$A$2:$AAG$2,1,MAX(_xlfn._xlws.FILTER(COLUMN('AMFI-Mar''25 to Mar''26'!$A$3:$AAG$3),ISNUMBER(SEARCH("Net Assets Under Management as on",'AMFI-Mar''25 to Mar''26'!$A$3:$AAG$3))))-5)</f>
        <v/>
      </c>
      <c r="E4" s="264">
        <f t="array" ref="E4">"AUM Share "&amp;INDEX('AMFI-Mar''25 to Mar''26'!$A$2:$AAG$2,1,MAX(_xlfn._xlws.FILTER(COLUMN('AMFI-Mar''25 to Mar''26'!$A$3:$AAG$3),ISNUMBER(SEARCH("Net Assets Under Management as on",'AMFI-Mar''25 to Mar''26'!$A$3:$AAG$3))))-5)</f>
        <v/>
      </c>
      <c r="F4" s="264" t="inlineStr">
        <is>
          <t>Growth %</t>
        </is>
      </c>
      <c r="G4" s="264" t="inlineStr">
        <is>
          <t>YTD Sales</t>
        </is>
      </c>
      <c r="H4" s="264" t="inlineStr">
        <is>
          <t>YTD Redemption</t>
        </is>
      </c>
      <c r="I4" s="264" t="inlineStr">
        <is>
          <t>YTD Net Flow</t>
        </is>
      </c>
      <c r="K4" s="366" t="inlineStr">
        <is>
          <t>Previous month:</t>
        </is>
      </c>
      <c r="L4" s="544">
        <f>SUBSTITUTE($B$4,"AUM ","")</f>
        <v/>
      </c>
    </row>
    <row r="5">
      <c r="A5" s="271" t="inlineStr">
        <is>
          <t>Active Equity (incl Hybrid)</t>
        </is>
      </c>
      <c r="B5" s="265">
        <f t="array" ref="B5">INDEX('AMFI-Mar''25 to Mar''26'!$1:$1048576,MATCH("Total for "&amp;$A5,'AMFI-Mar''25 to Mar''26'!$A:$A,0),LARGE(_xlfn._xlws.FILTER(COLUMN('AMFI-Mar''25 to Mar''26'!$A$3:$AAG$3),ISNUMBER(SEARCH("Net Assets Under Management as on",'AMFI-Mar''25 to Mar''26'!$A$3:$AAG$3))),2))</f>
        <v/>
      </c>
      <c r="C5" s="545">
        <f>IFERROR(B5/$B$11,"")</f>
        <v/>
      </c>
      <c r="D5" s="265">
        <f t="array" ref="D5">INDEX('AMFI-Mar''25 to Mar''26'!$1:$1048576,MATCH("Total for "&amp;$A5,'AMFI-Mar''25 to Mar''26'!$A:$A,0),MAX(_xlfn._xlws.FILTER(COLUMN('AMFI-Mar''25 to Mar''26'!$A$3:$AAG$3),ISNUMBER(SEARCH("Net Assets Under Management as on",'AMFI-Mar''25 to Mar''26'!$A$3:$AAG$3)))))</f>
        <v/>
      </c>
      <c r="E5" s="545">
        <f>IFERROR(D5/$D$11,"")</f>
        <v/>
      </c>
      <c r="F5" s="545">
        <f>IFERROR(D5/B5-1,"")</f>
        <v/>
      </c>
      <c r="G5" s="265">
        <f t="array" ref="G5">INDEX('AMFI-Mar''25 to Mar''26'!$1:$1048576,MATCH("Total for "&amp;$A5,'AMFI-Mar''25 to Mar''26'!$A:$A,0),MAX(_xlfn._xlws.FILTER(COLUMN('AMFI-Mar''25 to Mar''26'!$A$3:$AAG$3),ISNUMBER(SEARCH("Funds Mobilized",'AMFI-Mar''25 to Mar''26'!$A$3:$AAG$3))*ISNUMBER(SEARCH(" to ",'AMFI-Mar''25 to Mar''26'!$A$2:$AAG$2)))))</f>
        <v/>
      </c>
      <c r="H5" s="265">
        <f>G5-I5</f>
        <v/>
      </c>
      <c r="I5" s="267">
        <f t="array" ref="I5">INDEX('AMFI-Mar''25 to Mar''26'!$1:$1048576,MATCH("Total for "&amp;$A5,'AMFI-Mar''25 to Mar''26'!$A:$A,0),MAX(_xlfn._xlws.FILTER(COLUMN('AMFI-Mar''25 to Mar''26'!$A$3:$AAG$3),ISNUMBER(SEARCH("Funds Mobilized",'AMFI-Mar''25 to Mar''26'!$A$3:$AAG$3))*ISNUMBER(SEARCH(" to ",'AMFI-Mar''25 to Mar''26'!$A$2:$AAG$2))))+1)</f>
        <v/>
      </c>
      <c r="K5" s="369" t="inlineStr">
        <is>
          <t>Categories:</t>
        </is>
      </c>
      <c r="L5" s="370" t="inlineStr">
        <is>
          <t>Rows 5–10</t>
        </is>
      </c>
    </row>
    <row r="6">
      <c r="A6" s="272" t="inlineStr">
        <is>
          <t>Arb/ESF</t>
        </is>
      </c>
      <c r="B6" s="265">
        <f t="array" ref="B6">INDEX('AMFI-Mar''25 to Mar''26'!$1:$1048576,MATCH("Total for "&amp;$A6,'AMFI-Mar''25 to Mar''26'!$A:$A,0),LARGE(_xlfn._xlws.FILTER(COLUMN('AMFI-Mar''25 to Mar''26'!$A$3:$AAG$3),ISNUMBER(SEARCH("Net Assets Under Management as on",'AMFI-Mar''25 to Mar''26'!$A$3:$AAG$3))),2))</f>
        <v/>
      </c>
      <c r="C6" s="545">
        <f>IFERROR(B6/$B$11,"")</f>
        <v/>
      </c>
      <c r="D6" s="265">
        <f t="array" ref="D6">INDEX('AMFI-Mar''25 to Mar''26'!$1:$1048576,MATCH("Total for "&amp;$A6,'AMFI-Mar''25 to Mar''26'!$A:$A,0),MAX(_xlfn._xlws.FILTER(COLUMN('AMFI-Mar''25 to Mar''26'!$A$3:$AAG$3),ISNUMBER(SEARCH("Net Assets Under Management as on",'AMFI-Mar''25 to Mar''26'!$A$3:$AAG$3)))))</f>
        <v/>
      </c>
      <c r="E6" s="545">
        <f>IFERROR(D6/$D$11,"")</f>
        <v/>
      </c>
      <c r="F6" s="545">
        <f>IFERROR(D6/B6-1,"")</f>
        <v/>
      </c>
      <c r="G6" s="265">
        <f t="array" ref="G6">INDEX('AMFI-Mar''25 to Mar''26'!$1:$1048576,MATCH("Total for "&amp;$A6,'AMFI-Mar''25 to Mar''26'!$A:$A,0),MAX(_xlfn._xlws.FILTER(COLUMN('AMFI-Mar''25 to Mar''26'!$A$3:$AAG$3),ISNUMBER(SEARCH("Funds Mobilized",'AMFI-Mar''25 to Mar''26'!$A$3:$AAG$3))*ISNUMBER(SEARCH(" to ",'AMFI-Mar''25 to Mar''26'!$A$2:$AAG$2)))))</f>
        <v/>
      </c>
      <c r="H6" s="265">
        <f>G6-I6</f>
        <v/>
      </c>
      <c r="I6" s="267">
        <f t="array" ref="I6">INDEX('AMFI-Mar''25 to Mar''26'!$1:$1048576,MATCH("Total for "&amp;$A6,'AMFI-Mar''25 to Mar''26'!$A:$A,0),MAX(_xlfn._xlws.FILTER(COLUMN('AMFI-Mar''25 to Mar''26'!$A$3:$AAG$3),ISNUMBER(SEARCH("Funds Mobilized",'AMFI-Mar''25 to Mar''26'!$A$3:$AAG$3))*ISNUMBER(SEARCH(" to ",'AMFI-Mar''25 to Mar''26'!$A$2:$AAG$2))))+1)</f>
        <v/>
      </c>
      <c r="K6" s="371" t="inlineStr">
        <is>
          <t>Months tracked:</t>
        </is>
      </c>
      <c r="L6" s="546">
        <f>COUNT($Q$28:$Q$40)</f>
        <v/>
      </c>
    </row>
    <row r="7">
      <c r="A7" s="272" t="inlineStr">
        <is>
          <t>Active Debt (incl Hybrid)</t>
        </is>
      </c>
      <c r="B7" s="265">
        <f t="array" ref="B7">INDEX('AMFI-Mar''25 to Mar''26'!$1:$1048576,MATCH("Total for "&amp;$A7,'AMFI-Mar''25 to Mar''26'!$A:$A,0),LARGE(_xlfn._xlws.FILTER(COLUMN('AMFI-Mar''25 to Mar''26'!$A$3:$AAG$3),ISNUMBER(SEARCH("Net Assets Under Management as on",'AMFI-Mar''25 to Mar''26'!$A$3:$AAG$3))),2))</f>
        <v/>
      </c>
      <c r="C7" s="545">
        <f>IFERROR(B7/$B$11,"")</f>
        <v/>
      </c>
      <c r="D7" s="265">
        <f t="array" ref="D7">INDEX('AMFI-Mar''25 to Mar''26'!$1:$1048576,MATCH("Total for "&amp;$A7,'AMFI-Mar''25 to Mar''26'!$A:$A,0),MAX(_xlfn._xlws.FILTER(COLUMN('AMFI-Mar''25 to Mar''26'!$A$3:$AAG$3),ISNUMBER(SEARCH("Net Assets Under Management as on",'AMFI-Mar''25 to Mar''26'!$A$3:$AAG$3)))))</f>
        <v/>
      </c>
      <c r="E7" s="545">
        <f>IFERROR(D7/$D$11,"")</f>
        <v/>
      </c>
      <c r="F7" s="545">
        <f>IFERROR(D7/B7-1,"")</f>
        <v/>
      </c>
      <c r="G7" s="265">
        <f t="array" ref="G7">INDEX('AMFI-Mar''25 to Mar''26'!$1:$1048576,MATCH("Total for "&amp;$A7,'AMFI-Mar''25 to Mar''26'!$A:$A,0),MAX(_xlfn._xlws.FILTER(COLUMN('AMFI-Mar''25 to Mar''26'!$A$3:$AAG$3),ISNUMBER(SEARCH("Funds Mobilized",'AMFI-Mar''25 to Mar''26'!$A$3:$AAG$3))*ISNUMBER(SEARCH(" to ",'AMFI-Mar''25 to Mar''26'!$A$2:$AAG$2)))))</f>
        <v/>
      </c>
      <c r="H7" s="265">
        <f>G7-I7</f>
        <v/>
      </c>
      <c r="I7" s="267">
        <f t="array" ref="I7">INDEX('AMFI-Mar''25 to Mar''26'!$1:$1048576,MATCH("Total for "&amp;$A7,'AMFI-Mar''25 to Mar''26'!$A:$A,0),MAX(_xlfn._xlws.FILTER(COLUMN('AMFI-Mar''25 to Mar''26'!$A$3:$AAG$3),ISNUMBER(SEARCH("Funds Mobilized",'AMFI-Mar''25 to Mar''26'!$A$3:$AAG$3))*ISNUMBER(SEARCH(" to ",'AMFI-Mar''25 to Mar''26'!$A$2:$AAG$2))))+1)</f>
        <v/>
      </c>
    </row>
    <row r="8">
      <c r="A8" s="272" t="inlineStr">
        <is>
          <t>Cash</t>
        </is>
      </c>
      <c r="B8" s="265">
        <f t="array" ref="B8">INDEX('AMFI-Mar''25 to Mar''26'!$1:$1048576,MATCH("Total for "&amp;$A8,'AMFI-Mar''25 to Mar''26'!$A:$A,0),LARGE(_xlfn._xlws.FILTER(COLUMN('AMFI-Mar''25 to Mar''26'!$A$3:$AAG$3),ISNUMBER(SEARCH("Net Assets Under Management as on",'AMFI-Mar''25 to Mar''26'!$A$3:$AAG$3))),2))</f>
        <v/>
      </c>
      <c r="C8" s="545">
        <f>IFERROR(B8/$B$11,"")</f>
        <v/>
      </c>
      <c r="D8" s="265">
        <f t="array" ref="D8">INDEX('AMFI-Mar''25 to Mar''26'!$1:$1048576,MATCH("Total for "&amp;$A8,'AMFI-Mar''25 to Mar''26'!$A:$A,0),MAX(_xlfn._xlws.FILTER(COLUMN('AMFI-Mar''25 to Mar''26'!$A$3:$AAG$3),ISNUMBER(SEARCH("Net Assets Under Management as on",'AMFI-Mar''25 to Mar''26'!$A$3:$AAG$3)))))</f>
        <v/>
      </c>
      <c r="E8" s="545">
        <f>IFERROR(D8/$D$11,"")</f>
        <v/>
      </c>
      <c r="F8" s="545">
        <f>IFERROR(D8/B8-1,"")</f>
        <v/>
      </c>
      <c r="G8" s="265">
        <f t="array" ref="G8">INDEX('AMFI-Mar''25 to Mar''26'!$1:$1048576,MATCH("Total for "&amp;$A8,'AMFI-Mar''25 to Mar''26'!$A:$A,0),MAX(_xlfn._xlws.FILTER(COLUMN('AMFI-Mar''25 to Mar''26'!$A$3:$AAG$3),ISNUMBER(SEARCH("Funds Mobilized",'AMFI-Mar''25 to Mar''26'!$A$3:$AAG$3))*ISNUMBER(SEARCH(" to ",'AMFI-Mar''25 to Mar''26'!$A$2:$AAG$2)))))</f>
        <v/>
      </c>
      <c r="H8" s="265">
        <f>G8-I8</f>
        <v/>
      </c>
      <c r="I8" s="267">
        <f t="array" ref="I8">INDEX('AMFI-Mar''25 to Mar''26'!$1:$1048576,MATCH("Total for "&amp;$A8,'AMFI-Mar''25 to Mar''26'!$A:$A,0),MAX(_xlfn._xlws.FILTER(COLUMN('AMFI-Mar''25 to Mar''26'!$A$3:$AAG$3),ISNUMBER(SEARCH("Funds Mobilized",'AMFI-Mar''25 to Mar''26'!$A$3:$AAG$3))*ISNUMBER(SEARCH(" to ",'AMFI-Mar''25 to Mar''26'!$A$2:$AAG$2))))+1)</f>
        <v/>
      </c>
    </row>
    <row r="9">
      <c r="A9" s="272" t="inlineStr">
        <is>
          <t>Passive-E/D</t>
        </is>
      </c>
      <c r="B9" s="265">
        <f t="array" ref="B9">INDEX('AMFI-Mar''25 to Mar''26'!$1:$1048576,MATCH("Total for "&amp;$A9,'AMFI-Mar''25 to Mar''26'!$A:$A,0),LARGE(_xlfn._xlws.FILTER(COLUMN('AMFI-Mar''25 to Mar''26'!$A$3:$AAG$3),ISNUMBER(SEARCH("Net Assets Under Management as on",'AMFI-Mar''25 to Mar''26'!$A$3:$AAG$3))),2))</f>
        <v/>
      </c>
      <c r="C9" s="545">
        <f>IFERROR(B9/$B$11,"")</f>
        <v/>
      </c>
      <c r="D9" s="265">
        <f t="array" ref="D9">INDEX('AMFI-Mar''25 to Mar''26'!$1:$1048576,MATCH("Total for "&amp;$A9,'AMFI-Mar''25 to Mar''26'!$A:$A,0),MAX(_xlfn._xlws.FILTER(COLUMN('AMFI-Mar''25 to Mar''26'!$A$3:$AAG$3),ISNUMBER(SEARCH("Net Assets Under Management as on",'AMFI-Mar''25 to Mar''26'!$A$3:$AAG$3)))))</f>
        <v/>
      </c>
      <c r="E9" s="545">
        <f>IFERROR(D9/$D$11,"")</f>
        <v/>
      </c>
      <c r="F9" s="545">
        <f>IFERROR(D9/B9-1,"")</f>
        <v/>
      </c>
      <c r="G9" s="265">
        <f t="array" ref="G9">INDEX('AMFI-Mar''25 to Mar''26'!$1:$1048576,MATCH("Total for "&amp;$A9,'AMFI-Mar''25 to Mar''26'!$A:$A,0),MAX(_xlfn._xlws.FILTER(COLUMN('AMFI-Mar''25 to Mar''26'!$A$3:$AAG$3),ISNUMBER(SEARCH("Funds Mobilized",'AMFI-Mar''25 to Mar''26'!$A$3:$AAG$3))*ISNUMBER(SEARCH(" to ",'AMFI-Mar''25 to Mar''26'!$A$2:$AAG$2)))))</f>
        <v/>
      </c>
      <c r="H9" s="265">
        <f>G9-I9</f>
        <v/>
      </c>
      <c r="I9" s="267">
        <f t="array" ref="I9">INDEX('AMFI-Mar''25 to Mar''26'!$1:$1048576,MATCH("Total for "&amp;$A9,'AMFI-Mar''25 to Mar''26'!$A:$A,0),MAX(_xlfn._xlws.FILTER(COLUMN('AMFI-Mar''25 to Mar''26'!$A$3:$AAG$3),ISNUMBER(SEARCH("Funds Mobilized",'AMFI-Mar''25 to Mar''26'!$A$3:$AAG$3))*ISNUMBER(SEARCH(" to ",'AMFI-Mar''25 to Mar''26'!$A$2:$AAG$2))))+1)</f>
        <v/>
      </c>
    </row>
    <row r="10">
      <c r="A10" s="272" t="inlineStr">
        <is>
          <t>Interval Schemes</t>
        </is>
      </c>
      <c r="B10" s="265">
        <f t="array" ref="B10">INDEX('AMFI-Mar''25 to Mar''26'!$1:$1048576,MATCH("Total for "&amp;$A10,'AMFI-Mar''25 to Mar''26'!$A:$A,0),LARGE(_xlfn._xlws.FILTER(COLUMN('AMFI-Mar''25 to Mar''26'!$A$3:$AAG$3),ISNUMBER(SEARCH("Net Assets Under Management as on",'AMFI-Mar''25 to Mar''26'!$A$3:$AAG$3))),2))</f>
        <v/>
      </c>
      <c r="C10" s="545">
        <f>IFERROR(B10/$B$11,"")</f>
        <v/>
      </c>
      <c r="D10" s="265">
        <f t="array" ref="D10">INDEX('AMFI-Mar''25 to Mar''26'!$1:$1048576,MATCH("Total for "&amp;$A10,'AMFI-Mar''25 to Mar''26'!$A:$A,0),MAX(_xlfn._xlws.FILTER(COLUMN('AMFI-Mar''25 to Mar''26'!$A$3:$AAG$3),ISNUMBER(SEARCH("Net Assets Under Management as on",'AMFI-Mar''25 to Mar''26'!$A$3:$AAG$3)))))</f>
        <v/>
      </c>
      <c r="E10" s="545">
        <f>IFERROR(D10/$D$11,"")</f>
        <v/>
      </c>
      <c r="F10" s="545">
        <f>IFERROR(D10/B10-1,"")</f>
        <v/>
      </c>
      <c r="G10" s="265">
        <f t="array" ref="G10">INDEX('AMFI-Mar''25 to Mar''26'!$1:$1048576,MATCH("Total for "&amp;$A10,'AMFI-Mar''25 to Mar''26'!$A:$A,0),MAX(_xlfn._xlws.FILTER(COLUMN('AMFI-Mar''25 to Mar''26'!$A$3:$AAG$3),ISNUMBER(SEARCH("Funds Mobilized",'AMFI-Mar''25 to Mar''26'!$A$3:$AAG$3))*ISNUMBER(SEARCH(" to ",'AMFI-Mar''25 to Mar''26'!$A$2:$AAG$2)))))</f>
        <v/>
      </c>
      <c r="H10" s="265">
        <f>G10-I10</f>
        <v/>
      </c>
      <c r="I10" s="267">
        <f t="array" ref="I10">INDEX('AMFI-Mar''25 to Mar''26'!$1:$1048576,MATCH("Total for "&amp;$A10,'AMFI-Mar''25 to Mar''26'!$A:$A,0),MAX(_xlfn._xlws.FILTER(COLUMN('AMFI-Mar''25 to Mar''26'!$A$3:$AAG$3),ISNUMBER(SEARCH("Funds Mobilized",'AMFI-Mar''25 to Mar''26'!$A$3:$AAG$3))*ISNUMBER(SEARCH(" to ",'AMFI-Mar''25 to Mar''26'!$A$2:$AAG$2))))+1)</f>
        <v/>
      </c>
    </row>
    <row r="11">
      <c r="A11" s="273" t="inlineStr">
        <is>
          <t>Grand Total</t>
        </is>
      </c>
      <c r="B11" s="268">
        <f>SUM(B5:B10)</f>
        <v/>
      </c>
      <c r="C11" s="547">
        <f>SUM(C5:C10)</f>
        <v/>
      </c>
      <c r="D11" s="268">
        <f>SUM(D5:D10)</f>
        <v/>
      </c>
      <c r="E11" s="547">
        <f>SUM(E5:E10)</f>
        <v/>
      </c>
      <c r="F11" s="547">
        <f>IFERROR(D11/B11-1,"")</f>
        <v/>
      </c>
      <c r="G11" s="268">
        <f>SUM(G5:G10)</f>
        <v/>
      </c>
      <c r="H11" s="268">
        <f>SUM(H5:H10)</f>
        <v/>
      </c>
      <c r="I11" s="270">
        <f>SUM(I5:I10)</f>
        <v/>
      </c>
    </row>
    <row r="12">
      <c r="A12" s="261" t="n"/>
      <c r="B12" s="262" t="n"/>
      <c r="C12" s="548" t="n"/>
      <c r="D12" s="262" t="n"/>
      <c r="E12" s="262" t="n"/>
      <c r="F12" s="262" t="n"/>
    </row>
    <row r="13" ht="15.6" customHeight="1" thickBot="1">
      <c r="A13" s="261" t="n"/>
      <c r="B13" s="262" t="n"/>
      <c r="C13" s="548" t="n"/>
      <c r="D13" s="262" t="n"/>
      <c r="E13" s="262" t="n"/>
      <c r="F13" s="262" t="n"/>
    </row>
    <row r="14" ht="15.6" customHeight="1">
      <c r="A14" s="482" t="inlineStr">
        <is>
          <t>Summary</t>
        </is>
      </c>
      <c r="B14" s="483" t="n"/>
      <c r="C14" s="483" t="n"/>
      <c r="D14" s="483" t="n"/>
      <c r="E14" s="483" t="n"/>
      <c r="F14" s="483" t="n"/>
      <c r="G14" s="483" t="n"/>
      <c r="H14" s="483" t="n"/>
      <c r="I14" s="484" t="n"/>
    </row>
    <row r="15">
      <c r="A15" s="471">
        <f t="array" ref="A15">_xlfn.LET(_xlpm.src,'AMFI-Mar''25 to Mar''26'!$A:$AAG,_xlpm.h,'AMFI-Mar''25 to Mar''26'!$A$3:$AAG$3,_xlpm.m,'AMFI-Mar''25 to Mar''26'!$A$2:$AAG$2,_xlpm.c,COLUMN('AMFI-Mar''25 to Mar''26'!$A$3:$AAG$3),_xlpm.aCols,_xlfn._xlws.FILTER(_xlpm.c,ISNUMBER(SEARCH("Net Assets Under Management as on",_xlpm.h))),_xlpm.lc,LARGE(_xlpm.aCols,1),_xlpm.pc,LARGE(_xlpm.aCols,2),_xlpm.r,MATCH("Grand Total",'AMFI-Mar''25 to Mar''26'!$A:$A,0),_xlpm.aum,INDEX(_xlpm.src,_xlpm.r,_xlpm.lc),_xlpm.paum,INDEX(_xlpm.src,_xlpm.r,_xlpm.pc),_xlpm.net,INDEX(_xlpm.src,_xlpm.r,_xlpm.lc-1),_xlpm.pnet,INDEX(_xlpm.src,_xlpm.r,_xlpm.pc-1),_xlpm.mon,INDEX(_xlpm.m,1,_xlpm.lc-5),_xlpm.pmon,INDEX(_xlpm.m,1,_xlpm.pc-5),"Industry Monthly net flow was Rs "&amp;TEXT(_xlpm.net,"#,##0")&amp;" Cr in "&amp;_xlpm.mon&amp;" vs Rs "&amp;TEXT(_xlpm.pnet,"#,##0")&amp;" Cr in "&amp;_xlpm.pmon&amp;", with AUM at Rs "&amp;TEXT(_xlpm.aum,"#,##0")&amp;" Cr ("&amp;TEXT(_xlpm.aum/_xlpm.paum-1,"+0.0%;-0.0%;0.0%")&amp;" MoM).")</f>
        <v/>
      </c>
      <c r="B15" s="472" t="n"/>
      <c r="C15" s="472" t="n"/>
      <c r="D15" s="472" t="n"/>
      <c r="E15" s="472" t="n"/>
      <c r="F15" s="472" t="n"/>
      <c r="G15" s="472" t="n"/>
      <c r="H15" s="472" t="n"/>
      <c r="I15" s="473" t="n"/>
    </row>
    <row r="16">
      <c r="A16" s="474">
        <f t="array" ref="A16">_xlfn.LET(_xlpm.cats,$A$5:$A$10,_xlpm.aums,$D$5:$D$10,_xlpm.shares,$E$5:$E$10,_xlpm.nets,$I$5:$I$10,_xlpm.topAUM,MAX(_xlpm.aums),_xlpm.topCat,_xlfn.XLOOKUP(_xlpm.topAUM,_xlpm.aums,_xlpm.cats),_xlpm.topShare,_xlfn.XLOOKUP(_xlpm.topAUM,_xlpm.aums,_xlpm.shares),_xlpm.topNet,_xlfn.XLOOKUP(_xlpm.topAUM,_xlpm.aums,_xlpm.nets),"AUM mix remains led by "&amp;_xlpm.topCat&amp;" at "&amp;TEXT(_xlpm.topShare,"0.0%")&amp;" share, with YTD net flow of Rs "&amp;TEXT(_xlpm.topNet,"#,##0")&amp;" Cr.")</f>
        <v/>
      </c>
      <c r="B16" s="475" t="n"/>
      <c r="C16" s="475" t="n"/>
      <c r="D16" s="475" t="n"/>
      <c r="E16" s="475" t="n"/>
      <c r="F16" s="475" t="n"/>
      <c r="G16" s="475" t="n"/>
      <c r="H16" s="475" t="n"/>
      <c r="I16" s="476" t="n"/>
    </row>
    <row r="17">
      <c r="A17" s="474">
        <f t="array" ref="A17">_xlfn.LET(_xlpm.cats,$A$5:$A$10,_xlpm.nets,$I$5:$I$10,_xlpm.leader,_xlfn.XLOOKUP(MAX(_xlpm.nets),_xlpm.nets,_xlpm.cats),_xlpm.nz,_xlfn._xlws.FILTER(_xlpm.nets,_xlpm.nets&lt;&gt;0),_xlpm.lowVal,MIN(_xlpm.nz),_xlpm.lowCat,_xlfn.XLOOKUP(_xlpm.lowVal,_xlpm.nets,_xlpm.cats),"YTD category flows are strongest in "&amp;_xlpm.leader&amp;" at Rs "&amp;TEXT(MAX(_xlpm.nets),"#,##0")&amp;" Cr, while "&amp;_xlpm.lowCat&amp;" is the lowest non-zero flow at Rs "&amp;TEXT(_xlpm.lowVal,"#,##0")&amp;" Cr.")</f>
        <v/>
      </c>
      <c r="B17" s="475" t="n"/>
      <c r="C17" s="475" t="n"/>
      <c r="D17" s="475" t="n"/>
      <c r="E17" s="475" t="n"/>
      <c r="F17" s="475" t="n"/>
      <c r="G17" s="475" t="n"/>
      <c r="H17" s="475" t="n"/>
      <c r="I17" s="476" t="n"/>
    </row>
    <row r="18">
      <c r="A18" s="474">
        <f t="array" ref="A18">_xlfn.LET(_xlpm.src,'AMFI-Mar''25 to Mar''26'!$A:$AAG,_xlpm.h,'AMFI-Mar''25 to Mar''26'!$A$3:$AAG$3,_xlpm.m,'AMFI-Mar''25 to Mar''26'!$A$2:$AAG$2,_xlpm.c,COLUMN('AMFI-Mar''25 to Mar''26'!$A$3:$AAG$3),_xlpm.aCols,_xlfn._xlws.FILTER(_xlpm.c,ISNUMBER(SEARCH("Net Assets Under Management as on",_xlpm.h))),_xlpm.lc,LARGE(_xlpm.aCols,1),_xlpm.pc,LARGE(_xlpm.aCols,2),_xlpm.r,MATCH("Grand Total",'AMFI-Mar''25 to Mar''26'!$A:$A,0),_xlpm.sales,INDEX(_xlpm.src,_xlpm.r,_xlpm.lc-3),_xlpm.red,INDEX(_xlpm.src,_xlpm.r,_xlpm.lc-2),_xlpm.net,INDEX(_xlpm.src,_xlpm.r,_xlpm.lc-1),_xlpm.pnet,INDEX(_xlpm.src,_xlpm.r,_xlpm.pc-1),_xlpm.mon,INDEX(_xlpm.m,1,_xlpm.lc-5),_xlpm.pmon,INDEX(_xlpm.m,1,_xlpm.pc-5),"Latest-month activity: sales were Rs "&amp;TEXT(_xlpm.sales,"#,##0")&amp;" Cr and redemptions Rs "&amp;TEXT(_xlpm.red,"#,##0")&amp;" Cr in "&amp;_xlpm.mon&amp;", resulting in net flow of Rs "&amp;TEXT(_xlpm.net,"#,##0")&amp;" Cr vs Rs "&amp;TEXT(_xlpm.pnet,"#,##0")&amp;" Cr in "&amp;_xlpm.pmon&amp;".")</f>
        <v/>
      </c>
      <c r="B18" s="475" t="n"/>
      <c r="C18" s="475" t="n"/>
      <c r="D18" s="475" t="n"/>
      <c r="E18" s="475" t="n"/>
      <c r="F18" s="475" t="n"/>
      <c r="G18" s="475" t="n"/>
      <c r="H18" s="475" t="n"/>
      <c r="I18" s="476" t="n"/>
    </row>
    <row r="19">
      <c r="A19" s="474">
        <f t="array" ref="A19">_xlfn.LET(_xlpm.cats,$A$5:$A$10,_xlpm.g,$F$5:$F$10,_xlpm.up,MAX(_xlpm.g),_xlpm.upCat,_xlfn.XLOOKUP(_xlpm.up,_xlpm.g,_xlpm.cats),_xlpm.dn,MIN(_xlpm.g),_xlpm.dnCat,_xlfn.XLOOKUP(_xlpm.dn,_xlpm.g,_xlpm.cats),"Month-on-month, "&amp;_xlpm.upCat&amp;" held up best ("&amp;TEXT(_xlpm.up,"+0.0%;-0.0%")&amp;"), while "&amp;_xlpm.dnCat&amp;" declined most ("&amp;TEXT(_xlpm.dn,"+0.0%;-0.0%")&amp;").")</f>
        <v/>
      </c>
      <c r="B19" s="475" t="n"/>
      <c r="C19" s="475" t="n"/>
      <c r="D19" s="475" t="n"/>
      <c r="E19" s="475" t="n"/>
      <c r="F19" s="475" t="n"/>
      <c r="G19" s="475" t="n"/>
      <c r="H19" s="475" t="n"/>
      <c r="I19" s="476" t="n"/>
    </row>
    <row r="20">
      <c r="A20" s="474">
        <f>"YTD industry sales total Rs "&amp;TEXT($G$11,"#,##0")&amp;" Cr vs redemptions of Rs "&amp;TEXT($H$11,"#,##0")&amp;" Cr, leaving net flow of Rs "&amp;TEXT($I$11,"#,##0")&amp;" Cr ("&amp;TEXT($I$11/$D$11,"0.0%")&amp;" of latest AUM)."</f>
        <v/>
      </c>
      <c r="B20" s="475" t="n"/>
      <c r="C20" s="475" t="n"/>
      <c r="D20" s="475" t="n"/>
      <c r="E20" s="475" t="n"/>
      <c r="F20" s="475" t="n"/>
      <c r="G20" s="475" t="n"/>
      <c r="H20" s="475" t="n"/>
      <c r="I20" s="476" t="n"/>
    </row>
    <row r="21">
      <c r="A21" s="474">
        <f t="array" ref="A21">_xlfn.LET(_xlpm.src,'AMFI-Mar''25 to Mar''26'!$A:$AAG,_xlpm.h,'AMFI-Mar''25 to Mar''26'!$A$3:$AAG$3,_xlpm.m,'AMFI-Mar''25 to Mar''26'!$A$2:$AAG$2,_xlpm.c,COLUMN('AMFI-Mar''25 to Mar''26'!$A$3:$AAG$3),_xlpm.a,_xlfn._xlws.FILTER(_xlpm.c,ISNUMBER(SEARCH("Net Assets Under Management as on",_xlpm.h))),_xlpm.lc,LARGE(_xlpm.a,1),_xlpm.pc,LARGE(_xlpm.a,2),_xlpm.r,MATCH("Total for Active Equity (incl Hybrid)",'AMFI-Mar''25 to Mar''26'!$A:$A,0),_xlpm.cur,INDEX(_xlpm.src,_xlpm.r,_xlpm.lc-1),_xlpm.prev,INDEX(_xlpm.src,_xlpm.r,_xlpm.pc-1),_xlpm.mon,INDEX(_xlpm.m,1,_xlpm.lc-5),_xlpm.pmon,INDEX(_xlpm.m,1,_xlpm.pc-5),"Active Equity inflows "&amp;IF(_xlpm.cur&lt;_xlpm.prev,"moderated","rose")&amp;" to Rs "&amp;TEXT(_xlpm.cur,"#,##0")&amp;" Cr in "&amp;_xlpm.mon&amp;" from Rs "&amp;TEXT(_xlpm.prev,"#,##0")&amp;" Cr in "&amp;_xlpm.pmon&amp;", "&amp;IF(_xlpm.cur&gt;0,"but remained positive","turning negative")&amp;".")</f>
        <v/>
      </c>
      <c r="B21" s="475" t="n"/>
      <c r="C21" s="475" t="n"/>
      <c r="D21" s="475" t="n"/>
      <c r="E21" s="475" t="n"/>
      <c r="F21" s="475" t="n"/>
      <c r="G21" s="475" t="n"/>
      <c r="H21" s="475" t="n"/>
      <c r="I21" s="476" t="n"/>
    </row>
    <row r="22" ht="15.6" customHeight="1" thickBot="1">
      <c r="A22" s="486">
        <f t="array" ref="A22">_xlfn.LET(_xlpm.cats,$A$5:$A$10,_xlpm.nets,$I$5:$I$10,_xlpm.nOut,SUMPRODUCT(--(_xlpm.nets&lt;0)),_xlpm.worst,MIN(_xlpm.nets),_xlpm.worstCat,_xlfn.XLOOKUP(_xlpm.worst,_xlpm.nets,_xlpm.cats),_xlpm.topRed,MAX($H$5:$H$10),_xlpm.topRedCat,_xlfn.XLOOKUP(_xlpm.topRed,$H$5:$H$10,_xlpm.cats),IF(_xlpm.nOut=0,"All six categories recorded positive YTD net flows; "&amp;_xlpm.topRedCat&amp;" saw the largest redemptions at Rs "&amp;TEXT(_xlpm.topRed,"#,##0")&amp;" Cr.","Of six categories, "&amp;_xlpm.nOut&amp;" recorded YTD net outflows, weakest "&amp;_xlpm.worstCat&amp;" at Rs "&amp;TEXT(_xlpm.worst,"#,##0;(#,##0)")&amp;" Cr."))</f>
        <v/>
      </c>
      <c r="B22" s="487" t="n"/>
      <c r="C22" s="487" t="n"/>
      <c r="D22" s="487" t="n"/>
      <c r="E22" s="487" t="n"/>
      <c r="F22" s="487" t="n"/>
      <c r="G22" s="487" t="n"/>
      <c r="H22" s="487" t="n"/>
      <c r="I22" s="488" t="n"/>
    </row>
    <row r="23"/>
    <row r="24"/>
    <row r="25" ht="16.8" customHeight="1" thickBot="1">
      <c r="A25" s="365" t="n"/>
    </row>
    <row r="26" ht="22.8" customFormat="1" customHeight="1" s="381" thickBot="1">
      <c r="A26" s="485" t="inlineStr">
        <is>
          <t>Monthly Trend — TOTAL (Rs Cr)</t>
        </is>
      </c>
      <c r="B26" s="478" t="n"/>
      <c r="C26" s="478" t="n"/>
      <c r="D26" s="478" t="n"/>
      <c r="E26" s="478" t="n"/>
      <c r="F26" s="479" t="n"/>
      <c r="G26" s="380" t="n"/>
      <c r="H26" s="380" t="n"/>
      <c r="I26" s="485" t="inlineStr">
        <is>
          <t>Monthly Trend — Active Equity (incl Hybrid) (Rs Cr)</t>
        </is>
      </c>
      <c r="J26" s="478" t="n"/>
      <c r="K26" s="478" t="n"/>
      <c r="L26" s="478" t="n"/>
      <c r="M26" s="478" t="n"/>
      <c r="N26" s="479" t="n"/>
      <c r="P26" s="485" t="inlineStr">
        <is>
          <t>AUM Trend Chart Source</t>
        </is>
      </c>
    </row>
    <row r="27">
      <c r="A27" s="402" t="inlineStr">
        <is>
          <t>Month</t>
        </is>
      </c>
      <c r="B27" s="373" t="inlineStr">
        <is>
          <t>AUM</t>
        </is>
      </c>
      <c r="C27" s="373" t="inlineStr">
        <is>
          <t>Avg AUM</t>
        </is>
      </c>
      <c r="D27" s="378" t="inlineStr">
        <is>
          <t>Gross Sales</t>
        </is>
      </c>
      <c r="E27" s="379" t="inlineStr">
        <is>
          <t>Redemption</t>
        </is>
      </c>
      <c r="F27" s="403" t="inlineStr">
        <is>
          <t>Net Sales</t>
        </is>
      </c>
      <c r="I27" s="402" t="inlineStr">
        <is>
          <t>Month</t>
        </is>
      </c>
      <c r="J27" s="373" t="inlineStr">
        <is>
          <t>AUM</t>
        </is>
      </c>
      <c r="K27" s="373" t="inlineStr">
        <is>
          <t>Avg AUM</t>
        </is>
      </c>
      <c r="L27" s="378" t="inlineStr">
        <is>
          <t>Gross Sales</t>
        </is>
      </c>
      <c r="M27" s="379" t="inlineStr">
        <is>
          <t>Redemption</t>
        </is>
      </c>
      <c r="N27" s="403" t="inlineStr">
        <is>
          <t>Net Sales</t>
        </is>
      </c>
      <c r="P27" s="402" t="inlineStr">
        <is>
          <t>Month</t>
        </is>
      </c>
      <c r="Q27" s="402" t="inlineStr">
        <is>
          <t>AUM</t>
        </is>
      </c>
    </row>
    <row r="28">
      <c r="A28" s="549">
        <f t="array" ref="A28">_xlfn.LET(_xlpm.m,'AMFI-Mar''25 to Mar''26'!$A$2:$AAG$2,_xlpm.h,'AMFI-Mar''25 to Mar''26'!$A$3:$AAG$3,_xlpm.cond,(_xlpm.m&lt;&gt;"")*(_xlpm.m&lt;&gt;"-")*ISNUMBER(SEARCH("'",_xlpm.m))*ISERROR(SEARCH(" to ",_xlpm.m)),_xlpm.labels,_xlfn._xlws.FILTER(_xlpm.m,_xlpm.cond),_xlpm.hdrs,_xlfn._xlws.FILTER(_xlpm.h,_xlpm.cond),_xlpm.idx,ROW()-ROW($A$28)+1,_xlpm.n,COLUMNS(_xlpm.labels),_xlpm.x,IF(_xlpm.idx&lt;=MIN(13,_xlpm.n),INDEX(_xlpm.labels,1,_xlpm.idx+MAX(0,_xlpm.n-13)),""),_xlpm.hx,IF(_xlpm.idx&lt;=MIN(13,_xlpm.n),INDEX(_xlpm.hdrs,1,_xlpm.idx+MAX(0,_xlpm.n-13)),""),IF(_xlpm.x="","",IF(ISNUMBER(SEARCH("No. of Schemes as on",_xlpm.hx)),LOOKUP(2,1/ISNUMBER(SEARCH({"January","February","March","April","May","June","July","August","September","October","November","December"},_xlpm.hx)),{"Jan","Feb","Mar","Apr","May","Jun","Jul","Aug","Sep","Oct","Nov","Dec"})&amp;"'"&amp;RIGHT(MID(_xlpm.hx,FIND(", ",_xlpm.hx)+2,4),2),_xlpm.x)))</f>
        <v/>
      </c>
      <c r="B28" s="550">
        <f t="array" ref="B28">IF($A28="","",IFERROR(_xlfn.LET(_xlpm.lbl,$A28,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f>
        <v/>
      </c>
      <c r="C28" s="551">
        <f t="array" ref="C28">IF($A28="","",IFERROR(_xlfn.LET(_xlpm.lbl,$A28,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Mar''26'!$A:$A,0),_xlpm.colf+1))),""))</f>
        <v/>
      </c>
      <c r="D28" s="552">
        <f t="array" ref="D28">IF($A28="","",IFERROR(_xlfn.LET(_xlpm.lbl,$A28,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Mar''26'!$A$3:$AAG$3),_xlpm.hit,_xlfn._xlws.FILTER(_xlpm.c,ISNUMBER(SEARCH("Funds Mobilized for the month of "&amp;_xlpm.full,_xlpm.h))),_xlpm.col,IFERROR(INDEX(_xlpm.hit,1),0),IF(_xlpm.col=0,"",INDEX('AMFI-Mar''25 to Mar''26'!$1:$1048576,MATCH("Grand Total",'AMFI-Mar''25 to Mar''26'!$A:$A,0),_xlpm.col))),""))</f>
        <v/>
      </c>
      <c r="E28" s="551">
        <f t="array" ref="E28">IF($A28="","",IFERROR(_xlfn.LET(_xlpm.lbl,$A28,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Mar''26'!$A$3:$AAG$3),_xlpm.hit,_xlfn._xlws.FILTER(_xlpm.c,ISNUMBER(SEARCH("Repurchase/Redemption for the month of "&amp;_xlpm.full,_xlpm.h))+ISNUMBER(SEARCH("Redemption for the month of "&amp;_xlpm.full,_xlpm.h))),_xlpm.col,IFERROR(INDEX(_xlpm.hit,1),0),IF(_xlpm.col=0,"",INDEX('AMFI-Mar''25 to Mar''26'!$1:$1048576,MATCH("Grand Total",'AMFI-Mar''25 to Mar''26'!$A:$A,0),_xlpm.col))),""))</f>
        <v/>
      </c>
      <c r="F28" s="553">
        <f>IF($A28="","",IFERROR(D28-E28,""))</f>
        <v/>
      </c>
      <c r="I28" s="554">
        <f>$A28</f>
        <v/>
      </c>
      <c r="J28" s="550">
        <f t="array" ref="J28">IF($A28="","",IFERROR(_xlfn.LET(_xlpm.lbl,$A28,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f>
        <v/>
      </c>
      <c r="K28" s="551">
        <f t="array" ref="K28">IF($A28="","",IFERROR(_xlfn.LET(_xlpm.lbl,$A28,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Mar''26'!$A:$A,0),_xlpm.col+1))),""))</f>
        <v/>
      </c>
      <c r="L28" s="552">
        <f t="array" ref="L28">IF($A28="","",IFERROR(_xlfn.LET(_xlpm.lbl,$A28,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Mar''26'!$A$3:$ZS$3),_xlpm.hit,_xlfn._xlws.FILTER(_xlpm.c,ISNUMBER(SEARCH("Funds Mobilized for the month of "&amp;_xlpm.full,_xlpm.h))),_xlpm.col,IFERROR(INDEX(_xlpm.hit,1),0),IF(_xlpm.col=0,"",INDEX('AMFI-Mar''25 to Mar''26'!$1:$1048576,MATCH("Total for Active Equity (incl Hybrid)",'AMFI-Mar''25 to Mar''26'!$A:$A,0),_xlpm.col))),""))</f>
        <v/>
      </c>
      <c r="M28" s="551">
        <f t="array" ref="M28">IF($A28="","",IFERROR(_xlfn.LET(_xlpm.lbl,$A28,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Mar''26'!$A$3:$ZS$3),_xlpm.hit,_xlfn._xlws.FILTER(_xlpm.c,ISNUMBER(SEARCH("Repurchase/ Redemption for the month of "&amp;_xlpm.full,_xlpm.h))+ISNUMBER(SEARCH("Repurchase/Redemption for the month of "&amp;_xlpm.full,_xlpm.h))+ISNUMBER(SEARCH("Redemption for the month of "&amp;_xlpm.full,_xlpm.h))),_xlpm.col,IFERROR(INDEX(_xlpm.hit,1),0),IF(_xlpm.col=0,"",INDEX('AMFI-Mar''25 to Mar''26'!$1:$1048576,MATCH("Total for Active Equity (incl Hybrid)",'AMFI-Mar''25 to Mar''26'!$A:$A,0),_xlpm.col))),""))</f>
        <v/>
      </c>
      <c r="N28" s="553">
        <f>IF($I28="","",IFERROR(L28-M28,""))</f>
        <v/>
      </c>
      <c r="P28" s="549">
        <f>IF(OR($A28="",N($B28)=0),"",$A28)</f>
        <v/>
      </c>
      <c r="Q28" s="550">
        <f>IF(OR($A28="",N($B28)=0),"",$B28)</f>
        <v/>
      </c>
    </row>
    <row r="29">
      <c r="A29" s="555">
        <f t="array" ref="A29">_xlfn.LET(_xlpm.m,'AMFI-Mar''25 to Mar''26'!$A$2:$AAG$2,_xlpm.h,'AMFI-Mar''25 to Mar''26'!$A$3:$AAG$3,_xlpm.cond,(_xlpm.m&lt;&gt;"")*(_xlpm.m&lt;&gt;"-")*ISNUMBER(SEARCH("'",_xlpm.m))*ISERROR(SEARCH(" to ",_xlpm.m)),_xlpm.labels,_xlfn._xlws.FILTER(_xlpm.m,_xlpm.cond),_xlpm.hdrs,_xlfn._xlws.FILTER(_xlpm.h,_xlpm.cond),_xlpm.idx,ROW()-ROW($A$28)+1,_xlpm.n,COLUMNS(_xlpm.labels),_xlpm.x,IF(_xlpm.idx&lt;=MIN(13,_xlpm.n),INDEX(_xlpm.labels,1,_xlpm.idx+MAX(0,_xlpm.n-13)),""),_xlpm.hx,IF(_xlpm.idx&lt;=MIN(13,_xlpm.n),INDEX(_xlpm.hdrs,1,_xlpm.idx+MAX(0,_xlpm.n-13)),""),IF(_xlpm.x="","",IF(ISNUMBER(SEARCH("No. of Schemes as on",_xlpm.hx)),LOOKUP(2,1/ISNUMBER(SEARCH({"January","February","March","April","May","June","July","August","September","October","November","December"},_xlpm.hx)),{"Jan","Feb","Mar","Apr","May","Jun","Jul","Aug","Sep","Oct","Nov","Dec"})&amp;"'"&amp;RIGHT(MID(_xlpm.hx,FIND(", ",_xlpm.hx)+2,4),2),_xlpm.x)))</f>
        <v/>
      </c>
      <c r="B29" s="556">
        <f t="array" ref="B29">IF($A29="","",IFERROR(_xlfn.LET(_xlpm.lbl,$A29,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f>
        <v/>
      </c>
      <c r="C29" s="557">
        <f t="array" ref="C29">IF($A29="","",IFERROR(_xlfn.LET(_xlpm.lbl,$A29,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Mar''26'!$A:$A,0),_xlpm.colf+1))),""))</f>
        <v/>
      </c>
      <c r="D29" s="557">
        <f t="array" ref="D29">IF($A29="","",IFERROR(_xlfn.LET(_xlpm.lbl,$A29,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Mar''26'!$A$3:$AAG$3),_xlpm.hit,_xlfn._xlws.FILTER(_xlpm.c,ISNUMBER(SEARCH("Funds Mobilized for the month of "&amp;_xlpm.full,_xlpm.h))),_xlpm.col,IFERROR(INDEX(_xlpm.hit,1),0),IF(_xlpm.col=0,"",INDEX('AMFI-Mar''25 to Mar''26'!$1:$1048576,MATCH("Grand Total",'AMFI-Mar''25 to Mar''26'!$A:$A,0),_xlpm.col))),""))</f>
        <v/>
      </c>
      <c r="E29" s="557">
        <f t="array" ref="E29">IF($A29="","",IFERROR(_xlfn.LET(_xlpm.lbl,$A29,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Mar''26'!$A$3:$AAG$3),_xlpm.hit,_xlfn._xlws.FILTER(_xlpm.c,ISNUMBER(SEARCH("Repurchase/Redemption for the month of "&amp;_xlpm.full,_xlpm.h))+ISNUMBER(SEARCH("Redemption for the month of "&amp;_xlpm.full,_xlpm.h))),_xlpm.col,IFERROR(INDEX(_xlpm.hit,1),0),IF(_xlpm.col=0,"",INDEX('AMFI-Mar''25 to Mar''26'!$1:$1048576,MATCH("Grand Total",'AMFI-Mar''25 to Mar''26'!$A:$A,0),_xlpm.col))),""))</f>
        <v/>
      </c>
      <c r="F29" s="558">
        <f>IF($A29="","",IFERROR(D29-E29,""))</f>
        <v/>
      </c>
      <c r="I29" s="559">
        <f>$A29</f>
        <v/>
      </c>
      <c r="J29" s="556">
        <f t="array" ref="J29">IF($A29="","",IFERROR(_xlfn.LET(_xlpm.lbl,$A29,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f>
        <v/>
      </c>
      <c r="K29" s="557">
        <f t="array" ref="K29">IF($A29="","",IFERROR(_xlfn.LET(_xlpm.lbl,$A29,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Mar''26'!$A:$A,0),_xlpm.col+1))),""))</f>
        <v/>
      </c>
      <c r="L29" s="557">
        <f t="array" ref="L29">IF($A29="","",IFERROR(_xlfn.LET(_xlpm.lbl,$A29,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Mar''26'!$A$3:$ZS$3),_xlpm.hit,_xlfn._xlws.FILTER(_xlpm.c,ISNUMBER(SEARCH("Funds Mobilized for the month of "&amp;_xlpm.full,_xlpm.h))),_xlpm.col,IFERROR(INDEX(_xlpm.hit,1),0),IF(_xlpm.col=0,"",INDEX('AMFI-Mar''25 to Mar''26'!$1:$1048576,MATCH("Total for Active Equity (incl Hybrid)",'AMFI-Mar''25 to Mar''26'!$A:$A,0),_xlpm.col))),""))</f>
        <v/>
      </c>
      <c r="M29" s="557">
        <f t="array" ref="M29">IF($A29="","",IFERROR(_xlfn.LET(_xlpm.lbl,$A29,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Mar''26'!$A$3:$ZS$3),_xlpm.hit,_xlfn._xlws.FILTER(_xlpm.c,ISNUMBER(SEARCH("Repurchase/ Redemption for the month of "&amp;_xlpm.full,_xlpm.h))+ISNUMBER(SEARCH("Repurchase/Redemption for the month of "&amp;_xlpm.full,_xlpm.h))+ISNUMBER(SEARCH("Redemption for the month of "&amp;_xlpm.full,_xlpm.h))),_xlpm.col,IFERROR(INDEX(_xlpm.hit,1),0),IF(_xlpm.col=0,"",INDEX('AMFI-Mar''25 to Mar''26'!$1:$1048576,MATCH("Total for Active Equity (incl Hybrid)",'AMFI-Mar''25 to Mar''26'!$A:$A,0),_xlpm.col))),""))</f>
        <v/>
      </c>
      <c r="N29" s="558">
        <f>IF($I29="","",IFERROR(L29-M29,""))</f>
        <v/>
      </c>
      <c r="P29" s="555">
        <f>IF(OR($A29="",N($B29)=0),"",$A29)</f>
        <v/>
      </c>
      <c r="Q29" s="556">
        <f>IF(OR($A29="",N($B29)=0),"",$B29)</f>
        <v/>
      </c>
    </row>
    <row r="30">
      <c r="A30" s="555">
        <f t="array" ref="A30">_xlfn.LET(_xlpm.m,'AMFI-Mar''25 to Mar''26'!$A$2:$AAG$2,_xlpm.h,'AMFI-Mar''25 to Mar''26'!$A$3:$AAG$3,_xlpm.cond,(_xlpm.m&lt;&gt;"")*(_xlpm.m&lt;&gt;"-")*ISNUMBER(SEARCH("'",_xlpm.m))*ISERROR(SEARCH(" to ",_xlpm.m)),_xlpm.labels,_xlfn._xlws.FILTER(_xlpm.m,_xlpm.cond),_xlpm.hdrs,_xlfn._xlws.FILTER(_xlpm.h,_xlpm.cond),_xlpm.idx,ROW()-ROW($A$28)+1,_xlpm.n,COLUMNS(_xlpm.labels),_xlpm.x,IF(_xlpm.idx&lt;=MIN(13,_xlpm.n),INDEX(_xlpm.labels,1,_xlpm.idx+MAX(0,_xlpm.n-13)),""),_xlpm.hx,IF(_xlpm.idx&lt;=MIN(13,_xlpm.n),INDEX(_xlpm.hdrs,1,_xlpm.idx+MAX(0,_xlpm.n-13)),""),IF(_xlpm.x="","",IF(ISNUMBER(SEARCH("No. of Schemes as on",_xlpm.hx)),LOOKUP(2,1/ISNUMBER(SEARCH({"January","February","March","April","May","June","July","August","September","October","November","December"},_xlpm.hx)),{"Jan","Feb","Mar","Apr","May","Jun","Jul","Aug","Sep","Oct","Nov","Dec"})&amp;"'"&amp;RIGHT(MID(_xlpm.hx,FIND(", ",_xlpm.hx)+2,4),2),_xlpm.x)))</f>
        <v/>
      </c>
      <c r="B30" s="556">
        <f t="array" ref="B30">IF($A30="","",IFERROR(_xlfn.LET(_xlpm.lbl,$A30,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f>
        <v/>
      </c>
      <c r="C30" s="557">
        <f t="array" ref="C30">IF($A30="","",IFERROR(_xlfn.LET(_xlpm.lbl,$A30,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Mar''26'!$A:$A,0),_xlpm.colf+1))),""))</f>
        <v/>
      </c>
      <c r="D30" s="557">
        <f t="array" ref="D30">IF($A30="","",IFERROR(_xlfn.LET(_xlpm.lbl,$A30,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Mar''26'!$A$3:$AAG$3),_xlpm.hit,_xlfn._xlws.FILTER(_xlpm.c,ISNUMBER(SEARCH("Funds Mobilized for the month of "&amp;_xlpm.full,_xlpm.h))),_xlpm.col,IFERROR(INDEX(_xlpm.hit,1),0),IF(_xlpm.col=0,"",INDEX('AMFI-Mar''25 to Mar''26'!$1:$1048576,MATCH("Grand Total",'AMFI-Mar''25 to Mar''26'!$A:$A,0),_xlpm.col))),""))</f>
        <v/>
      </c>
      <c r="E30" s="557">
        <f t="array" ref="E30">IF($A30="","",IFERROR(_xlfn.LET(_xlpm.lbl,$A30,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Mar''26'!$A$3:$AAG$3),_xlpm.hit,_xlfn._xlws.FILTER(_xlpm.c,ISNUMBER(SEARCH("Repurchase/Redemption for the month of "&amp;_xlpm.full,_xlpm.h))+ISNUMBER(SEARCH("Redemption for the month of "&amp;_xlpm.full,_xlpm.h))),_xlpm.col,IFERROR(INDEX(_xlpm.hit,1),0),IF(_xlpm.col=0,"",INDEX('AMFI-Mar''25 to Mar''26'!$1:$1048576,MATCH("Grand Total",'AMFI-Mar''25 to Mar''26'!$A:$A,0),_xlpm.col))),""))</f>
        <v/>
      </c>
      <c r="F30" s="558">
        <f>IF($A30="","",IFERROR(D30-E30,""))</f>
        <v/>
      </c>
      <c r="I30" s="559">
        <f>$A30</f>
        <v/>
      </c>
      <c r="J30" s="556">
        <f t="array" ref="J30">IF($A30="","",IFERROR(_xlfn.LET(_xlpm.lbl,$A30,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f>
        <v/>
      </c>
      <c r="K30" s="557">
        <f t="array" ref="K30">IF($A30="","",IFERROR(_xlfn.LET(_xlpm.lbl,$A30,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Mar''26'!$A:$A,0),_xlpm.col+1))),""))</f>
        <v/>
      </c>
      <c r="L30" s="557">
        <f t="array" ref="L30">IF($A30="","",IFERROR(_xlfn.LET(_xlpm.lbl,$A30,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Mar''26'!$A$3:$ZS$3),_xlpm.hit,_xlfn._xlws.FILTER(_xlpm.c,ISNUMBER(SEARCH("Funds Mobilized for the month of "&amp;_xlpm.full,_xlpm.h))),_xlpm.col,IFERROR(INDEX(_xlpm.hit,1),0),IF(_xlpm.col=0,"",INDEX('AMFI-Mar''25 to Mar''26'!$1:$1048576,MATCH("Total for Active Equity (incl Hybrid)",'AMFI-Mar''25 to Mar''26'!$A:$A,0),_xlpm.col))),""))</f>
        <v/>
      </c>
      <c r="M30" s="557">
        <f t="array" ref="M30">IF($A30="","",IFERROR(_xlfn.LET(_xlpm.lbl,$A30,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Mar''26'!$A$3:$ZS$3),_xlpm.hit,_xlfn._xlws.FILTER(_xlpm.c,ISNUMBER(SEARCH("Repurchase/ Redemption for the month of "&amp;_xlpm.full,_xlpm.h))+ISNUMBER(SEARCH("Repurchase/Redemption for the month of "&amp;_xlpm.full,_xlpm.h))+ISNUMBER(SEARCH("Redemption for the month of "&amp;_xlpm.full,_xlpm.h))),_xlpm.col,IFERROR(INDEX(_xlpm.hit,1),0),IF(_xlpm.col=0,"",INDEX('AMFI-Mar''25 to Mar''26'!$1:$1048576,MATCH("Total for Active Equity (incl Hybrid)",'AMFI-Mar''25 to Mar''26'!$A:$A,0),_xlpm.col))),""))</f>
        <v/>
      </c>
      <c r="N30" s="558">
        <f>IF($I30="","",IFERROR(L30-M30,""))</f>
        <v/>
      </c>
      <c r="P30" s="555">
        <f>IF(OR($A30="",N($B30)=0),"",$A30)</f>
        <v/>
      </c>
      <c r="Q30" s="556">
        <f>IF(OR($A30="",N($B30)=0),"",$B30)</f>
        <v/>
      </c>
    </row>
    <row r="31">
      <c r="A31" s="555">
        <f t="array" ref="A31">_xlfn.LET(_xlpm.m,'AMFI-Mar''25 to Mar''26'!$A$2:$AAG$2,_xlpm.h,'AMFI-Mar''25 to Mar''26'!$A$3:$AAG$3,_xlpm.cond,(_xlpm.m&lt;&gt;"")*(_xlpm.m&lt;&gt;"-")*ISNUMBER(SEARCH("'",_xlpm.m))*ISERROR(SEARCH(" to ",_xlpm.m)),_xlpm.labels,_xlfn._xlws.FILTER(_xlpm.m,_xlpm.cond),_xlpm.hdrs,_xlfn._xlws.FILTER(_xlpm.h,_xlpm.cond),_xlpm.idx,ROW()-ROW($A$28)+1,_xlpm.n,COLUMNS(_xlpm.labels),_xlpm.x,IF(_xlpm.idx&lt;=MIN(13,_xlpm.n),INDEX(_xlpm.labels,1,_xlpm.idx+MAX(0,_xlpm.n-13)),""),_xlpm.hx,IF(_xlpm.idx&lt;=MIN(13,_xlpm.n),INDEX(_xlpm.hdrs,1,_xlpm.idx+MAX(0,_xlpm.n-13)),""),IF(_xlpm.x="","",IF(ISNUMBER(SEARCH("No. of Schemes as on",_xlpm.hx)),LOOKUP(2,1/ISNUMBER(SEARCH({"January","February","March","April","May","June","July","August","September","October","November","December"},_xlpm.hx)),{"Jan","Feb","Mar","Apr","May","Jun","Jul","Aug","Sep","Oct","Nov","Dec"})&amp;"'"&amp;RIGHT(MID(_xlpm.hx,FIND(", ",_xlpm.hx)+2,4),2),_xlpm.x)))</f>
        <v/>
      </c>
      <c r="B31" s="556">
        <f t="array" ref="B31">IF($A31="","",IFERROR(_xlfn.LET(_xlpm.lbl,$A31,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f>
        <v/>
      </c>
      <c r="C31" s="557">
        <f t="array" ref="C31">IF($A31="","",IFERROR(_xlfn.LET(_xlpm.lbl,$A31,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Mar''26'!$A:$A,0),_xlpm.colf+1))),""))</f>
        <v/>
      </c>
      <c r="D31" s="557">
        <f t="array" ref="D31">IF($A31="","",IFERROR(_xlfn.LET(_xlpm.lbl,$A31,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Mar''26'!$A$3:$AAG$3),_xlpm.hit,_xlfn._xlws.FILTER(_xlpm.c,ISNUMBER(SEARCH("Funds Mobilized for the month of "&amp;_xlpm.full,_xlpm.h))),_xlpm.col,IFERROR(INDEX(_xlpm.hit,1),0),IF(_xlpm.col=0,"",INDEX('AMFI-Mar''25 to Mar''26'!$1:$1048576,MATCH("Grand Total",'AMFI-Mar''25 to Mar''26'!$A:$A,0),_xlpm.col))),""))</f>
        <v/>
      </c>
      <c r="E31" s="557">
        <f t="array" ref="E31">IF($A31="","",IFERROR(_xlfn.LET(_xlpm.lbl,$A31,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Mar''26'!$A$3:$AAG$3),_xlpm.hit,_xlfn._xlws.FILTER(_xlpm.c,ISNUMBER(SEARCH("Repurchase/Redemption for the month of "&amp;_xlpm.full,_xlpm.h))+ISNUMBER(SEARCH("Redemption for the month of "&amp;_xlpm.full,_xlpm.h))),_xlpm.col,IFERROR(INDEX(_xlpm.hit,1),0),IF(_xlpm.col=0,"",INDEX('AMFI-Mar''25 to Mar''26'!$1:$1048576,MATCH("Grand Total",'AMFI-Mar''25 to Mar''26'!$A:$A,0),_xlpm.col))),""))</f>
        <v/>
      </c>
      <c r="F31" s="558">
        <f>IF($A31="","",IFERROR(D31-E31,""))</f>
        <v/>
      </c>
      <c r="I31" s="559">
        <f>$A31</f>
        <v/>
      </c>
      <c r="J31" s="556">
        <f t="array" ref="J31">IF($A31="","",IFERROR(_xlfn.LET(_xlpm.lbl,$A31,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f>
        <v/>
      </c>
      <c r="K31" s="557">
        <f t="array" ref="K31">IF($A31="","",IFERROR(_xlfn.LET(_xlpm.lbl,$A31,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Mar''26'!$A:$A,0),_xlpm.col+1))),""))</f>
        <v/>
      </c>
      <c r="L31" s="557">
        <f t="array" ref="L31">IF($A31="","",IFERROR(_xlfn.LET(_xlpm.lbl,$A31,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Mar''26'!$A$3:$ZS$3),_xlpm.hit,_xlfn._xlws.FILTER(_xlpm.c,ISNUMBER(SEARCH("Funds Mobilized for the month of "&amp;_xlpm.full,_xlpm.h))),_xlpm.col,IFERROR(INDEX(_xlpm.hit,1),0),IF(_xlpm.col=0,"",INDEX('AMFI-Mar''25 to Mar''26'!$1:$1048576,MATCH("Total for Active Equity (incl Hybrid)",'AMFI-Mar''25 to Mar''26'!$A:$A,0),_xlpm.col))),""))</f>
        <v/>
      </c>
      <c r="M31" s="557">
        <f t="array" ref="M31">IF($A31="","",IFERROR(_xlfn.LET(_xlpm.lbl,$A31,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Mar''26'!$A$3:$ZS$3),_xlpm.hit,_xlfn._xlws.FILTER(_xlpm.c,ISNUMBER(SEARCH("Repurchase/ Redemption for the month of "&amp;_xlpm.full,_xlpm.h))+ISNUMBER(SEARCH("Repurchase/Redemption for the month of "&amp;_xlpm.full,_xlpm.h))+ISNUMBER(SEARCH("Redemption for the month of "&amp;_xlpm.full,_xlpm.h))),_xlpm.col,IFERROR(INDEX(_xlpm.hit,1),0),IF(_xlpm.col=0,"",INDEX('AMFI-Mar''25 to Mar''26'!$1:$1048576,MATCH("Total for Active Equity (incl Hybrid)",'AMFI-Mar''25 to Mar''26'!$A:$A,0),_xlpm.col))),""))</f>
        <v/>
      </c>
      <c r="N31" s="558">
        <f>IF($I31="","",IFERROR(L31-M31,""))</f>
        <v/>
      </c>
      <c r="P31" s="555">
        <f>IF(OR($A31="",N($B31)=0),"",$A31)</f>
        <v/>
      </c>
      <c r="Q31" s="556">
        <f>IF(OR($A31="",N($B31)=0),"",$B31)</f>
        <v/>
      </c>
    </row>
    <row r="32">
      <c r="A32" s="555">
        <f t="array" ref="A32">_xlfn.LET(_xlpm.m,'AMFI-Mar''25 to Mar''26'!$A$2:$AAG$2,_xlpm.h,'AMFI-Mar''25 to Mar''26'!$A$3:$AAG$3,_xlpm.cond,(_xlpm.m&lt;&gt;"")*(_xlpm.m&lt;&gt;"-")*ISNUMBER(SEARCH("'",_xlpm.m))*ISERROR(SEARCH(" to ",_xlpm.m)),_xlpm.labels,_xlfn._xlws.FILTER(_xlpm.m,_xlpm.cond),_xlpm.hdrs,_xlfn._xlws.FILTER(_xlpm.h,_xlpm.cond),_xlpm.idx,ROW()-ROW($A$28)+1,_xlpm.n,COLUMNS(_xlpm.labels),_xlpm.x,IF(_xlpm.idx&lt;=MIN(13,_xlpm.n),INDEX(_xlpm.labels,1,_xlpm.idx+MAX(0,_xlpm.n-13)),""),_xlpm.hx,IF(_xlpm.idx&lt;=MIN(13,_xlpm.n),INDEX(_xlpm.hdrs,1,_xlpm.idx+MAX(0,_xlpm.n-13)),""),IF(_xlpm.x="","",IF(ISNUMBER(SEARCH("No. of Schemes as on",_xlpm.hx)),LOOKUP(2,1/ISNUMBER(SEARCH({"January","February","March","April","May","June","July","August","September","October","November","December"},_xlpm.hx)),{"Jan","Feb","Mar","Apr","May","Jun","Jul","Aug","Sep","Oct","Nov","Dec"})&amp;"'"&amp;RIGHT(MID(_xlpm.hx,FIND(", ",_xlpm.hx)+2,4),2),_xlpm.x)))</f>
        <v/>
      </c>
      <c r="B32" s="556">
        <f t="array" ref="B32">IF($A32="","",IFERROR(_xlfn.LET(_xlpm.lbl,$A32,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f>
        <v/>
      </c>
      <c r="C32" s="557">
        <f t="array" ref="C32">IF($A32="","",IFERROR(_xlfn.LET(_xlpm.lbl,$A32,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Mar''26'!$A:$A,0),_xlpm.colf+1))),""))</f>
        <v/>
      </c>
      <c r="D32" s="557">
        <f t="array" ref="D32">IF($A32="","",IFERROR(_xlfn.LET(_xlpm.lbl,$A32,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Mar''26'!$A$3:$AAG$3),_xlpm.hit,_xlfn._xlws.FILTER(_xlpm.c,ISNUMBER(SEARCH("Funds Mobilized for the month of "&amp;_xlpm.full,_xlpm.h))),_xlpm.col,IFERROR(INDEX(_xlpm.hit,1),0),IF(_xlpm.col=0,"",INDEX('AMFI-Mar''25 to Mar''26'!$1:$1048576,MATCH("Grand Total",'AMFI-Mar''25 to Mar''26'!$A:$A,0),_xlpm.col))),""))</f>
        <v/>
      </c>
      <c r="E32" s="557">
        <f t="array" ref="E32">IF($A32="","",IFERROR(_xlfn.LET(_xlpm.lbl,$A32,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Mar''26'!$A$3:$AAG$3),_xlpm.hit,_xlfn._xlws.FILTER(_xlpm.c,ISNUMBER(SEARCH("Repurchase/Redemption for the month of "&amp;_xlpm.full,_xlpm.h))+ISNUMBER(SEARCH("Redemption for the month of "&amp;_xlpm.full,_xlpm.h))),_xlpm.col,IFERROR(INDEX(_xlpm.hit,1),0),IF(_xlpm.col=0,"",INDEX('AMFI-Mar''25 to Mar''26'!$1:$1048576,MATCH("Grand Total",'AMFI-Mar''25 to Mar''26'!$A:$A,0),_xlpm.col))),""))</f>
        <v/>
      </c>
      <c r="F32" s="558">
        <f>IF($A32="","",IFERROR(D32-E32,""))</f>
        <v/>
      </c>
      <c r="I32" s="559">
        <f>$A32</f>
        <v/>
      </c>
      <c r="J32" s="556">
        <f t="array" ref="J32">IF($A32="","",IFERROR(_xlfn.LET(_xlpm.lbl,$A32,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f>
        <v/>
      </c>
      <c r="K32" s="557">
        <f t="array" ref="K32">IF($A32="","",IFERROR(_xlfn.LET(_xlpm.lbl,$A32,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Mar''26'!$A:$A,0),_xlpm.col+1))),""))</f>
        <v/>
      </c>
      <c r="L32" s="557">
        <f t="array" ref="L32">IF($A32="","",IFERROR(_xlfn.LET(_xlpm.lbl,$A32,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Mar''26'!$A$3:$ZS$3),_xlpm.hit,_xlfn._xlws.FILTER(_xlpm.c,ISNUMBER(SEARCH("Funds Mobilized for the month of "&amp;_xlpm.full,_xlpm.h))),_xlpm.col,IFERROR(INDEX(_xlpm.hit,1),0),IF(_xlpm.col=0,"",INDEX('AMFI-Mar''25 to Mar''26'!$1:$1048576,MATCH("Total for Active Equity (incl Hybrid)",'AMFI-Mar''25 to Mar''26'!$A:$A,0),_xlpm.col))),""))</f>
        <v/>
      </c>
      <c r="M32" s="557">
        <f t="array" ref="M32">IF($A32="","",IFERROR(_xlfn.LET(_xlpm.lbl,$A32,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Mar''26'!$A$3:$ZS$3),_xlpm.hit,_xlfn._xlws.FILTER(_xlpm.c,ISNUMBER(SEARCH("Repurchase/ Redemption for the month of "&amp;_xlpm.full,_xlpm.h))+ISNUMBER(SEARCH("Repurchase/Redemption for the month of "&amp;_xlpm.full,_xlpm.h))+ISNUMBER(SEARCH("Redemption for the month of "&amp;_xlpm.full,_xlpm.h))),_xlpm.col,IFERROR(INDEX(_xlpm.hit,1),0),IF(_xlpm.col=0,"",INDEX('AMFI-Mar''25 to Mar''26'!$1:$1048576,MATCH("Total for Active Equity (incl Hybrid)",'AMFI-Mar''25 to Mar''26'!$A:$A,0),_xlpm.col))),""))</f>
        <v/>
      </c>
      <c r="N32" s="558">
        <f>IF($I32="","",IFERROR(L32-M32,""))</f>
        <v/>
      </c>
      <c r="P32" s="555">
        <f>IF(OR($A32="",N($B32)=0),"",$A32)</f>
        <v/>
      </c>
      <c r="Q32" s="556">
        <f>IF(OR($A32="",N($B32)=0),"",$B32)</f>
        <v/>
      </c>
    </row>
    <row r="33">
      <c r="A33" s="555">
        <f t="array" ref="A33">_xlfn.LET(_xlpm.m,'AMFI-Mar''25 to Mar''26'!$A$2:$AAG$2,_xlpm.h,'AMFI-Mar''25 to Mar''26'!$A$3:$AAG$3,_xlpm.cond,(_xlpm.m&lt;&gt;"")*(_xlpm.m&lt;&gt;"-")*ISNUMBER(SEARCH("'",_xlpm.m))*ISERROR(SEARCH(" to ",_xlpm.m)),_xlpm.labels,_xlfn._xlws.FILTER(_xlpm.m,_xlpm.cond),_xlpm.hdrs,_xlfn._xlws.FILTER(_xlpm.h,_xlpm.cond),_xlpm.idx,ROW()-ROW($A$28)+1,_xlpm.n,COLUMNS(_xlpm.labels),_xlpm.x,IF(_xlpm.idx&lt;=MIN(13,_xlpm.n),INDEX(_xlpm.labels,1,_xlpm.idx+MAX(0,_xlpm.n-13)),""),_xlpm.hx,IF(_xlpm.idx&lt;=MIN(13,_xlpm.n),INDEX(_xlpm.hdrs,1,_xlpm.idx+MAX(0,_xlpm.n-13)),""),IF(_xlpm.x="","",IF(ISNUMBER(SEARCH("No. of Schemes as on",_xlpm.hx)),LOOKUP(2,1/ISNUMBER(SEARCH({"January","February","March","April","May","June","July","August","September","October","November","December"},_xlpm.hx)),{"Jan","Feb","Mar","Apr","May","Jun","Jul","Aug","Sep","Oct","Nov","Dec"})&amp;"'"&amp;RIGHT(MID(_xlpm.hx,FIND(", ",_xlpm.hx)+2,4),2),_xlpm.x)))</f>
        <v/>
      </c>
      <c r="B33" s="556">
        <f t="array" ref="B33">IF($A33="","",IFERROR(_xlfn.LET(_xlpm.lbl,$A33,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f>
        <v/>
      </c>
      <c r="C33" s="557">
        <f t="array" ref="C33">IF($A33="","",IFERROR(_xlfn.LET(_xlpm.lbl,$A33,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Mar''26'!$A:$A,0),_xlpm.colf+1))),""))</f>
        <v/>
      </c>
      <c r="D33" s="557">
        <f t="array" ref="D33">IF($A33="","",IFERROR(_xlfn.LET(_xlpm.lbl,$A33,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Mar''26'!$A$3:$AAG$3),_xlpm.hit,_xlfn._xlws.FILTER(_xlpm.c,ISNUMBER(SEARCH("Funds Mobilized for the month of "&amp;_xlpm.full,_xlpm.h))),_xlpm.col,IFERROR(INDEX(_xlpm.hit,1),0),IF(_xlpm.col=0,"",INDEX('AMFI-Mar''25 to Mar''26'!$1:$1048576,MATCH("Grand Total",'AMFI-Mar''25 to Mar''26'!$A:$A,0),_xlpm.col))),""))</f>
        <v/>
      </c>
      <c r="E33" s="557">
        <f t="array" ref="E33">IF($A33="","",IFERROR(_xlfn.LET(_xlpm.lbl,$A33,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Mar''26'!$A$3:$AAG$3),_xlpm.hit,_xlfn._xlws.FILTER(_xlpm.c,ISNUMBER(SEARCH("Repurchase/Redemption for the month of "&amp;_xlpm.full,_xlpm.h))+ISNUMBER(SEARCH("Redemption for the month of "&amp;_xlpm.full,_xlpm.h))),_xlpm.col,IFERROR(INDEX(_xlpm.hit,1),0),IF(_xlpm.col=0,"",INDEX('AMFI-Mar''25 to Mar''26'!$1:$1048576,MATCH("Grand Total",'AMFI-Mar''25 to Mar''26'!$A:$A,0),_xlpm.col))),""))</f>
        <v/>
      </c>
      <c r="F33" s="558">
        <f>IF($A33="","",IFERROR(D33-E33,""))</f>
        <v/>
      </c>
      <c r="I33" s="559">
        <f>$A33</f>
        <v/>
      </c>
      <c r="J33" s="556">
        <f t="array" ref="J33">IF($A33="","",IFERROR(_xlfn.LET(_xlpm.lbl,$A33,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f>
        <v/>
      </c>
      <c r="K33" s="557">
        <f t="array" ref="K33">IF($A33="","",IFERROR(_xlfn.LET(_xlpm.lbl,$A33,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Mar''26'!$A:$A,0),_xlpm.col+1))),""))</f>
        <v/>
      </c>
      <c r="L33" s="557">
        <f t="array" ref="L33">IF($A33="","",IFERROR(_xlfn.LET(_xlpm.lbl,$A33,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Mar''26'!$A$3:$ZS$3),_xlpm.hit,_xlfn._xlws.FILTER(_xlpm.c,ISNUMBER(SEARCH("Funds Mobilized for the month of "&amp;_xlpm.full,_xlpm.h))),_xlpm.col,IFERROR(INDEX(_xlpm.hit,1),0),IF(_xlpm.col=0,"",INDEX('AMFI-Mar''25 to Mar''26'!$1:$1048576,MATCH("Total for Active Equity (incl Hybrid)",'AMFI-Mar''25 to Mar''26'!$A:$A,0),_xlpm.col))),""))</f>
        <v/>
      </c>
      <c r="M33" s="557">
        <f t="array" ref="M33">IF($A33="","",IFERROR(_xlfn.LET(_xlpm.lbl,$A33,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Mar''26'!$A$3:$ZS$3),_xlpm.hit,_xlfn._xlws.FILTER(_xlpm.c,ISNUMBER(SEARCH("Repurchase/ Redemption for the month of "&amp;_xlpm.full,_xlpm.h))+ISNUMBER(SEARCH("Repurchase/Redemption for the month of "&amp;_xlpm.full,_xlpm.h))+ISNUMBER(SEARCH("Redemption for the month of "&amp;_xlpm.full,_xlpm.h))),_xlpm.col,IFERROR(INDEX(_xlpm.hit,1),0),IF(_xlpm.col=0,"",INDEX('AMFI-Mar''25 to Mar''26'!$1:$1048576,MATCH("Total for Active Equity (incl Hybrid)",'AMFI-Mar''25 to Mar''26'!$A:$A,0),_xlpm.col))),""))</f>
        <v/>
      </c>
      <c r="N33" s="558">
        <f>IF($I33="","",IFERROR(L33-M33,""))</f>
        <v/>
      </c>
      <c r="P33" s="555">
        <f>IF(OR($A33="",N($B33)=0),"",$A33)</f>
        <v/>
      </c>
      <c r="Q33" s="556">
        <f>IF(OR($A33="",N($B33)=0),"",$B33)</f>
        <v/>
      </c>
    </row>
    <row r="34">
      <c r="A34" s="555">
        <f t="array" ref="A34">_xlfn.LET(_xlpm.m,'AMFI-Mar''25 to Mar''26'!$A$2:$AAG$2,_xlpm.h,'AMFI-Mar''25 to Mar''26'!$A$3:$AAG$3,_xlpm.cond,(_xlpm.m&lt;&gt;"")*(_xlpm.m&lt;&gt;"-")*ISNUMBER(SEARCH("'",_xlpm.m))*ISERROR(SEARCH(" to ",_xlpm.m)),_xlpm.labels,_xlfn._xlws.FILTER(_xlpm.m,_xlpm.cond),_xlpm.hdrs,_xlfn._xlws.FILTER(_xlpm.h,_xlpm.cond),_xlpm.idx,ROW()-ROW($A$28)+1,_xlpm.n,COLUMNS(_xlpm.labels),_xlpm.x,IF(_xlpm.idx&lt;=MIN(13,_xlpm.n),INDEX(_xlpm.labels,1,_xlpm.idx+MAX(0,_xlpm.n-13)),""),_xlpm.hx,IF(_xlpm.idx&lt;=MIN(13,_xlpm.n),INDEX(_xlpm.hdrs,1,_xlpm.idx+MAX(0,_xlpm.n-13)),""),IF(_xlpm.x="","",IF(ISNUMBER(SEARCH("No. of Schemes as on",_xlpm.hx)),LOOKUP(2,1/ISNUMBER(SEARCH({"January","February","March","April","May","June","July","August","September","October","November","December"},_xlpm.hx)),{"Jan","Feb","Mar","Apr","May","Jun","Jul","Aug","Sep","Oct","Nov","Dec"})&amp;"'"&amp;RIGHT(MID(_xlpm.hx,FIND(", ",_xlpm.hx)+2,4),2),_xlpm.x)))</f>
        <v/>
      </c>
      <c r="B34" s="556">
        <f t="array" ref="B34">IF($A34="","",IFERROR(_xlfn.LET(_xlpm.lbl,$A34,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f>
        <v/>
      </c>
      <c r="C34" s="557">
        <f t="array" ref="C34">IF($A34="","",IFERROR(_xlfn.LET(_xlpm.lbl,$A34,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Mar''26'!$A:$A,0),_xlpm.colf+1))),""))</f>
        <v/>
      </c>
      <c r="D34" s="557">
        <f t="array" ref="D34">IF($A34="","",IFERROR(_xlfn.LET(_xlpm.lbl,$A34,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Mar''26'!$A$3:$AAG$3),_xlpm.hit,_xlfn._xlws.FILTER(_xlpm.c,ISNUMBER(SEARCH("Funds Mobilized for the month of "&amp;_xlpm.full,_xlpm.h))),_xlpm.col,IFERROR(INDEX(_xlpm.hit,1),0),IF(_xlpm.col=0,"",INDEX('AMFI-Mar''25 to Mar''26'!$1:$1048576,MATCH("Grand Total",'AMFI-Mar''25 to Mar''26'!$A:$A,0),_xlpm.col))),""))</f>
        <v/>
      </c>
      <c r="E34" s="557">
        <f t="array" ref="E34">IF($A34="","",IFERROR(_xlfn.LET(_xlpm.lbl,$A34,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Mar''26'!$A$3:$AAG$3),_xlpm.hit,_xlfn._xlws.FILTER(_xlpm.c,ISNUMBER(SEARCH("Repurchase/Redemption for the month of "&amp;_xlpm.full,_xlpm.h))+ISNUMBER(SEARCH("Redemption for the month of "&amp;_xlpm.full,_xlpm.h))),_xlpm.col,IFERROR(INDEX(_xlpm.hit,1),0),IF(_xlpm.col=0,"",INDEX('AMFI-Mar''25 to Mar''26'!$1:$1048576,MATCH("Grand Total",'AMFI-Mar''25 to Mar''26'!$A:$A,0),_xlpm.col))),""))</f>
        <v/>
      </c>
      <c r="F34" s="558">
        <f>IF($A34="","",IFERROR(D34-E34,""))</f>
        <v/>
      </c>
      <c r="I34" s="559">
        <f>$A34</f>
        <v/>
      </c>
      <c r="J34" s="556">
        <f t="array" ref="J34">IF($A34="","",IFERROR(_xlfn.LET(_xlpm.lbl,$A34,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f>
        <v/>
      </c>
      <c r="K34" s="557">
        <f t="array" ref="K34">IF($A34="","",IFERROR(_xlfn.LET(_xlpm.lbl,$A34,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Mar''26'!$A:$A,0),_xlpm.col+1))),""))</f>
        <v/>
      </c>
      <c r="L34" s="557">
        <f t="array" ref="L34">IF($A34="","",IFERROR(_xlfn.LET(_xlpm.lbl,$A34,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Mar''26'!$A$3:$ZS$3),_xlpm.hit,_xlfn._xlws.FILTER(_xlpm.c,ISNUMBER(SEARCH("Funds Mobilized for the month of "&amp;_xlpm.full,_xlpm.h))),_xlpm.col,IFERROR(INDEX(_xlpm.hit,1),0),IF(_xlpm.col=0,"",INDEX('AMFI-Mar''25 to Mar''26'!$1:$1048576,MATCH("Total for Active Equity (incl Hybrid)",'AMFI-Mar''25 to Mar''26'!$A:$A,0),_xlpm.col))),""))</f>
        <v/>
      </c>
      <c r="M34" s="557">
        <f t="array" ref="M34">IF($A34="","",IFERROR(_xlfn.LET(_xlpm.lbl,$A34,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Mar''26'!$A$3:$ZS$3),_xlpm.hit,_xlfn._xlws.FILTER(_xlpm.c,ISNUMBER(SEARCH("Repurchase/ Redemption for the month of "&amp;_xlpm.full,_xlpm.h))+ISNUMBER(SEARCH("Repurchase/Redemption for the month of "&amp;_xlpm.full,_xlpm.h))+ISNUMBER(SEARCH("Redemption for the month of "&amp;_xlpm.full,_xlpm.h))),_xlpm.col,IFERROR(INDEX(_xlpm.hit,1),0),IF(_xlpm.col=0,"",INDEX('AMFI-Mar''25 to Mar''26'!$1:$1048576,MATCH("Total for Active Equity (incl Hybrid)",'AMFI-Mar''25 to Mar''26'!$A:$A,0),_xlpm.col))),""))</f>
        <v/>
      </c>
      <c r="N34" s="558">
        <f>IF($I34="","",IFERROR(L34-M34,""))</f>
        <v/>
      </c>
      <c r="P34" s="555">
        <f>IF(OR($A34="",N($B34)=0),"",$A34)</f>
        <v/>
      </c>
      <c r="Q34" s="556">
        <f>IF(OR($A34="",N($B34)=0),"",$B34)</f>
        <v/>
      </c>
    </row>
    <row r="35">
      <c r="A35" s="555">
        <f t="array" ref="A35">_xlfn.LET(_xlpm.m,'AMFI-Mar''25 to Mar''26'!$A$2:$AAG$2,_xlpm.h,'AMFI-Mar''25 to Mar''26'!$A$3:$AAG$3,_xlpm.cond,(_xlpm.m&lt;&gt;"")*(_xlpm.m&lt;&gt;"-")*ISNUMBER(SEARCH("'",_xlpm.m))*ISERROR(SEARCH(" to ",_xlpm.m)),_xlpm.labels,_xlfn._xlws.FILTER(_xlpm.m,_xlpm.cond),_xlpm.hdrs,_xlfn._xlws.FILTER(_xlpm.h,_xlpm.cond),_xlpm.idx,ROW()-ROW($A$28)+1,_xlpm.n,COLUMNS(_xlpm.labels),_xlpm.x,IF(_xlpm.idx&lt;=MIN(13,_xlpm.n),INDEX(_xlpm.labels,1,_xlpm.idx+MAX(0,_xlpm.n-13)),""),_xlpm.hx,IF(_xlpm.idx&lt;=MIN(13,_xlpm.n),INDEX(_xlpm.hdrs,1,_xlpm.idx+MAX(0,_xlpm.n-13)),""),IF(_xlpm.x="","",IF(ISNUMBER(SEARCH("No. of Schemes as on",_xlpm.hx)),LOOKUP(2,1/ISNUMBER(SEARCH({"January","February","March","April","May","June","July","August","September","October","November","December"},_xlpm.hx)),{"Jan","Feb","Mar","Apr","May","Jun","Jul","Aug","Sep","Oct","Nov","Dec"})&amp;"'"&amp;RIGHT(MID(_xlpm.hx,FIND(", ",_xlpm.hx)+2,4),2),_xlpm.x)))</f>
        <v/>
      </c>
      <c r="B35" s="556">
        <f t="array" ref="B35">IF($A35="","",IFERROR(_xlfn.LET(_xlpm.lbl,$A35,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f>
        <v/>
      </c>
      <c r="C35" s="557">
        <f t="array" ref="C35">IF($A35="","",IFERROR(_xlfn.LET(_xlpm.lbl,$A35,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Mar''26'!$A:$A,0),_xlpm.colf+1))),""))</f>
        <v/>
      </c>
      <c r="D35" s="557">
        <f t="array" ref="D35">IF($A35="","",IFERROR(_xlfn.LET(_xlpm.lbl,$A35,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Mar''26'!$A$3:$AAG$3),_xlpm.hit,_xlfn._xlws.FILTER(_xlpm.c,ISNUMBER(SEARCH("Funds Mobilized for the month of "&amp;_xlpm.full,_xlpm.h))),_xlpm.col,IFERROR(INDEX(_xlpm.hit,1),0),IF(_xlpm.col=0,"",INDEX('AMFI-Mar''25 to Mar''26'!$1:$1048576,MATCH("Grand Total",'AMFI-Mar''25 to Mar''26'!$A:$A,0),_xlpm.col))),""))</f>
        <v/>
      </c>
      <c r="E35" s="557">
        <f t="array" ref="E35">IF($A35="","",IFERROR(_xlfn.LET(_xlpm.lbl,$A35,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Mar''26'!$A$3:$AAG$3),_xlpm.hit,_xlfn._xlws.FILTER(_xlpm.c,ISNUMBER(SEARCH("Repurchase/Redemption for the month of "&amp;_xlpm.full,_xlpm.h))+ISNUMBER(SEARCH("Redemption for the month of "&amp;_xlpm.full,_xlpm.h))),_xlpm.col,IFERROR(INDEX(_xlpm.hit,1),0),IF(_xlpm.col=0,"",INDEX('AMFI-Mar''25 to Mar''26'!$1:$1048576,MATCH("Grand Total",'AMFI-Mar''25 to Mar''26'!$A:$A,0),_xlpm.col))),""))</f>
        <v/>
      </c>
      <c r="F35" s="558">
        <f>IF($A35="","",IFERROR(D35-E35,""))</f>
        <v/>
      </c>
      <c r="I35" s="559">
        <f>$A35</f>
        <v/>
      </c>
      <c r="J35" s="556">
        <f t="array" ref="J35">IF($A35="","",IFERROR(_xlfn.LET(_xlpm.lbl,$A35,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f>
        <v/>
      </c>
      <c r="K35" s="557">
        <f t="array" ref="K35">IF($A35="","",IFERROR(_xlfn.LET(_xlpm.lbl,$A35,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Mar''26'!$A:$A,0),_xlpm.col+1))),""))</f>
        <v/>
      </c>
      <c r="L35" s="557">
        <f t="array" ref="L35">IF($A35="","",IFERROR(_xlfn.LET(_xlpm.lbl,$A35,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Mar''26'!$A$3:$ZS$3),_xlpm.hit,_xlfn._xlws.FILTER(_xlpm.c,ISNUMBER(SEARCH("Funds Mobilized for the month of "&amp;_xlpm.full,_xlpm.h))),_xlpm.col,IFERROR(INDEX(_xlpm.hit,1),0),IF(_xlpm.col=0,"",INDEX('AMFI-Mar''25 to Mar''26'!$1:$1048576,MATCH("Total for Active Equity (incl Hybrid)",'AMFI-Mar''25 to Mar''26'!$A:$A,0),_xlpm.col))),""))</f>
        <v/>
      </c>
      <c r="M35" s="557">
        <f t="array" ref="M35">IF($A35="","",IFERROR(_xlfn.LET(_xlpm.lbl,$A35,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Mar''26'!$A$3:$ZS$3),_xlpm.hit,_xlfn._xlws.FILTER(_xlpm.c,ISNUMBER(SEARCH("Repurchase/ Redemption for the month of "&amp;_xlpm.full,_xlpm.h))+ISNUMBER(SEARCH("Repurchase/Redemption for the month of "&amp;_xlpm.full,_xlpm.h))+ISNUMBER(SEARCH("Redemption for the month of "&amp;_xlpm.full,_xlpm.h))),_xlpm.col,IFERROR(INDEX(_xlpm.hit,1),0),IF(_xlpm.col=0,"",INDEX('AMFI-Mar''25 to Mar''26'!$1:$1048576,MATCH("Total for Active Equity (incl Hybrid)",'AMFI-Mar''25 to Mar''26'!$A:$A,0),_xlpm.col))),""))</f>
        <v/>
      </c>
      <c r="N35" s="558">
        <f>IF($I35="","",IFERROR(L35-M35,""))</f>
        <v/>
      </c>
      <c r="P35" s="555">
        <f>IF(OR($A35="",N($B35)=0),"",$A35)</f>
        <v/>
      </c>
      <c r="Q35" s="556">
        <f>IF(OR($A35="",N($B35)=0),"",$B35)</f>
        <v/>
      </c>
    </row>
    <row r="36">
      <c r="A36" s="555">
        <f t="array" ref="A36">_xlfn.LET(_xlpm.m,'AMFI-Mar''25 to Mar''26'!$A$2:$AAG$2,_xlpm.h,'AMFI-Mar''25 to Mar''26'!$A$3:$AAG$3,_xlpm.cond,(_xlpm.m&lt;&gt;"")*(_xlpm.m&lt;&gt;"-")*ISNUMBER(SEARCH("'",_xlpm.m))*ISERROR(SEARCH(" to ",_xlpm.m)),_xlpm.labels,_xlfn._xlws.FILTER(_xlpm.m,_xlpm.cond),_xlpm.hdrs,_xlfn._xlws.FILTER(_xlpm.h,_xlpm.cond),_xlpm.idx,ROW()-ROW($A$28)+1,_xlpm.n,COLUMNS(_xlpm.labels),_xlpm.x,IF(_xlpm.idx&lt;=MIN(13,_xlpm.n),INDEX(_xlpm.labels,1,_xlpm.idx+MAX(0,_xlpm.n-13)),""),_xlpm.hx,IF(_xlpm.idx&lt;=MIN(13,_xlpm.n),INDEX(_xlpm.hdrs,1,_xlpm.idx+MAX(0,_xlpm.n-13)),""),IF(_xlpm.x="","",IF(ISNUMBER(SEARCH("No. of Schemes as on",_xlpm.hx)),LOOKUP(2,1/ISNUMBER(SEARCH({"January","February","March","April","May","June","July","August","September","October","November","December"},_xlpm.hx)),{"Jan","Feb","Mar","Apr","May","Jun","Jul","Aug","Sep","Oct","Nov","Dec"})&amp;"'"&amp;RIGHT(MID(_xlpm.hx,FIND(", ",_xlpm.hx)+2,4),2),_xlpm.x)))</f>
        <v/>
      </c>
      <c r="B36" s="556">
        <f t="array" ref="B36">IF($A36="","",IFERROR(_xlfn.LET(_xlpm.lbl,$A36,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f>
        <v/>
      </c>
      <c r="C36" s="557">
        <f t="array" ref="C36">IF($A36="","",IFERROR(_xlfn.LET(_xlpm.lbl,$A36,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Mar''26'!$A:$A,0),_xlpm.colf+1))),""))</f>
        <v/>
      </c>
      <c r="D36" s="557">
        <f t="array" ref="D36">IF($A36="","",IFERROR(_xlfn.LET(_xlpm.lbl,$A36,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Mar''26'!$A$3:$AAG$3),_xlpm.hit,_xlfn._xlws.FILTER(_xlpm.c,ISNUMBER(SEARCH("Funds Mobilized for the month of "&amp;_xlpm.full,_xlpm.h))),_xlpm.col,IFERROR(INDEX(_xlpm.hit,1),0),IF(_xlpm.col=0,"",INDEX('AMFI-Mar''25 to Mar''26'!$1:$1048576,MATCH("Grand Total",'AMFI-Mar''25 to Mar''26'!$A:$A,0),_xlpm.col))),""))</f>
        <v/>
      </c>
      <c r="E36" s="557">
        <f t="array" ref="E36">IF($A36="","",IFERROR(_xlfn.LET(_xlpm.lbl,$A36,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Mar''26'!$A$3:$AAG$3),_xlpm.hit,_xlfn._xlws.FILTER(_xlpm.c,ISNUMBER(SEARCH("Repurchase/Redemption for the month of "&amp;_xlpm.full,_xlpm.h))+ISNUMBER(SEARCH("Redemption for the month of "&amp;_xlpm.full,_xlpm.h))),_xlpm.col,IFERROR(INDEX(_xlpm.hit,1),0),IF(_xlpm.col=0,"",INDEX('AMFI-Mar''25 to Mar''26'!$1:$1048576,MATCH("Grand Total",'AMFI-Mar''25 to Mar''26'!$A:$A,0),_xlpm.col))),""))</f>
        <v/>
      </c>
      <c r="F36" s="558">
        <f>IF($A36="","",IFERROR(D36-E36,""))</f>
        <v/>
      </c>
      <c r="I36" s="559">
        <f>$A36</f>
        <v/>
      </c>
      <c r="J36" s="556">
        <f t="array" ref="J36">IF($A36="","",IFERROR(_xlfn.LET(_xlpm.lbl,$A36,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f>
        <v/>
      </c>
      <c r="K36" s="557">
        <f t="array" ref="K36">IF($A36="","",IFERROR(_xlfn.LET(_xlpm.lbl,$A36,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Mar''26'!$A:$A,0),_xlpm.col+1))),""))</f>
        <v/>
      </c>
      <c r="L36" s="557">
        <f t="array" ref="L36">IF($A36="","",IFERROR(_xlfn.LET(_xlpm.lbl,$A36,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Mar''26'!$A$3:$ZS$3),_xlpm.hit,_xlfn._xlws.FILTER(_xlpm.c,ISNUMBER(SEARCH("Funds Mobilized for the month of "&amp;_xlpm.full,_xlpm.h))),_xlpm.col,IFERROR(INDEX(_xlpm.hit,1),0),IF(_xlpm.col=0,"",INDEX('AMFI-Mar''25 to Mar''26'!$1:$1048576,MATCH("Total for Active Equity (incl Hybrid)",'AMFI-Mar''25 to Mar''26'!$A:$A,0),_xlpm.col))),""))</f>
        <v/>
      </c>
      <c r="M36" s="557">
        <f t="array" ref="M36">IF($A36="","",IFERROR(_xlfn.LET(_xlpm.lbl,$A36,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Mar''26'!$A$3:$ZS$3),_xlpm.hit,_xlfn._xlws.FILTER(_xlpm.c,ISNUMBER(SEARCH("Repurchase/ Redemption for the month of "&amp;_xlpm.full,_xlpm.h))+ISNUMBER(SEARCH("Repurchase/Redemption for the month of "&amp;_xlpm.full,_xlpm.h))+ISNUMBER(SEARCH("Redemption for the month of "&amp;_xlpm.full,_xlpm.h))),_xlpm.col,IFERROR(INDEX(_xlpm.hit,1),0),IF(_xlpm.col=0,"",INDEX('AMFI-Mar''25 to Mar''26'!$1:$1048576,MATCH("Total for Active Equity (incl Hybrid)",'AMFI-Mar''25 to Mar''26'!$A:$A,0),_xlpm.col))),""))</f>
        <v/>
      </c>
      <c r="N36" s="558">
        <f>IF($I36="","",IFERROR(L36-M36,""))</f>
        <v/>
      </c>
      <c r="P36" s="555">
        <f>IF(OR($A36="",N($B36)=0),"",$A36)</f>
        <v/>
      </c>
      <c r="Q36" s="556">
        <f>IF(OR($A36="",N($B36)=0),"",$B36)</f>
        <v/>
      </c>
    </row>
    <row r="37">
      <c r="A37" s="555">
        <f t="array" ref="A37">_xlfn.LET(_xlpm.m,'AMFI-Mar''25 to Mar''26'!$A$2:$AAG$2,_xlpm.h,'AMFI-Mar''25 to Mar''26'!$A$3:$AAG$3,_xlpm.cond,(_xlpm.m&lt;&gt;"")*(_xlpm.m&lt;&gt;"-")*ISNUMBER(SEARCH("'",_xlpm.m))*ISERROR(SEARCH(" to ",_xlpm.m)),_xlpm.labels,_xlfn._xlws.FILTER(_xlpm.m,_xlpm.cond),_xlpm.hdrs,_xlfn._xlws.FILTER(_xlpm.h,_xlpm.cond),_xlpm.idx,ROW()-ROW($A$28)+1,_xlpm.n,COLUMNS(_xlpm.labels),_xlpm.x,IF(_xlpm.idx&lt;=MIN(13,_xlpm.n),INDEX(_xlpm.labels,1,_xlpm.idx+MAX(0,_xlpm.n-13)),""),_xlpm.hx,IF(_xlpm.idx&lt;=MIN(13,_xlpm.n),INDEX(_xlpm.hdrs,1,_xlpm.idx+MAX(0,_xlpm.n-13)),""),IF(_xlpm.x="","",IF(ISNUMBER(SEARCH("No. of Schemes as on",_xlpm.hx)),LOOKUP(2,1/ISNUMBER(SEARCH({"January","February","March","April","May","June","July","August","September","October","November","December"},_xlpm.hx)),{"Jan","Feb","Mar","Apr","May","Jun","Jul","Aug","Sep","Oct","Nov","Dec"})&amp;"'"&amp;RIGHT(MID(_xlpm.hx,FIND(", ",_xlpm.hx)+2,4),2),_xlpm.x)))</f>
        <v/>
      </c>
      <c r="B37" s="556">
        <f t="array" ref="B37">IF($A37="","",IFERROR(_xlfn.LET(_xlpm.lbl,$A37,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f>
        <v/>
      </c>
      <c r="C37" s="557">
        <f t="array" ref="C37">IF($A37="","",IFERROR(_xlfn.LET(_xlpm.lbl,$A37,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Mar''26'!$A:$A,0),_xlpm.colf+1))),""))</f>
        <v/>
      </c>
      <c r="D37" s="557">
        <f t="array" ref="D37">IF($A37="","",IFERROR(_xlfn.LET(_xlpm.lbl,$A37,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Mar''26'!$A$3:$AAG$3),_xlpm.hit,_xlfn._xlws.FILTER(_xlpm.c,ISNUMBER(SEARCH("Funds Mobilized for the month of "&amp;_xlpm.full,_xlpm.h))),_xlpm.col,IFERROR(INDEX(_xlpm.hit,1),0),IF(_xlpm.col=0,"",INDEX('AMFI-Mar''25 to Mar''26'!$1:$1048576,MATCH("Grand Total",'AMFI-Mar''25 to Mar''26'!$A:$A,0),_xlpm.col))),""))</f>
        <v/>
      </c>
      <c r="E37" s="557">
        <f t="array" ref="E37">IF($A37="","",IFERROR(_xlfn.LET(_xlpm.lbl,$A37,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Mar''26'!$A$3:$AAG$3),_xlpm.hit,_xlfn._xlws.FILTER(_xlpm.c,ISNUMBER(SEARCH("Repurchase/Redemption for the month of "&amp;_xlpm.full,_xlpm.h))+ISNUMBER(SEARCH("Redemption for the month of "&amp;_xlpm.full,_xlpm.h))),_xlpm.col,IFERROR(INDEX(_xlpm.hit,1),0),IF(_xlpm.col=0,"",INDEX('AMFI-Mar''25 to Mar''26'!$1:$1048576,MATCH("Grand Total",'AMFI-Mar''25 to Mar''26'!$A:$A,0),_xlpm.col))),""))</f>
        <v/>
      </c>
      <c r="F37" s="558">
        <f>IF($A37="","",IFERROR(D37-E37,""))</f>
        <v/>
      </c>
      <c r="I37" s="559">
        <f>$A37</f>
        <v/>
      </c>
      <c r="J37" s="556">
        <f t="array" ref="J37">IF($A37="","",IFERROR(_xlfn.LET(_xlpm.lbl,$A37,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f>
        <v/>
      </c>
      <c r="K37" s="557">
        <f t="array" ref="K37">IF($A37="","",IFERROR(_xlfn.LET(_xlpm.lbl,$A37,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Mar''26'!$A:$A,0),_xlpm.col+1))),""))</f>
        <v/>
      </c>
      <c r="L37" s="557">
        <f t="array" ref="L37">IF($A37="","",IFERROR(_xlfn.LET(_xlpm.lbl,$A37,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Mar''26'!$A$3:$ZS$3),_xlpm.hit,_xlfn._xlws.FILTER(_xlpm.c,ISNUMBER(SEARCH("Funds Mobilized for the month of "&amp;_xlpm.full,_xlpm.h))),_xlpm.col,IFERROR(INDEX(_xlpm.hit,1),0),IF(_xlpm.col=0,"",INDEX('AMFI-Mar''25 to Mar''26'!$1:$1048576,MATCH("Total for Active Equity (incl Hybrid)",'AMFI-Mar''25 to Mar''26'!$A:$A,0),_xlpm.col))),""))</f>
        <v/>
      </c>
      <c r="M37" s="557">
        <f t="array" ref="M37">IF($A37="","",IFERROR(_xlfn.LET(_xlpm.lbl,$A37,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Mar''26'!$A$3:$ZS$3),_xlpm.hit,_xlfn._xlws.FILTER(_xlpm.c,ISNUMBER(SEARCH("Repurchase/ Redemption for the month of "&amp;_xlpm.full,_xlpm.h))+ISNUMBER(SEARCH("Repurchase/Redemption for the month of "&amp;_xlpm.full,_xlpm.h))+ISNUMBER(SEARCH("Redemption for the month of "&amp;_xlpm.full,_xlpm.h))),_xlpm.col,IFERROR(INDEX(_xlpm.hit,1),0),IF(_xlpm.col=0,"",INDEX('AMFI-Mar''25 to Mar''26'!$1:$1048576,MATCH("Total for Active Equity (incl Hybrid)",'AMFI-Mar''25 to Mar''26'!$A:$A,0),_xlpm.col))),""))</f>
        <v/>
      </c>
      <c r="N37" s="558">
        <f>IF($I37="","",IFERROR(L37-M37,""))</f>
        <v/>
      </c>
      <c r="P37" s="555">
        <f>IF(OR($A37="",N($B37)=0),"",$A37)</f>
        <v/>
      </c>
      <c r="Q37" s="556">
        <f>IF(OR($A37="",N($B37)=0),"",$B37)</f>
        <v/>
      </c>
    </row>
    <row r="38">
      <c r="A38" s="555">
        <f t="array" ref="A38">_xlfn.LET(_xlpm.m,'AMFI-Mar''25 to Mar''26'!$A$2:$AAG$2,_xlpm.h,'AMFI-Mar''25 to Mar''26'!$A$3:$AAG$3,_xlpm.cond,(_xlpm.m&lt;&gt;"")*(_xlpm.m&lt;&gt;"-")*ISNUMBER(SEARCH("'",_xlpm.m))*ISERROR(SEARCH(" to ",_xlpm.m)),_xlpm.labels,_xlfn._xlws.FILTER(_xlpm.m,_xlpm.cond),_xlpm.hdrs,_xlfn._xlws.FILTER(_xlpm.h,_xlpm.cond),_xlpm.idx,ROW()-ROW($A$28)+1,_xlpm.n,COLUMNS(_xlpm.labels),_xlpm.x,IF(_xlpm.idx&lt;=MIN(13,_xlpm.n),INDEX(_xlpm.labels,1,_xlpm.idx+MAX(0,_xlpm.n-13)),""),_xlpm.hx,IF(_xlpm.idx&lt;=MIN(13,_xlpm.n),INDEX(_xlpm.hdrs,1,_xlpm.idx+MAX(0,_xlpm.n-13)),""),IF(_xlpm.x="","",IF(ISNUMBER(SEARCH("No. of Schemes as on",_xlpm.hx)),LOOKUP(2,1/ISNUMBER(SEARCH({"January","February","March","April","May","June","July","August","September","October","November","December"},_xlpm.hx)),{"Jan","Feb","Mar","Apr","May","Jun","Jul","Aug","Sep","Oct","Nov","Dec"})&amp;"'"&amp;RIGHT(MID(_xlpm.hx,FIND(", ",_xlpm.hx)+2,4),2),_xlpm.x)))</f>
        <v/>
      </c>
      <c r="B38" s="556">
        <f t="array" ref="B38">IF($A38="","",IFERROR(_xlfn.LET(_xlpm.lbl,$A38,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f>
        <v/>
      </c>
      <c r="C38" s="557">
        <f t="array" ref="C38">IF($A38="","",IFERROR(_xlfn.LET(_xlpm.lbl,$A38,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Mar''26'!$A:$A,0),_xlpm.colf+1))),""))</f>
        <v/>
      </c>
      <c r="D38" s="557">
        <f t="array" ref="D38">IF($A38="","",IFERROR(_xlfn.LET(_xlpm.lbl,$A38,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Mar''26'!$A$3:$AAG$3),_xlpm.hit,_xlfn._xlws.FILTER(_xlpm.c,ISNUMBER(SEARCH("Funds Mobilized for the month of "&amp;_xlpm.full,_xlpm.h))),_xlpm.col,IFERROR(INDEX(_xlpm.hit,1),0),IF(_xlpm.col=0,"",INDEX('AMFI-Mar''25 to Mar''26'!$1:$1048576,MATCH("Grand Total",'AMFI-Mar''25 to Mar''26'!$A:$A,0),_xlpm.col))),""))</f>
        <v/>
      </c>
      <c r="E38" s="557">
        <f t="array" ref="E38">IF($A38="","",IFERROR(_xlfn.LET(_xlpm.lbl,$A38,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Mar''26'!$A$3:$AAG$3),_xlpm.hit,_xlfn._xlws.FILTER(_xlpm.c,ISNUMBER(SEARCH("Repurchase/Redemption for the month of "&amp;_xlpm.full,_xlpm.h))+ISNUMBER(SEARCH("Redemption for the month of "&amp;_xlpm.full,_xlpm.h))),_xlpm.col,IFERROR(INDEX(_xlpm.hit,1),0),IF(_xlpm.col=0,"",INDEX('AMFI-Mar''25 to Mar''26'!$1:$1048576,MATCH("Grand Total",'AMFI-Mar''25 to Mar''26'!$A:$A,0),_xlpm.col))),""))</f>
        <v/>
      </c>
      <c r="F38" s="558">
        <f>IF($A38="","",IFERROR(D38-E38,""))</f>
        <v/>
      </c>
      <c r="I38" s="559">
        <f>$A38</f>
        <v/>
      </c>
      <c r="J38" s="556">
        <f t="array" ref="J38">IF($A38="","",IFERROR(_xlfn.LET(_xlpm.lbl,$A38,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f>
        <v/>
      </c>
      <c r="K38" s="557">
        <f t="array" ref="K38">IF($A38="","",IFERROR(_xlfn.LET(_xlpm.lbl,$A38,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Mar''26'!$A:$A,0),_xlpm.col+1))),""))</f>
        <v/>
      </c>
      <c r="L38" s="557">
        <f t="array" ref="L38">IF($A38="","",IFERROR(_xlfn.LET(_xlpm.lbl,$A38,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Mar''26'!$A$3:$ZS$3),_xlpm.hit,_xlfn._xlws.FILTER(_xlpm.c,ISNUMBER(SEARCH("Funds Mobilized for the month of "&amp;_xlpm.full,_xlpm.h))),_xlpm.col,IFERROR(INDEX(_xlpm.hit,1),0),IF(_xlpm.col=0,"",INDEX('AMFI-Mar''25 to Mar''26'!$1:$1048576,MATCH("Total for Active Equity (incl Hybrid)",'AMFI-Mar''25 to Mar''26'!$A:$A,0),_xlpm.col))),""))</f>
        <v/>
      </c>
      <c r="M38" s="557">
        <f t="array" ref="M38">IF($A38="","",IFERROR(_xlfn.LET(_xlpm.lbl,$A38,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Mar''26'!$A$3:$ZS$3),_xlpm.hit,_xlfn._xlws.FILTER(_xlpm.c,ISNUMBER(SEARCH("Repurchase/ Redemption for the month of "&amp;_xlpm.full,_xlpm.h))+ISNUMBER(SEARCH("Repurchase/Redemption for the month of "&amp;_xlpm.full,_xlpm.h))+ISNUMBER(SEARCH("Redemption for the month of "&amp;_xlpm.full,_xlpm.h))),_xlpm.col,IFERROR(INDEX(_xlpm.hit,1),0),IF(_xlpm.col=0,"",INDEX('AMFI-Mar''25 to Mar''26'!$1:$1048576,MATCH("Total for Active Equity (incl Hybrid)",'AMFI-Mar''25 to Mar''26'!$A:$A,0),_xlpm.col))),""))</f>
        <v/>
      </c>
      <c r="N38" s="558">
        <f>IF($I38="","",IFERROR(L38-M38,""))</f>
        <v/>
      </c>
      <c r="P38" s="555">
        <f>IF(OR($A38="",N($B38)=0),"",$A38)</f>
        <v/>
      </c>
      <c r="Q38" s="556">
        <f>IF(OR($A38="",N($B38)=0),"",$B38)</f>
        <v/>
      </c>
    </row>
    <row r="39">
      <c r="A39" s="555">
        <f t="array" ref="A39">_xlfn.LET(_xlpm.m,'AMFI-Mar''25 to Mar''26'!$A$2:$AAG$2,_xlpm.h,'AMFI-Mar''25 to Mar''26'!$A$3:$AAG$3,_xlpm.cond,(_xlpm.m&lt;&gt;"")*(_xlpm.m&lt;&gt;"-")*ISNUMBER(SEARCH("'",_xlpm.m))*ISERROR(SEARCH(" to ",_xlpm.m)),_xlpm.labels,_xlfn._xlws.FILTER(_xlpm.m,_xlpm.cond),_xlpm.hdrs,_xlfn._xlws.FILTER(_xlpm.h,_xlpm.cond),_xlpm.idx,ROW()-ROW($A$28)+1,_xlpm.n,COLUMNS(_xlpm.labels),_xlpm.x,IF(_xlpm.idx&lt;=MIN(13,_xlpm.n),INDEX(_xlpm.labels,1,_xlpm.idx+MAX(0,_xlpm.n-13)),""),_xlpm.hx,IF(_xlpm.idx&lt;=MIN(13,_xlpm.n),INDEX(_xlpm.hdrs,1,_xlpm.idx+MAX(0,_xlpm.n-13)),""),IF(_xlpm.x="","",IF(ISNUMBER(SEARCH("No. of Schemes as on",_xlpm.hx)),LOOKUP(2,1/ISNUMBER(SEARCH({"January","February","March","April","May","June","July","August","September","October","November","December"},_xlpm.hx)),{"Jan","Feb","Mar","Apr","May","Jun","Jul","Aug","Sep","Oct","Nov","Dec"})&amp;"'"&amp;RIGHT(MID(_xlpm.hx,FIND(", ",_xlpm.hx)+2,4),2),_xlpm.x)))</f>
        <v/>
      </c>
      <c r="B39" s="556">
        <f t="array" ref="B39">IF($A39="","",IFERROR(_xlfn.LET(_xlpm.lbl,$A39,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f>
        <v/>
      </c>
      <c r="C39" s="557">
        <f t="array" ref="C39">IF($A39="","",IFERROR(_xlfn.LET(_xlpm.lbl,$A39,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Mar''26'!$A:$A,0),_xlpm.colf+1))),""))</f>
        <v/>
      </c>
      <c r="D39" s="557">
        <f t="array" ref="D39">IF($A39="","",IFERROR(_xlfn.LET(_xlpm.lbl,$A39,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Mar''26'!$A$3:$AAG$3),_xlpm.hit,_xlfn._xlws.FILTER(_xlpm.c,ISNUMBER(SEARCH("Funds Mobilized for the month of "&amp;_xlpm.full,_xlpm.h))),_xlpm.col,IFERROR(INDEX(_xlpm.hit,1),0),IF(_xlpm.col=0,"",INDEX('AMFI-Mar''25 to Mar''26'!$1:$1048576,MATCH("Grand Total",'AMFI-Mar''25 to Mar''26'!$A:$A,0),_xlpm.col))),""))</f>
        <v/>
      </c>
      <c r="E39" s="557">
        <f t="array" ref="E39">IF($A39="","",IFERROR(_xlfn.LET(_xlpm.lbl,$A39,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Mar''26'!$A$3:$AAG$3),_xlpm.hit,_xlfn._xlws.FILTER(_xlpm.c,ISNUMBER(SEARCH("Repurchase/Redemption for the month of "&amp;_xlpm.full,_xlpm.h))+ISNUMBER(SEARCH("Redemption for the month of "&amp;_xlpm.full,_xlpm.h))),_xlpm.col,IFERROR(INDEX(_xlpm.hit,1),0),IF(_xlpm.col=0,"",INDEX('AMFI-Mar''25 to Mar''26'!$1:$1048576,MATCH("Grand Total",'AMFI-Mar''25 to Mar''26'!$A:$A,0),_xlpm.col))),""))</f>
        <v/>
      </c>
      <c r="F39" s="558">
        <f>IF($A39="","",IFERROR(D39-E39,""))</f>
        <v/>
      </c>
      <c r="I39" s="559">
        <f>$A39</f>
        <v/>
      </c>
      <c r="J39" s="556">
        <f t="array" ref="J39">IF($A39="","",IFERROR(_xlfn.LET(_xlpm.lbl,$A39,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f>
        <v/>
      </c>
      <c r="K39" s="557">
        <f t="array" ref="K39">IF($A39="","",IFERROR(_xlfn.LET(_xlpm.lbl,$A39,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Mar''26'!$A:$A,0),_xlpm.col+1))),""))</f>
        <v/>
      </c>
      <c r="L39" s="557">
        <f t="array" ref="L39">IF($A39="","",IFERROR(_xlfn.LET(_xlpm.lbl,$A39,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Mar''26'!$A$3:$ZS$3),_xlpm.hit,_xlfn._xlws.FILTER(_xlpm.c,ISNUMBER(SEARCH("Funds Mobilized for the month of "&amp;_xlpm.full,_xlpm.h))),_xlpm.col,IFERROR(INDEX(_xlpm.hit,1),0),IF(_xlpm.col=0,"",INDEX('AMFI-Mar''25 to Mar''26'!$1:$1048576,MATCH("Total for Active Equity (incl Hybrid)",'AMFI-Mar''25 to Mar''26'!$A:$A,0),_xlpm.col))),""))</f>
        <v/>
      </c>
      <c r="M39" s="557">
        <f t="array" ref="M39">IF($A39="","",IFERROR(_xlfn.LET(_xlpm.lbl,$A39,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Mar''26'!$A$3:$ZS$3),_xlpm.hit,_xlfn._xlws.FILTER(_xlpm.c,ISNUMBER(SEARCH("Repurchase/ Redemption for the month of "&amp;_xlpm.full,_xlpm.h))+ISNUMBER(SEARCH("Repurchase/Redemption for the month of "&amp;_xlpm.full,_xlpm.h))+ISNUMBER(SEARCH("Redemption for the month of "&amp;_xlpm.full,_xlpm.h))),_xlpm.col,IFERROR(INDEX(_xlpm.hit,1),0),IF(_xlpm.col=0,"",INDEX('AMFI-Mar''25 to Mar''26'!$1:$1048576,MATCH("Total for Active Equity (incl Hybrid)",'AMFI-Mar''25 to Mar''26'!$A:$A,0),_xlpm.col))),""))</f>
        <v/>
      </c>
      <c r="N39" s="558">
        <f>IF($I39="","",IFERROR(L39-M39,""))</f>
        <v/>
      </c>
      <c r="P39" s="555">
        <f>IF(OR($A39="",N($B39)=0),"",$A39)</f>
        <v/>
      </c>
      <c r="Q39" s="556">
        <f>IF(OR($A39="",N($B39)=0),"",$B39)</f>
        <v/>
      </c>
    </row>
    <row r="40" ht="15.6" customHeight="1" thickBot="1">
      <c r="A40" s="555">
        <f t="array" ref="A40">_xlfn.LET(_xlpm.m,'AMFI-Mar''25 to Mar''26'!$A$2:$AAG$2,_xlpm.h,'AMFI-Mar''25 to Mar''26'!$A$3:$AAG$3,_xlpm.cond,(_xlpm.m&lt;&gt;"")*(_xlpm.m&lt;&gt;"-")*ISNUMBER(SEARCH("'",_xlpm.m))*ISERROR(SEARCH(" to ",_xlpm.m)),_xlpm.labels,_xlfn._xlws.FILTER(_xlpm.m,_xlpm.cond),_xlpm.hdrs,_xlfn._xlws.FILTER(_xlpm.h,_xlpm.cond),_xlpm.idx,ROW()-ROW($A$28)+1,_xlpm.n,COLUMNS(_xlpm.labels),_xlpm.x,IF(_xlpm.idx&lt;=MIN(13,_xlpm.n),INDEX(_xlpm.labels,1,_xlpm.idx+MAX(0,_xlpm.n-13)),""),_xlpm.hx,IF(_xlpm.idx&lt;=MIN(13,_xlpm.n),INDEX(_xlpm.hdrs,1,_xlpm.idx+MAX(0,_xlpm.n-13)),""),IF(_xlpm.x="","",IF(ISNUMBER(SEARCH("No. of Schemes as on",_xlpm.hx)),LOOKUP(2,1/ISNUMBER(SEARCH({"January","February","March","April","May","June","July","August","September","October","November","December"},_xlpm.hx)),{"Jan","Feb","Mar","Apr","May","Jun","Jul","Aug","Sep","Oct","Nov","Dec"})&amp;"'"&amp;RIGHT(MID(_xlpm.hx,FIND(", ",_xlpm.hx)+2,4),2),_xlpm.x)))</f>
        <v/>
      </c>
      <c r="B40" s="560">
        <f t="array" ref="B40">IF($A40="","",IFERROR(_xlfn.LET(_xlpm.lbl,$A40,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f>
        <v/>
      </c>
      <c r="C40" s="557">
        <f t="array" ref="C40">IF($A40="","",IFERROR(_xlfn.LET(_xlpm.lbl,$A40,_xlpm.mm,LEFT(_xlpm.lbl,3),_xlpm.yy,"20"&amp;RIGHT(_xlpm.lbl,2),_xlpm.full,CHOOSE(MATCH(_xlpm.mm,{"Jan";"Feb";"Mar";"Apr";"May";"Jun";"Jul";"Aug";"Sep";"Oct";"Nov";"Dec"},0),"January","February","March","April","May","June","July","August","September","October","November","December")&amp;" ",_xlpm.h,'AMFI-Mar''25 to Mar''26'!$A$3:$AAG$3,_xlpm.c,COLUMN('AMFI-Mar''25 to Mar''26'!$A$3:$AAG$3),_xlpm.hit,_xlfn._xlws.FILTER(_xlpm.c,ISNUMBER(SEARCH("Net Assets Under Management as on",_xlpm.h))*ISNUMBER(SEARCH(_xlpm.full&amp;"*"&amp;_xlpm.yy,_xlpm.h))),_xlpm.col,IFERROR(INDEX(_xlpm.hit,1),0),_xlpm.colf,IF(_xlpm.col=0,IFERROR(MATCH(_xlpm.lbl,'AMFI-Mar''25 to Mar''26'!$A$2:$AAG$2,0)+5,0),_xlpm.col),IF(_xlpm.colf=0,NA(),INDEX('AMFI-Mar''25 to Mar''26'!$1:$1048576,MATCH("Grand Total",'AMFI-Mar''25 to Mar''26'!$A:$A,0),_xlpm.colf+1))),""))</f>
        <v/>
      </c>
      <c r="D40" s="561">
        <f t="array" ref="D40">IF($A40="","",IFERROR(_xlfn.LET(_xlpm.lbl,$A40,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Mar''26'!$A$3:$AAG$3),_xlpm.hit,_xlfn._xlws.FILTER(_xlpm.c,ISNUMBER(SEARCH("Funds Mobilized for the month of "&amp;_xlpm.full,_xlpm.h))),_xlpm.col,IFERROR(INDEX(_xlpm.hit,1),0),IF(_xlpm.col=0,"",INDEX('AMFI-Mar''25 to Mar''26'!$1:$1048576,MATCH("Grand Total",'AMFI-Mar''25 to Mar''26'!$A:$A,0),_xlpm.col))),""))</f>
        <v/>
      </c>
      <c r="E40" s="561">
        <f t="array" ref="E40">IF($A40="","",IFERROR(_xlfn.LET(_xlpm.lbl,$A40,_xlpm.mm,LEFT(_xlpm.lbl,3),_xlpm.yy,"20"&amp;RIGHT(_xlpm.lbl,2),_xlpm.full,CHOOSE(MATCH(_xlpm.mm,{"Jan";"Feb";"Mar";"Apr";"May";"Jun";"Jul";"Aug";"Sep";"Oct";"Nov";"Dec"},0),"January","February","March","April","May","June","July","August","September","October","November","December")&amp;" "&amp;_xlpm.yy,_xlpm.h,'AMFI-Mar''25 to Mar''26'!$A$3:$AAG$3,_xlpm.c,COLUMN('AMFI-Mar''25 to Mar''26'!$A$3:$AAG$3),_xlpm.hit,_xlfn._xlws.FILTER(_xlpm.c,ISNUMBER(SEARCH("Repurchase/Redemption for the month of "&amp;_xlpm.full,_xlpm.h))+ISNUMBER(SEARCH("Redemption for the month of "&amp;_xlpm.full,_xlpm.h))),_xlpm.col,IFERROR(INDEX(_xlpm.hit,1),0),IF(_xlpm.col=0,"",INDEX('AMFI-Mar''25 to Mar''26'!$1:$1048576,MATCH("Grand Total",'AMFI-Mar''25 to Mar''26'!$A:$A,0),_xlpm.col))),""))</f>
        <v/>
      </c>
      <c r="F40" s="562">
        <f>IF($A40="","",IFERROR(D40-E40,""))</f>
        <v/>
      </c>
      <c r="I40" s="559">
        <f>$A40</f>
        <v/>
      </c>
      <c r="J40" s="560">
        <f t="array" ref="J40">IF($A40="","",IFERROR(_xlfn.LET(_xlpm.lbl,$A40,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f>
        <v/>
      </c>
      <c r="K40" s="557">
        <f t="array" ref="K40">IF($A40="","",IFERROR(_xlfn.LET(_xlpm.lbl,$A40,_xlpm.mm,LEFT(_xlpm.lbl,3),_xlpm.yy,"20"&amp;RIGHT(_xlpm.lbl,2),_xlpm.full,CHOOSE(MATCH(_xlpm.mm,{"Jan";"Feb";"Mar";"Apr";"May";"Jun";"Jul";"Aug";"Sep";"Oct";"Nov";"Dec"},0),"January","February","March","April","May","June","July","August","September","October","November","December")&amp;" ",_xlpm.h,'AMFI-Mar''25 to Mar''26'!$A$3:$ZS$3,_xlpm.c,COLUMN('AMFI-Mar''25 to Mar''26'!$A$3:$ZS$3),_xlpm.hit,_xlfn._xlws.FILTER(_xlpm.c,ISNUMBER(SEARCH("Net Assets Under Management as on",_xlpm.h))*ISNUMBER(SEARCH(_xlpm.full&amp;"*"&amp;_xlpm.yy,_xlpm.h))),_xlpm.col,IFERROR(INDEX(_xlpm.hit,1),0),IF(_xlpm.col=0,"",INDEX('AMFI-Mar''25 to Mar''26'!$1:$1048576,MATCH("Total for Active Equity (incl Hybrid)",'AMFI-Mar''25 to Mar''26'!$A:$A,0),_xlpm.col+1))),""))</f>
        <v/>
      </c>
      <c r="L40" s="561">
        <f t="array" ref="L40">IF($A40="","",IFERROR(_xlfn.LET(_xlpm.lbl,$A40,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Mar''26'!$A$3:$ZS$3),_xlpm.hit,_xlfn._xlws.FILTER(_xlpm.c,ISNUMBER(SEARCH("Funds Mobilized for the month of "&amp;_xlpm.full,_xlpm.h))),_xlpm.col,IFERROR(INDEX(_xlpm.hit,1),0),IF(_xlpm.col=0,"",INDEX('AMFI-Mar''25 to Mar''26'!$1:$1048576,MATCH("Total for Active Equity (incl Hybrid)",'AMFI-Mar''25 to Mar''26'!$A:$A,0),_xlpm.col))),""))</f>
        <v/>
      </c>
      <c r="M40" s="561">
        <f t="array" ref="M40">IF($A40="","",IFERROR(_xlfn.LET(_xlpm.lbl,$A40,_xlpm.mm,LEFT(_xlpm.lbl,3),_xlpm.yy,"20"&amp;RIGHT(_xlpm.lbl,2),_xlpm.full,CHOOSE(MATCH(_xlpm.mm,{"Jan";"Feb";"Mar";"Apr";"May";"Jun";"Jul";"Aug";"Sep";"Oct";"Nov";"Dec"},0),"January","February","March","April","May","June","July","August","September","October","November","December")&amp;" "&amp;_xlpm.yy,_xlpm.h,'AMFI-Mar''25 to Mar''26'!$A$3:$ZS$3,_xlpm.c,COLUMN('AMFI-Mar''25 to Mar''26'!$A$3:$ZS$3),_xlpm.hit,_xlfn._xlws.FILTER(_xlpm.c,ISNUMBER(SEARCH("Repurchase/ Redemption for the month of "&amp;_xlpm.full,_xlpm.h))+ISNUMBER(SEARCH("Repurchase/Redemption for the month of "&amp;_xlpm.full,_xlpm.h))+ISNUMBER(SEARCH("Redemption for the month of "&amp;_xlpm.full,_xlpm.h))),_xlpm.col,IFERROR(INDEX(_xlpm.hit,1),0),IF(_xlpm.col=0,"",INDEX('AMFI-Mar''25 to Mar''26'!$1:$1048576,MATCH("Total for Active Equity (incl Hybrid)",'AMFI-Mar''25 to Mar''26'!$A:$A,0),_xlpm.col))),""))</f>
        <v/>
      </c>
      <c r="N40" s="562">
        <f>IF($I40="","",IFERROR(L40-M40,""))</f>
        <v/>
      </c>
      <c r="P40" s="555">
        <f>IF(OR($A40="",N($B40)=0),"",$A40)</f>
        <v/>
      </c>
      <c r="Q40" s="560">
        <f>IF(OR($A40="",N($B40)=0),"",$B40)</f>
        <v/>
      </c>
    </row>
    <row r="41" ht="16.2" customHeight="1" thickBot="1">
      <c r="A41" s="407" t="inlineStr">
        <is>
          <t>TOTAL</t>
        </is>
      </c>
      <c r="B41" s="563">
        <f t="array" ref="B41">_xlfn.LET(_xlpm.vals,_xlfn._xlws.FILTER(B28:B40,B28:B40&lt;&gt;""),IFERROR(INDEX(_xlpm.vals,ROWS(_xlpm.vals)),""))</f>
        <v/>
      </c>
      <c r="C41" s="564">
        <f t="array" ref="C41">_xlfn.LET(_xlpm.vals,_xlfn._xlws.FILTER(C28:C40,C28:C40&lt;&gt;""),IFERROR(INDEX(_xlpm.vals,ROWS(_xlpm.vals)),""))</f>
        <v/>
      </c>
      <c r="D41" s="564">
        <f>SUM(D29:D40)</f>
        <v/>
      </c>
      <c r="E41" s="565">
        <f>SUM(E29:E40)</f>
        <v/>
      </c>
      <c r="F41" s="566">
        <f>SUM(F29:F40)</f>
        <v/>
      </c>
      <c r="I41" s="411" t="inlineStr">
        <is>
          <t>TOTAL</t>
        </is>
      </c>
      <c r="J41" s="563">
        <f t="array" ref="J41">_xlfn.LET(_xlpm.vals,_xlfn._xlws.FILTER(J28:J40,J28:J40&lt;&gt;""),IFERROR(INDEX(_xlpm.vals,ROWS(_xlpm.vals)),""))</f>
        <v/>
      </c>
      <c r="K41" s="564">
        <f t="array" ref="K41">_xlfn.LET(_xlpm.vals,_xlfn._xlws.FILTER(K28:K40,K28:K40&lt;&gt;""),IFERROR(INDEX(_xlpm.vals,ROWS(_xlpm.vals)),""))</f>
        <v/>
      </c>
      <c r="L41" s="564">
        <f>SUM(L29:L40)</f>
        <v/>
      </c>
      <c r="M41" s="565">
        <f>SUM(M29:M40)</f>
        <v/>
      </c>
      <c r="N41" s="566">
        <f>SUM(N29:N40)</f>
        <v/>
      </c>
    </row>
    <row r="42"/>
    <row r="43" ht="15.6" customHeight="1" thickBot="1"/>
    <row r="44" ht="15.6" customHeight="1">
      <c r="A44" s="567">
        <f>"Previous Month ("&amp;B45&amp;") vs Latest Month ("&amp;C45&amp;")"</f>
        <v/>
      </c>
      <c r="B44" s="478" t="n"/>
      <c r="C44" s="478" t="n"/>
      <c r="D44" s="478" t="n"/>
      <c r="E44" s="478" t="n"/>
      <c r="F44" s="479" t="n"/>
      <c r="G44" s="386" t="n"/>
      <c r="I44" s="567">
        <f>"Active Equity — Previous Month ("&amp;J45&amp;") vs Latest Month ("&amp;K45&amp;")"</f>
        <v/>
      </c>
      <c r="J44" s="478" t="n"/>
      <c r="K44" s="478" t="n"/>
      <c r="L44" s="478" t="n"/>
      <c r="M44" s="478" t="n"/>
      <c r="N44" s="479" t="n"/>
    </row>
    <row r="45" ht="31.2" customHeight="1">
      <c r="A45" s="392" t="inlineStr">
        <is>
          <t>Metric</t>
        </is>
      </c>
      <c r="B45" s="568">
        <f t="array" ref="B45">_xlfn.LET(_xlpm.h,'AMFI-Mar''25 to Mar''26'!$A$3:$AAG$3,_xlpm.m,'AMFI-Mar''25 to Mar''26'!$A$2:$AAG$2,_xlpm.cc,COLUMN('AMFI-Mar''25 to Mar''26'!$A$3:$AAG$3),_xlpm.a,_xlfn._xlws.FILTER(_xlpm.cc,ISNUMBER(SEARCH("Net Assets Under Management as on",_xlpm.h))),_xlpm.pc,LARGE(_xlpm.a,2),INDEX(_xlpm.m,1,_xlpm.pc-5))</f>
        <v/>
      </c>
      <c r="C45" s="568">
        <f t="array" ref="C45">_xlfn.LET(_xlpm.h,'AMFI-Mar''25 to Mar''26'!$A$3:$AAG$3,_xlpm.m,'AMFI-Mar''25 to Mar''26'!$A$2:$AAG$2,_xlpm.cc,COLUMN('AMFI-Mar''25 to Mar''26'!$A$3:$AAG$3),_xlpm.a,_xlfn._xlws.FILTER(_xlpm.cc,ISNUMBER(SEARCH("Net Assets Under Management as on",_xlpm.h))),_xlpm.lc,MAX(_xlpm.a),INDEX(_xlpm.m,1,_xlpm.lc-5))</f>
        <v/>
      </c>
      <c r="D45" s="388" t="inlineStr">
        <is>
          <t>MoM Change</t>
        </is>
      </c>
      <c r="E45" s="388" t="inlineStr">
        <is>
          <t>MoM Growth %</t>
        </is>
      </c>
      <c r="F45" s="393" t="inlineStr">
        <is>
          <t>Latest % of AUM</t>
        </is>
      </c>
      <c r="G45" s="387" t="n"/>
      <c r="I45" s="392" t="inlineStr">
        <is>
          <t>Metric</t>
        </is>
      </c>
      <c r="J45" s="568">
        <f t="array" ref="J45">_xlfn.LET(_xlpm.h,'AMFI-Mar''25 to Mar''26'!$A$3:$AAG$3,_xlpm.m,'AMFI-Mar''25 to Mar''26'!$A$2:$AAG$2,_xlpm.cc,COLUMN('AMFI-Mar''25 to Mar''26'!$A$3:$AAG$3),_xlpm.a,_xlfn._xlws.FILTER(_xlpm.cc,ISNUMBER(SEARCH("Net Assets Under Management as on",_xlpm.h))),_xlpm.pc,LARGE(_xlpm.a,2),INDEX(_xlpm.m,1,_xlpm.pc-5))</f>
        <v/>
      </c>
      <c r="K45" s="568">
        <f t="array" ref="K45">_xlfn.LET(_xlpm.h,'AMFI-Mar''25 to Mar''26'!$A$3:$AAG$3,_xlpm.m,'AMFI-Mar''25 to Mar''26'!$A$2:$AAG$2,_xlpm.cc,COLUMN('AMFI-Mar''25 to Mar''26'!$A$3:$AAG$3),_xlpm.a,_xlfn._xlws.FILTER(_xlpm.cc,ISNUMBER(SEARCH("Net Assets Under Management as on",_xlpm.h))),_xlpm.lc,MAX(_xlpm.a),INDEX(_xlpm.m,1,_xlpm.lc-5))</f>
        <v/>
      </c>
      <c r="L45" s="388" t="inlineStr">
        <is>
          <t>MoM Change</t>
        </is>
      </c>
      <c r="M45" s="388" t="inlineStr">
        <is>
          <t>MoM Growth %</t>
        </is>
      </c>
      <c r="N45" s="393" t="inlineStr">
        <is>
          <t>Latest % of AUM</t>
        </is>
      </c>
    </row>
    <row r="46">
      <c r="A46" s="394" t="inlineStr">
        <is>
          <t>AUM</t>
        </is>
      </c>
      <c r="B46" s="569">
        <f t="array" ref="B46">IFERROR(_xlfn.LET(_xlpm.src,'AMFI-Mar''25 to Mar''26'!$A:$AAG,_xlpm.h,'AMFI-Mar''25 to Mar''26'!$A$3:$AAG$3,_xlpm.cc,COLUMN(_xlpm.h),_xlpm.a,_xlfn._xlws.FILTER(_xlpm.cc,ISNUMBER(SEARCH("Net Assets Under Management as on",_xlpm.h))),_xlpm.col,LARGE(_xlpm.a,2),_xlpm.r,MATCH("Grand Total",'AMFI-Mar''25 to Mar''26'!$A:$A,0),INDEX(_xlpm.src,_xlpm.r,_xlpm.col)),0)</f>
        <v/>
      </c>
      <c r="C46" s="569">
        <f t="array" ref="C46">IFERROR(_xlfn.LET(_xlpm.src,'AMFI-Mar''25 to Mar''26'!$A:$AAG,_xlpm.h,'AMFI-Mar''25 to Mar''26'!$A$3:$AAG$3,_xlpm.cc,COLUMN(_xlpm.h),_xlpm.a,_xlfn._xlws.FILTER(_xlpm.cc,ISNUMBER(SEARCH("Net Assets Under Management as on",_xlpm.h))),_xlpm.col,MAX(_xlpm.a),_xlpm.r,MATCH("Grand Total",'AMFI-Mar''25 to Mar''26'!$A:$A,0),INDEX(_xlpm.src,_xlpm.r,_xlpm.col)),0)</f>
        <v/>
      </c>
      <c r="D46" s="569">
        <f>C46-B46</f>
        <v/>
      </c>
      <c r="E46" s="570">
        <f>IFERROR(D46/B46,0)</f>
        <v/>
      </c>
      <c r="F46" s="571">
        <f>IFERROR(C46/$C$46,0)</f>
        <v/>
      </c>
      <c r="G46" s="389" t="n"/>
      <c r="I46" s="394" t="inlineStr">
        <is>
          <t>AUM</t>
        </is>
      </c>
      <c r="J46" s="569">
        <f t="array" ref="J46">IFERROR(_xlfn.LET(_xlpm.src,'AMFI-Mar''25 to Mar''26'!$A:$AAG,_xlpm.h,'AMFI-Mar''25 to Mar''26'!$A$3:$AAG$3,_xlpm.cc,COLUMN(_xlpm.h),_xlpm.a,_xlfn._xlws.FILTER(_xlpm.cc,ISNUMBER(SEARCH("Net Assets Under Management as on",_xlpm.h))),_xlpm.col,LARGE(_xlpm.a,2),_xlpm.r,MATCH("Total for Active Equity (incl Hybrid)",'AMFI-Mar''25 to Mar''26'!$A:$A,0),INDEX(_xlpm.src,_xlpm.r,_xlpm.col)),0)</f>
        <v/>
      </c>
      <c r="K46" s="569">
        <f t="array" ref="K46">IFERROR(_xlfn.LET(_xlpm.src,'AMFI-Mar''25 to Mar''26'!$A:$AAG,_xlpm.h,'AMFI-Mar''25 to Mar''26'!$A$3:$AAG$3,_xlpm.cc,COLUMN(_xlpm.h),_xlpm.a,_xlfn._xlws.FILTER(_xlpm.cc,ISNUMBER(SEARCH("Net Assets Under Management as on",_xlpm.h))),_xlpm.col,MAX(_xlpm.a),_xlpm.r,MATCH("Total for Active Equity (incl Hybrid)",'AMFI-Mar''25 to Mar''26'!$A:$A,0),INDEX(_xlpm.src,_xlpm.r,_xlpm.col)),0)</f>
        <v/>
      </c>
      <c r="L46" s="569">
        <f>K46-J46</f>
        <v/>
      </c>
      <c r="M46" s="570">
        <f>IFERROR(L46/J46,0)</f>
        <v/>
      </c>
      <c r="N46" s="571">
        <f>IFERROR(K46/$C$46,0)</f>
        <v/>
      </c>
    </row>
    <row r="47">
      <c r="A47" s="396" t="inlineStr">
        <is>
          <t>Total Sales</t>
        </is>
      </c>
      <c r="B47" s="572">
        <f t="array" ref="B47">IFERROR(_xlfn.LET(_xlpm.src,'AMFI-Mar''25 to Mar''26'!$A:$AAG,_xlpm.h,'AMFI-Mar''25 to Mar''26'!$A$3:$AAG$3,_xlpm.cc,COLUMN(_xlpm.h),_xlpm.a,_xlfn._xlws.FILTER(_xlpm.cc,ISNUMBER(SEARCH("Net Assets Under Management as on",_xlpm.h))),_xlpm.col,LARGE(_xlpm.a,2),_xlpm.r,MATCH("Grand Total",'AMFI-Mar''25 to Mar''26'!$A:$A,0),IF(ISNUMBER(SEARCH("Funds Mobilized",INDEX(_xlpm.h,1,_xlpm.col-3))),INDEX(_xlpm.src,_xlpm.r,_xlpm.col-3),0)),0)</f>
        <v/>
      </c>
      <c r="C47" s="572">
        <f t="array" ref="C47">IFERROR(_xlfn.LET(_xlpm.src,'AMFI-Mar''25 to Mar''26'!$A:$AAG,_xlpm.h,'AMFI-Mar''25 to Mar''26'!$A$3:$AAG$3,_xlpm.cc,COLUMN(_xlpm.h),_xlpm.a,_xlfn._xlws.FILTER(_xlpm.cc,ISNUMBER(SEARCH("Net Assets Under Management as on",_xlpm.h))),_xlpm.col,MAX(_xlpm.a),_xlpm.r,MATCH("Grand Total",'AMFI-Mar''25 to Mar''26'!$A:$A,0),IF(ISNUMBER(SEARCH("Funds Mobilized",INDEX(_xlpm.h,1,_xlpm.col-3))),INDEX(_xlpm.src,_xlpm.r,_xlpm.col-3),0)),0)</f>
        <v/>
      </c>
      <c r="D47" s="572">
        <f>C47-B47</f>
        <v/>
      </c>
      <c r="E47" s="573">
        <f>IFERROR(D47/B47,0)</f>
        <v/>
      </c>
      <c r="F47" s="574">
        <f>IFERROR(C47/$C$46,0)</f>
        <v/>
      </c>
      <c r="G47" s="390" t="n"/>
      <c r="I47" s="396" t="inlineStr">
        <is>
          <t>Total Sales</t>
        </is>
      </c>
      <c r="J47" s="572">
        <f t="array" ref="J47">IFERROR(_xlfn.LET(_xlpm.src,'AMFI-Mar''25 to Mar''26'!$A:$AAG,_xlpm.h,'AMFI-Mar''25 to Mar''26'!$A$3:$AAG$3,_xlpm.cc,COLUMN(_xlpm.h),_xlpm.a,_xlfn._xlws.FILTER(_xlpm.cc,ISNUMBER(SEARCH("Net Assets Under Management as on",_xlpm.h))),_xlpm.col,LARGE(_xlpm.a,2),_xlpm.r,MATCH("Total for Active Equity (incl Hybrid)",'AMFI-Mar''25 to Mar''26'!$A:$A,0),IF(ISNUMBER(SEARCH("Funds Mobilized",INDEX(_xlpm.h,1,_xlpm.col-3))),INDEX(_xlpm.src,_xlpm.r,_xlpm.col-3),0)),0)</f>
        <v/>
      </c>
      <c r="K47" s="572">
        <f t="array" ref="K47">IFERROR(_xlfn.LET(_xlpm.src,'AMFI-Mar''25 to Mar''26'!$A:$AAG,_xlpm.h,'AMFI-Mar''25 to Mar''26'!$A$3:$AAG$3,_xlpm.cc,COLUMN(_xlpm.h),_xlpm.a,_xlfn._xlws.FILTER(_xlpm.cc,ISNUMBER(SEARCH("Net Assets Under Management as on",_xlpm.h))),_xlpm.col,MAX(_xlpm.a),_xlpm.r,MATCH("Total for Active Equity (incl Hybrid)",'AMFI-Mar''25 to Mar''26'!$A:$A,0),IF(ISNUMBER(SEARCH("Funds Mobilized",INDEX(_xlpm.h,1,_xlpm.col-3))),INDEX(_xlpm.src,_xlpm.r,_xlpm.col-3),0)),0)</f>
        <v/>
      </c>
      <c r="L47" s="572">
        <f>K47-J47</f>
        <v/>
      </c>
      <c r="M47" s="573">
        <f>IFERROR(L47/J47,0)</f>
        <v/>
      </c>
      <c r="N47" s="574">
        <f>IFERROR(K47/$C$46,0)</f>
        <v/>
      </c>
    </row>
    <row r="48">
      <c r="A48" s="396" t="inlineStr">
        <is>
          <t>Total Redemption</t>
        </is>
      </c>
      <c r="B48" s="572">
        <f t="array" ref="B48">IFERROR(_xlfn.LET(_xlpm.src,'AMFI-Mar''25 to Mar''26'!$A:$AAG,_xlpm.h,'AMFI-Mar''25 to Mar''26'!$A$3:$AAG$3,_xlpm.cc,COLUMN(_xlpm.h),_xlpm.a,_xlfn._xlws.FILTER(_xlpm.cc,ISNUMBER(SEARCH("Net Assets Under Management as on",_xlpm.h))),_xlpm.col,LARGE(_xlpm.a,2),_xlpm.r,MATCH("Grand Total",'AMFI-Mar''25 to Mar''26'!$A:$A,0),IF(ISNUMBER(SEARCH("Repurchase",INDEX(_xlpm.h,1,_xlpm.col-2))),INDEX(_xlpm.src,_xlpm.r,_xlpm.col-2),0)),0)</f>
        <v/>
      </c>
      <c r="C48" s="572">
        <f t="array" ref="C48">IFERROR(_xlfn.LET(_xlpm.src,'AMFI-Mar''25 to Mar''26'!$A:$AAG,_xlpm.h,'AMFI-Mar''25 to Mar''26'!$A$3:$AAG$3,_xlpm.cc,COLUMN(_xlpm.h),_xlpm.a,_xlfn._xlws.FILTER(_xlpm.cc,ISNUMBER(SEARCH("Net Assets Under Management as on",_xlpm.h))),_xlpm.col,MAX(_xlpm.a),_xlpm.r,MATCH("Grand Total",'AMFI-Mar''25 to Mar''26'!$A:$A,0),IF(ISNUMBER(SEARCH("Repurchase",INDEX(_xlpm.h,1,_xlpm.col-2))),INDEX(_xlpm.src,_xlpm.r,_xlpm.col-2),0)),0)</f>
        <v/>
      </c>
      <c r="D48" s="572">
        <f>C48-B48</f>
        <v/>
      </c>
      <c r="E48" s="573">
        <f>IFERROR(D48/B48,0)</f>
        <v/>
      </c>
      <c r="F48" s="574">
        <f>IFERROR(C48/$C$46,0)</f>
        <v/>
      </c>
      <c r="G48" s="390" t="n"/>
      <c r="I48" s="396" t="inlineStr">
        <is>
          <t>Total Redemption</t>
        </is>
      </c>
      <c r="J48" s="572">
        <f t="array" ref="J48">IFERROR(_xlfn.LET(_xlpm.src,'AMFI-Mar''25 to Mar''26'!$A:$AAG,_xlpm.h,'AMFI-Mar''25 to Mar''26'!$A$3:$AAG$3,_xlpm.cc,COLUMN(_xlpm.h),_xlpm.a,_xlfn._xlws.FILTER(_xlpm.cc,ISNUMBER(SEARCH("Net Assets Under Management as on",_xlpm.h))),_xlpm.col,LARGE(_xlpm.a,2),_xlpm.r,MATCH("Total for Active Equity (incl Hybrid)",'AMFI-Mar''25 to Mar''26'!$A:$A,0),IF(ISNUMBER(SEARCH("Repurchase",INDEX(_xlpm.h,1,_xlpm.col-2))),INDEX(_xlpm.src,_xlpm.r,_xlpm.col-2),0)),0)</f>
        <v/>
      </c>
      <c r="K48" s="572">
        <f t="array" ref="K48">IFERROR(_xlfn.LET(_xlpm.src,'AMFI-Mar''25 to Mar''26'!$A:$AAG,_xlpm.h,'AMFI-Mar''25 to Mar''26'!$A$3:$AAG$3,_xlpm.cc,COLUMN(_xlpm.h),_xlpm.a,_xlfn._xlws.FILTER(_xlpm.cc,ISNUMBER(SEARCH("Net Assets Under Management as on",_xlpm.h))),_xlpm.col,MAX(_xlpm.a),_xlpm.r,MATCH("Total for Active Equity (incl Hybrid)",'AMFI-Mar''25 to Mar''26'!$A:$A,0),IF(ISNUMBER(SEARCH("Repurchase",INDEX(_xlpm.h,1,_xlpm.col-2))),INDEX(_xlpm.src,_xlpm.r,_xlpm.col-2),0)),0)</f>
        <v/>
      </c>
      <c r="L48" s="572">
        <f>K48-J48</f>
        <v/>
      </c>
      <c r="M48" s="573">
        <f>IFERROR(L48/J48,0)</f>
        <v/>
      </c>
      <c r="N48" s="574">
        <f>IFERROR(K48/$C$46,0)</f>
        <v/>
      </c>
    </row>
    <row r="49">
      <c r="A49" s="396" t="inlineStr">
        <is>
          <t>Total Net Sales</t>
        </is>
      </c>
      <c r="B49" s="572">
        <f t="array" ref="B49">IFERROR(_xlfn.LET(_xlpm.src,'AMFI-Mar''25 to Mar''26'!$A:$AAG,_xlpm.h,'AMFI-Mar''25 to Mar''26'!$A$3:$AAG$3,_xlpm.cc,COLUMN(_xlpm.h),_xlpm.a,_xlfn._xlws.FILTER(_xlpm.cc,ISNUMBER(SEARCH("Net Assets Under Management as on",_xlpm.h))),_xlpm.col,LARGE(_xlpm.a,2),_xlpm.r,MATCH("Grand Total",'AMFI-Mar''25 to Mar''26'!$A:$A,0),IF(ISNUMBER(SEARCH("Net Inflow",INDEX(_xlpm.h,1,_xlpm.col-1))),INDEX(_xlpm.src,_xlpm.r,_xlpm.col-1),0)),0)</f>
        <v/>
      </c>
      <c r="C49" s="572">
        <f t="array" ref="C49">IFERROR(_xlfn.LET(_xlpm.src,'AMFI-Mar''25 to Mar''26'!$A:$AAG,_xlpm.h,'AMFI-Mar''25 to Mar''26'!$A$3:$AAG$3,_xlpm.cc,COLUMN(_xlpm.h),_xlpm.a,_xlfn._xlws.FILTER(_xlpm.cc,ISNUMBER(SEARCH("Net Assets Under Management as on",_xlpm.h))),_xlpm.col,MAX(_xlpm.a),_xlpm.r,MATCH("Grand Total",'AMFI-Mar''25 to Mar''26'!$A:$A,0),IF(ISNUMBER(SEARCH("Net Inflow",INDEX(_xlpm.h,1,_xlpm.col-1))),INDEX(_xlpm.src,_xlpm.r,_xlpm.col-1),0)),0)</f>
        <v/>
      </c>
      <c r="D49" s="572">
        <f>C49-B49</f>
        <v/>
      </c>
      <c r="E49" s="573">
        <f>IFERROR(D49/B49,0)</f>
        <v/>
      </c>
      <c r="F49" s="574">
        <f>IFERROR(C49/$C$46,0)</f>
        <v/>
      </c>
      <c r="G49" s="390" t="n"/>
      <c r="I49" s="396" t="inlineStr">
        <is>
          <t>Total Net Sales</t>
        </is>
      </c>
      <c r="J49" s="572">
        <f t="array" ref="J49">IFERROR(_xlfn.LET(_xlpm.src,'AMFI-Mar''25 to Mar''26'!$A:$AAG,_xlpm.h,'AMFI-Mar''25 to Mar''26'!$A$3:$AAG$3,_xlpm.cc,COLUMN(_xlpm.h),_xlpm.a,_xlfn._xlws.FILTER(_xlpm.cc,ISNUMBER(SEARCH("Net Assets Under Management as on",_xlpm.h))),_xlpm.col,LARGE(_xlpm.a,2),_xlpm.r,MATCH("Total for Active Equity (incl Hybrid)",'AMFI-Mar''25 to Mar''26'!$A:$A,0),IF(ISNUMBER(SEARCH("Net Inflow",INDEX(_xlpm.h,1,_xlpm.col-1))),INDEX(_xlpm.src,_xlpm.r,_xlpm.col-1),0)),0)</f>
        <v/>
      </c>
      <c r="K49" s="572">
        <f t="array" ref="K49">IFERROR(_xlfn.LET(_xlpm.src,'AMFI-Mar''25 to Mar''26'!$A:$AAG,_xlpm.h,'AMFI-Mar''25 to Mar''26'!$A$3:$AAG$3,_xlpm.cc,COLUMN(_xlpm.h),_xlpm.a,_xlfn._xlws.FILTER(_xlpm.cc,ISNUMBER(SEARCH("Net Assets Under Management as on",_xlpm.h))),_xlpm.col,MAX(_xlpm.a),_xlpm.r,MATCH("Total for Active Equity (incl Hybrid)",'AMFI-Mar''25 to Mar''26'!$A:$A,0),IF(ISNUMBER(SEARCH("Net Inflow",INDEX(_xlpm.h,1,_xlpm.col-1))),INDEX(_xlpm.src,_xlpm.r,_xlpm.col-1),0)),0)</f>
        <v/>
      </c>
      <c r="L49" s="572">
        <f>K49-J49</f>
        <v/>
      </c>
      <c r="M49" s="573">
        <f>IFERROR(L49/J49,0)</f>
        <v/>
      </c>
      <c r="N49" s="574">
        <f>IFERROR(K49/$C$46,0)</f>
        <v/>
      </c>
    </row>
    <row r="50" ht="15.6" customHeight="1" thickBot="1">
      <c r="A50" s="398" t="inlineStr">
        <is>
          <t>Average AUM</t>
        </is>
      </c>
      <c r="B50" s="575">
        <f t="array" ref="B50">IFERROR(_xlfn.LET(_xlpm.src,'AMFI-Mar''25 to Mar''26'!$A:$AAG,_xlpm.h,'AMFI-Mar''25 to Mar''26'!$A$3:$AAG$3,_xlpm.cc,COLUMN(_xlpm.h),_xlpm.a,_xlfn._xlws.FILTER(_xlpm.cc,ISNUMBER(SEARCH("Net Assets Under Management as on",_xlpm.h))),_xlpm.col,LARGE(_xlpm.a,2),_xlpm.r,MATCH("Grand Total",'AMFI-Mar''25 to Mar''26'!$A:$A,0),IF(ISNUMBER(SEARCH("Average Net Assets",INDEX(_xlpm.h,1,_xlpm.col+1))),INDEX(_xlpm.src,_xlpm.r,_xlpm.col+1),0)),0)</f>
        <v/>
      </c>
      <c r="C50" s="575">
        <f t="array" ref="C50">IFERROR(_xlfn.LET(_xlpm.src,'AMFI-Mar''25 to Mar''26'!$A:$AAG,_xlpm.h,'AMFI-Mar''25 to Mar''26'!$A$3:$AAG$3,_xlpm.cc,COLUMN(_xlpm.h),_xlpm.a,_xlfn._xlws.FILTER(_xlpm.cc,ISNUMBER(SEARCH("Net Assets Under Management as on",_xlpm.h))),_xlpm.col,MAX(_xlpm.a),_xlpm.r,MATCH("Grand Total",'AMFI-Mar''25 to Mar''26'!$A:$A,0),IF(ISNUMBER(SEARCH("Average Net Assets",INDEX(_xlpm.h,1,_xlpm.col+1))),INDEX(_xlpm.src,_xlpm.r,_xlpm.col+1),0)),0)</f>
        <v/>
      </c>
      <c r="D50" s="575">
        <f>C50-B50</f>
        <v/>
      </c>
      <c r="E50" s="576">
        <f>IFERROR(D50/B50,0)</f>
        <v/>
      </c>
      <c r="F50" s="577">
        <f>IFERROR(C50/$C$46,0)</f>
        <v/>
      </c>
      <c r="G50" s="391" t="n"/>
      <c r="I50" s="398" t="inlineStr">
        <is>
          <t>Average AUM</t>
        </is>
      </c>
      <c r="J50" s="575">
        <f t="array" ref="J50">IFERROR(_xlfn.LET(_xlpm.src,'AMFI-Mar''25 to Mar''26'!$A:$AAG,_xlpm.h,'AMFI-Mar''25 to Mar''26'!$A$3:$AAG$3,_xlpm.cc,COLUMN(_xlpm.h),_xlpm.a,_xlfn._xlws.FILTER(_xlpm.cc,ISNUMBER(SEARCH("Net Assets Under Management as on",_xlpm.h))),_xlpm.col,LARGE(_xlpm.a,2),_xlpm.r,MATCH("Total for Active Equity (incl Hybrid)",'AMFI-Mar''25 to Mar''26'!$A:$A,0),IF(ISNUMBER(SEARCH("Average Net Assets",INDEX(_xlpm.h,1,_xlpm.col+1))),INDEX(_xlpm.src,_xlpm.r,_xlpm.col+1),0)),0)</f>
        <v/>
      </c>
      <c r="K50" s="575">
        <f t="array" ref="K50">IFERROR(_xlfn.LET(_xlpm.src,'AMFI-Mar''25 to Mar''26'!$A:$AAG,_xlpm.h,'AMFI-Mar''25 to Mar''26'!$A$3:$AAG$3,_xlpm.cc,COLUMN(_xlpm.h),_xlpm.a,_xlfn._xlws.FILTER(_xlpm.cc,ISNUMBER(SEARCH("Net Assets Under Management as on",_xlpm.h))),_xlpm.col,MAX(_xlpm.a),_xlpm.r,MATCH("Total for Active Equity (incl Hybrid)",'AMFI-Mar''25 to Mar''26'!$A:$A,0),IF(ISNUMBER(SEARCH("Average Net Assets",INDEX(_xlpm.h,1,_xlpm.col+1))),INDEX(_xlpm.src,_xlpm.r,_xlpm.col+1),0)),0)</f>
        <v/>
      </c>
      <c r="L50" s="575">
        <f>K50-J50</f>
        <v/>
      </c>
      <c r="M50" s="576">
        <f>IFERROR(L50/J50,0)</f>
        <v/>
      </c>
      <c r="N50" s="577">
        <f>IFERROR(K50/$C$46,0)</f>
        <v/>
      </c>
    </row>
  </sheetData>
  <mergeCells count="14">
    <mergeCell ref="A15:I15"/>
    <mergeCell ref="A19:I19"/>
    <mergeCell ref="A44:F44"/>
    <mergeCell ref="I44:N44"/>
    <mergeCell ref="K1:L1"/>
    <mergeCell ref="A14:I14"/>
    <mergeCell ref="I26:N26"/>
    <mergeCell ref="A17:I17"/>
    <mergeCell ref="A18:I18"/>
    <mergeCell ref="A22:I22"/>
    <mergeCell ref="A26:F26"/>
    <mergeCell ref="A20:I20"/>
    <mergeCell ref="A21:I21"/>
    <mergeCell ref="A16:I16"/>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33"/>
  <sheetViews>
    <sheetView topLeftCell="A1" zoomScale="95" workbookViewId="0">
      <selection activeCell="A1" sqref="A1"/>
    </sheetView>
  </sheetViews>
  <sheetFormatPr baseColWidth="8" defaultRowHeight="15"/>
  <cols>
    <col width="21.90625" customWidth="1" min="1" max="1"/>
    <col width="11.54296875" customWidth="1" min="2" max="3"/>
    <col width="10.81640625" customWidth="1" min="4" max="4"/>
    <col width="2.08984375" customWidth="1" min="5" max="5"/>
    <col width="11.36328125" customWidth="1" min="6" max="6"/>
    <col width="12.08984375" customWidth="1" min="7" max="7"/>
    <col width="13.36328125" customWidth="1" min="8" max="8"/>
  </cols>
  <sheetData>
    <row r="1" ht="16.2" customHeight="1" thickBot="1">
      <c r="A1" s="309" t="inlineStr">
        <is>
          <t>AMFI</t>
        </is>
      </c>
      <c r="B1" s="489" t="inlineStr">
        <is>
          <t>Net Sales</t>
        </is>
      </c>
      <c r="C1" s="490" t="n"/>
      <c r="D1" s="491" t="n"/>
      <c r="E1" s="310" t="n"/>
      <c r="F1" s="492" t="inlineStr">
        <is>
          <t>AUM</t>
        </is>
      </c>
      <c r="G1" s="490" t="n"/>
      <c r="H1" s="491" t="n"/>
    </row>
    <row r="2" ht="16.2" customHeight="1" thickTop="1">
      <c r="A2" s="311" t="n"/>
      <c r="B2" s="578">
        <f t="array" ref="B2">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",_xlpm.hdrs)+2,4),2),_xlpm.n,COLUMNS(_xlpm.labs),IF(_xlpm.n&lt;2,"",INDEX(_xlpm.labs,1,_xlpm.n-1)))</f>
        <v/>
      </c>
      <c r="C2" s="578">
        <f t="array" ref="C2">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",_xlpm.hdrs)+2,4),2),_xlpm.n,COLUMNS(_xlpm.labs),IF(_xlpm.n&lt;1,"",INDEX(_xlpm.labs,1,_xlpm.n)))</f>
        <v/>
      </c>
      <c r="D2" s="579" t="inlineStr">
        <is>
          <t>Growth %</t>
        </is>
      </c>
      <c r="E2" s="314" t="n"/>
      <c r="F2" s="580">
        <f>B2</f>
        <v/>
      </c>
      <c r="G2" s="581">
        <f>C2</f>
        <v/>
      </c>
      <c r="H2" s="579" t="inlineStr">
        <is>
          <t>Growth %</t>
        </is>
      </c>
    </row>
    <row r="3" ht="16.2" customHeight="1" thickBot="1">
      <c r="A3" s="317" t="inlineStr">
        <is>
          <t>TOTAL</t>
        </is>
      </c>
      <c r="B3" s="582">
        <f t="array" ref="B3">_xlfn.LET(_xlpm.lbl,B$2,IF(_xlpm.lbl="","",_xlfn.LET(_xlpm.w,COUNTA('AMFI-Mar''25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Mar''26'!$A$1:$AAG$71,_xlpm.idx,IFERROR(_xlfn.XMATCH(_xlpm.lbl,_xlpm.labs),0),_xlpm.col,IF(_xlpm.idx=0,0,INDEX(_xlpm.starts,1,_xlpm.idx)+4),IF(_xlpm.col=0,"",INDEX(_xlpm.srcFull,MATCH("Grand Total",_xlpm.a,0),_xlpm.col)))))</f>
        <v/>
      </c>
      <c r="C3" s="582">
        <f t="array" ref="C3">_xlfn.LET(_xlpm.lbl,C$2,IF(_xlpm.lbl="","",_xlfn.LET(_xlpm.w,COUNTA('AMFI-Mar''25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Mar''26'!$A$1:$AAG$71,_xlpm.idx,IFERROR(_xlfn.XMATCH(_xlpm.lbl,_xlpm.labs),0),_xlpm.col,IF(_xlpm.idx=0,0,INDEX(_xlpm.starts,1,_xlpm.idx)+4),IF(_xlpm.col=0,"",INDEX(_xlpm.srcFull,MATCH("Grand Total",_xlpm.a,0),_xlpm.col)))))</f>
        <v/>
      </c>
      <c r="D3" s="583">
        <f>IFERROR((C3-B3)/B3,"-")</f>
        <v/>
      </c>
      <c r="E3" s="310" t="n"/>
      <c r="F3" s="584">
        <f t="array" ref="F3">_xlfn.LET(_xlpm.lbl,F$2,IF(_xlpm.lbl="","",_xlfn.LET(_xlpm.w,COUNTA('AMFI-Mar''25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Mar''26'!$A$1:$AAG$71,_xlpm.idx,IFERROR(_xlfn.XMATCH(_xlpm.lbl,_xlpm.labs),0),_xlpm.col,IF(_xlpm.idx=0,0,INDEX(_xlpm.starts,1,_xlpm.idx)+5),IF(_xlpm.col=0,"",INDEX(_xlpm.srcFull,MATCH("Grand Total",_xlpm.a,0),_xlpm.col)))))</f>
        <v/>
      </c>
      <c r="G3" s="585">
        <f t="array" ref="G3">_xlfn.LET(_xlpm.lbl,G$2,IF(_xlpm.lbl="","",_xlfn.LET(_xlpm.w,COUNTA('AMFI-Mar''25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Mar''26'!$A$1:$AAG$71,_xlpm.idx,IFERROR(_xlfn.XMATCH(_xlpm.lbl,_xlpm.labs),0),_xlpm.col,IF(_xlpm.idx=0,0,INDEX(_xlpm.starts,1,_xlpm.idx)+5),IF(_xlpm.col=0,"",INDEX(_xlpm.srcFull,MATCH("Grand Total",_xlpm.a,0),_xlpm.col)))))</f>
        <v/>
      </c>
      <c r="H3" s="583">
        <f>IFERROR((G3-F3)/F3,"-")</f>
        <v/>
      </c>
    </row>
    <row r="4" ht="15.6" customHeight="1" thickTop="1">
      <c r="A4" s="322" t="n"/>
      <c r="B4" s="323" t="n"/>
      <c r="C4" s="323" t="n"/>
      <c r="D4" s="586" t="n"/>
      <c r="E4" s="325" t="n"/>
      <c r="F4" s="326" t="n"/>
      <c r="G4" s="327" t="n"/>
      <c r="H4" s="586" t="n"/>
    </row>
    <row r="5" ht="15.6" customHeight="1">
      <c r="A5" s="328" t="inlineStr">
        <is>
          <t>Equity excl Hybrid</t>
        </is>
      </c>
      <c r="B5" s="587">
        <f>B7-B6</f>
        <v/>
      </c>
      <c r="C5" s="587">
        <f>C7-C6</f>
        <v/>
      </c>
      <c r="D5" s="588">
        <f>IFERROR((C5-B5)/B5,"-")</f>
        <v/>
      </c>
      <c r="E5" s="331" t="n"/>
      <c r="F5" s="589">
        <f>F7-F6</f>
        <v/>
      </c>
      <c r="G5" s="590">
        <f>G7-G6</f>
        <v/>
      </c>
      <c r="H5" s="588">
        <f>IFERROR((G5-F5)/F5,"-")</f>
        <v/>
      </c>
    </row>
    <row r="6" ht="15.6" customHeight="1">
      <c r="A6" s="334" t="inlineStr">
        <is>
          <t>Hybrid</t>
        </is>
      </c>
      <c r="B6" s="591">
        <f>B33</f>
        <v/>
      </c>
      <c r="C6" s="591">
        <f>C33</f>
        <v/>
      </c>
      <c r="D6" s="592">
        <f>IFERROR((C6-B6)/B6,"-")</f>
        <v/>
      </c>
      <c r="E6" s="337" t="n"/>
      <c r="F6" s="593">
        <f>F33</f>
        <v/>
      </c>
      <c r="G6" s="594">
        <f>G33</f>
        <v/>
      </c>
      <c r="H6" s="592">
        <f>IFERROR((G6-F6)/F6,"-")</f>
        <v/>
      </c>
    </row>
    <row r="7" ht="16.2" customHeight="1" thickBot="1">
      <c r="A7" s="317" t="inlineStr">
        <is>
          <t>Equity + Hybrid</t>
        </is>
      </c>
      <c r="B7" s="582">
        <f t="array" ref="B7">_xlfn.LET(_xlpm.lbl,B$2,IF(_xlpm.lbl="","",_xlfn.LET(_xlpm.w,COUNTA('AMFI-Mar''25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Mar''26'!$A$1:$AAG$71,_xlpm.idx,IFERROR(_xlfn.XMATCH(_xlpm.lbl,_xlpm.labs),0),_xlpm.col,IF(_xlpm.idx=0,0,INDEX(_xlpm.starts,1,_xlpm.idx)+4),IF(_xlpm.col=0,"",INDEX(_xlpm.srcFull,MATCH("Total for Active Equity (incl Hybrid)",_xlpm.a,0),_xlpm.col)))))</f>
        <v/>
      </c>
      <c r="C7" s="582">
        <f t="array" ref="C7">_xlfn.LET(_xlpm.lbl,C$2,IF(_xlpm.lbl="","",_xlfn.LET(_xlpm.w,COUNTA('AMFI-Mar''25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Mar''26'!$A$1:$AAG$71,_xlpm.idx,IFERROR(_xlfn.XMATCH(_xlpm.lbl,_xlpm.labs),0),_xlpm.col,IF(_xlpm.idx=0,0,INDEX(_xlpm.starts,1,_xlpm.idx)+4),IF(_xlpm.col=0,"",INDEX(_xlpm.srcFull,MATCH("Total for Active Equity (incl Hybrid)",_xlpm.a,0),_xlpm.col)))))</f>
        <v/>
      </c>
      <c r="D7" s="583">
        <f>IFERROR((C7-B7)/B7,"-")</f>
        <v/>
      </c>
      <c r="E7" s="310" t="n"/>
      <c r="F7" s="584">
        <f t="array" ref="F7">_xlfn.LET(_xlpm.lbl,F$2,IF(_xlpm.lbl="","",_xlfn.LET(_xlpm.w,COUNTA('AMFI-Mar''25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Mar''26'!$A$1:$AAG$71,_xlpm.idx,IFERROR(_xlfn.XMATCH(_xlpm.lbl,_xlpm.labs),0),_xlpm.col,IF(_xlpm.idx=0,0,INDEX(_xlpm.starts,1,_xlpm.idx)+5),IF(_xlpm.col=0,"",INDEX(_xlpm.srcFull,MATCH("Total for Active Equity (incl Hybrid)",_xlpm.a,0),_xlpm.col)))))</f>
        <v/>
      </c>
      <c r="G7" s="585">
        <f t="array" ref="G7">_xlfn.LET(_xlpm.lbl,G$2,IF(_xlpm.lbl="","",_xlfn.LET(_xlpm.w,COUNTA('AMFI-Mar''25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Mar''26'!$A$1:$AAG$71,_xlpm.idx,IFERROR(_xlfn.XMATCH(_xlpm.lbl,_xlpm.labs),0),_xlpm.col,IF(_xlpm.idx=0,0,INDEX(_xlpm.starts,1,_xlpm.idx)+5),IF(_xlpm.col=0,"",INDEX(_xlpm.srcFull,MATCH("Total for Active Equity (incl Hybrid)",_xlpm.a,0),_xlpm.col)))))</f>
        <v/>
      </c>
      <c r="H7" s="583">
        <f>IFERROR((G7-F7)/F7,"-")</f>
        <v/>
      </c>
    </row>
    <row r="8" ht="15.6" customHeight="1" thickTop="1">
      <c r="A8" s="322" t="n"/>
      <c r="B8" s="323" t="n"/>
      <c r="C8" s="323" t="n"/>
      <c r="D8" s="586" t="n"/>
      <c r="E8" s="325" t="n"/>
      <c r="F8" s="326" t="n"/>
      <c r="G8" s="327" t="n"/>
      <c r="H8" s="586" t="n"/>
    </row>
    <row r="9" ht="15.6" customHeight="1">
      <c r="A9" s="340" t="inlineStr">
        <is>
          <t>Equity excl Hybrid</t>
        </is>
      </c>
      <c r="B9" s="341" t="inlineStr">
        <is>
          <t>-</t>
        </is>
      </c>
      <c r="C9" s="341" t="inlineStr">
        <is>
          <t>-</t>
        </is>
      </c>
      <c r="D9" s="595" t="inlineStr">
        <is>
          <t>-</t>
        </is>
      </c>
      <c r="E9" s="331" t="n"/>
      <c r="F9" s="343" t="inlineStr">
        <is>
          <t>-</t>
        </is>
      </c>
      <c r="G9" s="344" t="inlineStr">
        <is>
          <t>-</t>
        </is>
      </c>
      <c r="H9" s="595" t="inlineStr">
        <is>
          <t>-</t>
        </is>
      </c>
    </row>
    <row r="10">
      <c r="A10" s="345" t="inlineStr">
        <is>
          <t>Flexi Cap Fund</t>
        </is>
      </c>
      <c r="B10" s="596">
        <f t="array" ref="B10">_xlfn.LET(_xlpm.lbl,B$2,IF(_xlpm.lbl="","",_xlfn.LET(_xlpm.w,COUNTA('AMFI-Mar''25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Mar''26'!$A$1:$AAG$71,_xlpm.idx,IFERROR(_xlfn.XMATCH(_xlpm.lbl,_xlpm.labs),0),_xlpm.col,IF(_xlpm.idx=0,0,INDEX(_xlpm.starts,1,_xlpm.idx)+4),IF(_xlpm.col=0,"",INDEX(_xlpm.srcFull,MATCH("Flexi Cap Fund",_xlpm.a,0),_xlpm.col)))))</f>
        <v/>
      </c>
      <c r="C10" s="596">
        <f t="array" ref="C10">_xlfn.LET(_xlpm.lbl,C$2,IF(_xlpm.lbl="","",_xlfn.LET(_xlpm.w,COUNTA('AMFI-Mar''25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Mar''26'!$A$1:$AAG$71,_xlpm.idx,IFERROR(_xlfn.XMATCH(_xlpm.lbl,_xlpm.labs),0),_xlpm.col,IF(_xlpm.idx=0,0,INDEX(_xlpm.starts,1,_xlpm.idx)+4),IF(_xlpm.col=0,"",INDEX(_xlpm.srcFull,MATCH("Flexi Cap Fund",_xlpm.a,0),_xlpm.col)))))</f>
        <v/>
      </c>
      <c r="D10" s="597">
        <f>IFERROR((C10-B10)/B10,"-")</f>
        <v/>
      </c>
      <c r="E10" s="348" t="n"/>
      <c r="F10" s="598">
        <f t="array" ref="F10">_xlfn.LET(_xlpm.lbl,F$2,IF(_xlpm.lbl="","",_xlfn.LET(_xlpm.w,COUNTA('AMFI-Mar''25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Mar''26'!$A$1:$AAG$71,_xlpm.idx,IFERROR(_xlfn.XMATCH(_xlpm.lbl,_xlpm.labs),0),_xlpm.col,IF(_xlpm.idx=0,0,INDEX(_xlpm.starts,1,_xlpm.idx)+5),IF(_xlpm.col=0,"",INDEX(_xlpm.srcFull,MATCH("Flexi Cap Fund",_xlpm.a,0),_xlpm.col)))))</f>
        <v/>
      </c>
      <c r="G10" s="599">
        <f t="array" ref="G10">_xlfn.LET(_xlpm.lbl,G$2,IF(_xlpm.lbl="","",_xlfn.LET(_xlpm.w,COUNTA('AMFI-Mar''25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Mar''26'!$A$1:$AAG$71,_xlpm.idx,IFERROR(_xlfn.XMATCH(_xlpm.lbl,_xlpm.labs),0),_xlpm.col,IF(_xlpm.idx=0,0,INDEX(_xlpm.starts,1,_xlpm.idx)+5),IF(_xlpm.col=0,"",INDEX(_xlpm.srcFull,MATCH("Flexi Cap Fund",_xlpm.a,0),_xlpm.col)))))</f>
        <v/>
      </c>
      <c r="H10" s="597">
        <f>IFERROR((G10-F10)/F10,"-")</f>
        <v/>
      </c>
    </row>
    <row r="11">
      <c r="A11" s="345" t="inlineStr">
        <is>
          <t>Mid Cap Fund</t>
        </is>
      </c>
      <c r="B11" s="596">
        <f t="array" ref="B11">_xlfn.LET(_xlpm.lbl,B$2,IF(_xlpm.lbl="","",_xlfn.LET(_xlpm.w,COUNTA('AMFI-Mar''25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Mar''26'!$A$1:$AAG$71,_xlpm.idx,IFERROR(_xlfn.XMATCH(_xlpm.lbl,_xlpm.labs),0),_xlpm.col,IF(_xlpm.idx=0,0,INDEX(_xlpm.starts,1,_xlpm.idx)+4),IF(_xlpm.col=0,"",INDEX(_xlpm.srcFull,MATCH("Mid Cap Fund",_xlpm.a,0),_xlpm.col)))))</f>
        <v/>
      </c>
      <c r="C11" s="596">
        <f t="array" ref="C11">_xlfn.LET(_xlpm.lbl,C$2,IF(_xlpm.lbl="","",_xlfn.LET(_xlpm.w,COUNTA('AMFI-Mar''25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Mar''26'!$A$1:$AAG$71,_xlpm.idx,IFERROR(_xlfn.XMATCH(_xlpm.lbl,_xlpm.labs),0),_xlpm.col,IF(_xlpm.idx=0,0,INDEX(_xlpm.starts,1,_xlpm.idx)+4),IF(_xlpm.col=0,"",INDEX(_xlpm.srcFull,MATCH("Mid Cap Fund",_xlpm.a,0),_xlpm.col)))))</f>
        <v/>
      </c>
      <c r="D11" s="597">
        <f>IFERROR((C11-B11)/B11,"-")</f>
        <v/>
      </c>
      <c r="E11" s="348" t="n"/>
      <c r="F11" s="598">
        <f t="array" ref="F11">_xlfn.LET(_xlpm.lbl,F$2,IF(_xlpm.lbl="","",_xlfn.LET(_xlpm.w,COUNTA('AMFI-Mar''25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Mar''26'!$A$1:$AAG$71,_xlpm.idx,IFERROR(_xlfn.XMATCH(_xlpm.lbl,_xlpm.labs),0),_xlpm.col,IF(_xlpm.idx=0,0,INDEX(_xlpm.starts,1,_xlpm.idx)+5),IF(_xlpm.col=0,"",INDEX(_xlpm.srcFull,MATCH("Mid Cap Fund",_xlpm.a,0),_xlpm.col)))))</f>
        <v/>
      </c>
      <c r="G11" s="599">
        <f t="array" ref="G11">_xlfn.LET(_xlpm.lbl,G$2,IF(_xlpm.lbl="","",_xlfn.LET(_xlpm.w,COUNTA('AMFI-Mar''25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Mar''26'!$A$1:$AAG$71,_xlpm.idx,IFERROR(_xlfn.XMATCH(_xlpm.lbl,_xlpm.labs),0),_xlpm.col,IF(_xlpm.idx=0,0,INDEX(_xlpm.starts,1,_xlpm.idx)+5),IF(_xlpm.col=0,"",INDEX(_xlpm.srcFull,MATCH("Mid Cap Fund",_xlpm.a,0),_xlpm.col)))))</f>
        <v/>
      </c>
      <c r="H11" s="597">
        <f>IFERROR((G11-F11)/F11,"-")</f>
        <v/>
      </c>
    </row>
    <row r="12">
      <c r="A12" s="345" t="inlineStr">
        <is>
          <t>Large &amp; Mid Cap Fund</t>
        </is>
      </c>
      <c r="B12" s="596">
        <f t="array" ref="B12">_xlfn.LET(_xlpm.lbl,B$2,IF(_xlpm.lbl="","",_xlfn.LET(_xlpm.w,COUNTA('AMFI-Mar''25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Mar''26'!$A$1:$AAG$71,_xlpm.idx,IFERROR(_xlfn.XMATCH(_xlpm.lbl,_xlpm.labs),0),_xlpm.col,IF(_xlpm.idx=0,0,INDEX(_xlpm.starts,1,_xlpm.idx)+4),IF(_xlpm.col=0,"",INDEX(_xlpm.srcFull,MATCH("Large &amp; Mid Cap Fund",_xlpm.a,0),_xlpm.col)))))</f>
        <v/>
      </c>
      <c r="C12" s="596">
        <f t="array" ref="C12">_xlfn.LET(_xlpm.lbl,C$2,IF(_xlpm.lbl="","",_xlfn.LET(_xlpm.w,COUNTA('AMFI-Mar''25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Mar''26'!$A$1:$AAG$71,_xlpm.idx,IFERROR(_xlfn.XMATCH(_xlpm.lbl,_xlpm.labs),0),_xlpm.col,IF(_xlpm.idx=0,0,INDEX(_xlpm.starts,1,_xlpm.idx)+4),IF(_xlpm.col=0,"",INDEX(_xlpm.srcFull,MATCH("Large &amp; Mid Cap Fund",_xlpm.a,0),_xlpm.col)))))</f>
        <v/>
      </c>
      <c r="D12" s="597">
        <f>IFERROR((C12-B12)/B12,"-")</f>
        <v/>
      </c>
      <c r="E12" s="348" t="n"/>
      <c r="F12" s="598">
        <f t="array" ref="F12">_xlfn.LET(_xlpm.lbl,F$2,IF(_xlpm.lbl="","",_xlfn.LET(_xlpm.w,COUNTA('AMFI-Mar''25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Mar''26'!$A$1:$AAG$71,_xlpm.idx,IFERROR(_xlfn.XMATCH(_xlpm.lbl,_xlpm.labs),0),_xlpm.col,IF(_xlpm.idx=0,0,INDEX(_xlpm.starts,1,_xlpm.idx)+5),IF(_xlpm.col=0,"",INDEX(_xlpm.srcFull,MATCH("Large &amp; Mid Cap Fund",_xlpm.a,0),_xlpm.col)))))</f>
        <v/>
      </c>
      <c r="G12" s="599">
        <f t="array" ref="G12">_xlfn.LET(_xlpm.lbl,G$2,IF(_xlpm.lbl="","",_xlfn.LET(_xlpm.w,COUNTA('AMFI-Mar''25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Mar''26'!$A$1:$AAG$71,_xlpm.idx,IFERROR(_xlfn.XMATCH(_xlpm.lbl,_xlpm.labs),0),_xlpm.col,IF(_xlpm.idx=0,0,INDEX(_xlpm.starts,1,_xlpm.idx)+5),IF(_xlpm.col=0,"",INDEX(_xlpm.srcFull,MATCH("Large &amp; Mid Cap Fund",_xlpm.a,0),_xlpm.col)))))</f>
        <v/>
      </c>
      <c r="H12" s="597">
        <f>IFERROR((G12-F12)/F12,"-")</f>
        <v/>
      </c>
    </row>
    <row r="13">
      <c r="A13" s="345" t="inlineStr">
        <is>
          <t>Small Cap Fund</t>
        </is>
      </c>
      <c r="B13" s="596">
        <f t="array" ref="B13">_xlfn.LET(_xlpm.lbl,B$2,IF(_xlpm.lbl="","",_xlfn.LET(_xlpm.w,COUNTA('AMFI-Mar''25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Mar''26'!$A$1:$AAG$71,_xlpm.idx,IFERROR(_xlfn.XMATCH(_xlpm.lbl,_xlpm.labs),0),_xlpm.col,IF(_xlpm.idx=0,0,INDEX(_xlpm.starts,1,_xlpm.idx)+4),IF(_xlpm.col=0,"",INDEX(_xlpm.srcFull,MATCH("Small Cap Fund",_xlpm.a,0),_xlpm.col)))))</f>
        <v/>
      </c>
      <c r="C13" s="596">
        <f t="array" ref="C13">_xlfn.LET(_xlpm.lbl,C$2,IF(_xlpm.lbl="","",_xlfn.LET(_xlpm.w,COUNTA('AMFI-Mar''25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Mar''26'!$A$1:$AAG$71,_xlpm.idx,IFERROR(_xlfn.XMATCH(_xlpm.lbl,_xlpm.labs),0),_xlpm.col,IF(_xlpm.idx=0,0,INDEX(_xlpm.starts,1,_xlpm.idx)+4),IF(_xlpm.col=0,"",INDEX(_xlpm.srcFull,MATCH("Small Cap Fund",_xlpm.a,0),_xlpm.col)))))</f>
        <v/>
      </c>
      <c r="D13" s="597">
        <f>IFERROR((C13-B13)/B13,"-")</f>
        <v/>
      </c>
      <c r="E13" s="348" t="n"/>
      <c r="F13" s="598">
        <f t="array" ref="F13">_xlfn.LET(_xlpm.lbl,F$2,IF(_xlpm.lbl="","",_xlfn.LET(_xlpm.w,COUNTA('AMFI-Mar''25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Mar''26'!$A$1:$AAG$71,_xlpm.idx,IFERROR(_xlfn.XMATCH(_xlpm.lbl,_xlpm.labs),0),_xlpm.col,IF(_xlpm.idx=0,0,INDEX(_xlpm.starts,1,_xlpm.idx)+5),IF(_xlpm.col=0,"",INDEX(_xlpm.srcFull,MATCH("Small Cap Fund",_xlpm.a,0),_xlpm.col)))))</f>
        <v/>
      </c>
      <c r="G13" s="599">
        <f t="array" ref="G13">_xlfn.LET(_xlpm.lbl,G$2,IF(_xlpm.lbl="","",_xlfn.LET(_xlpm.w,COUNTA('AMFI-Mar''25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Mar''26'!$A$1:$AAG$71,_xlpm.idx,IFERROR(_xlfn.XMATCH(_xlpm.lbl,_xlpm.labs),0),_xlpm.col,IF(_xlpm.idx=0,0,INDEX(_xlpm.starts,1,_xlpm.idx)+5),IF(_xlpm.col=0,"",INDEX(_xlpm.srcFull,MATCH("Small Cap Fund",_xlpm.a,0),_xlpm.col)))))</f>
        <v/>
      </c>
      <c r="H13" s="597">
        <f>IFERROR((G13-F13)/F13,"-")</f>
        <v/>
      </c>
    </row>
    <row r="14">
      <c r="A14" s="345" t="inlineStr">
        <is>
          <t>Large Cap Fund</t>
        </is>
      </c>
      <c r="B14" s="596">
        <f t="array" ref="B14">_xlfn.LET(_xlpm.lbl,B$2,IF(_xlpm.lbl="","",_xlfn.LET(_xlpm.w,COUNTA('AMFI-Mar''25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Mar''26'!$A$1:$AAG$71,_xlpm.idx,IFERROR(_xlfn.XMATCH(_xlpm.lbl,_xlpm.labs),0),_xlpm.col,IF(_xlpm.idx=0,0,INDEX(_xlpm.starts,1,_xlpm.idx)+4),IF(_xlpm.col=0,"",INDEX(_xlpm.srcFull,MATCH("Large Cap Fund",_xlpm.a,0),_xlpm.col)))))</f>
        <v/>
      </c>
      <c r="C14" s="596">
        <f t="array" ref="C14">_xlfn.LET(_xlpm.lbl,C$2,IF(_xlpm.lbl="","",_xlfn.LET(_xlpm.w,COUNTA('AMFI-Mar''25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Mar''26'!$A$1:$AAG$71,_xlpm.idx,IFERROR(_xlfn.XMATCH(_xlpm.lbl,_xlpm.labs),0),_xlpm.col,IF(_xlpm.idx=0,0,INDEX(_xlpm.starts,1,_xlpm.idx)+4),IF(_xlpm.col=0,"",INDEX(_xlpm.srcFull,MATCH("Large Cap Fund",_xlpm.a,0),_xlpm.col)))))</f>
        <v/>
      </c>
      <c r="D14" s="597">
        <f>IFERROR((C14-B14)/B14,"-")</f>
        <v/>
      </c>
      <c r="E14" s="348" t="n"/>
      <c r="F14" s="598">
        <f t="array" ref="F14">_xlfn.LET(_xlpm.lbl,F$2,IF(_xlpm.lbl="","",_xlfn.LET(_xlpm.w,COUNTA('AMFI-Mar''25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Mar''26'!$A$1:$AAG$71,_xlpm.idx,IFERROR(_xlfn.XMATCH(_xlpm.lbl,_xlpm.labs),0),_xlpm.col,IF(_xlpm.idx=0,0,INDEX(_xlpm.starts,1,_xlpm.idx)+5),IF(_xlpm.col=0,"",INDEX(_xlpm.srcFull,MATCH("Large Cap Fund",_xlpm.a,0),_xlpm.col)))))</f>
        <v/>
      </c>
      <c r="G14" s="599">
        <f t="array" ref="G14">_xlfn.LET(_xlpm.lbl,G$2,IF(_xlpm.lbl="","",_xlfn.LET(_xlpm.w,COUNTA('AMFI-Mar''25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Mar''26'!$A$1:$AAG$71,_xlpm.idx,IFERROR(_xlfn.XMATCH(_xlpm.lbl,_xlpm.labs),0),_xlpm.col,IF(_xlpm.idx=0,0,INDEX(_xlpm.starts,1,_xlpm.idx)+5),IF(_xlpm.col=0,"",INDEX(_xlpm.srcFull,MATCH("Large Cap Fund",_xlpm.a,0),_xlpm.col)))))</f>
        <v/>
      </c>
      <c r="H14" s="597">
        <f>IFERROR((G14-F14)/F14,"-")</f>
        <v/>
      </c>
    </row>
    <row r="15">
      <c r="A15" s="345" t="inlineStr">
        <is>
          <t>Multi Cap Fund</t>
        </is>
      </c>
      <c r="B15" s="596">
        <f t="array" ref="B15">_xlfn.LET(_xlpm.lbl,B$2,IF(_xlpm.lbl="","",_xlfn.LET(_xlpm.w,COUNTA('AMFI-Mar''25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Mar''26'!$A$1:$AAG$71,_xlpm.idx,IFERROR(_xlfn.XMATCH(_xlpm.lbl,_xlpm.labs),0),_xlpm.col,IF(_xlpm.idx=0,0,INDEX(_xlpm.starts,1,_xlpm.idx)+4),IF(_xlpm.col=0,"",INDEX(_xlpm.srcFull,MATCH("Multi Cap Fund",_xlpm.a,0),_xlpm.col)))))</f>
        <v/>
      </c>
      <c r="C15" s="596">
        <f t="array" ref="C15">_xlfn.LET(_xlpm.lbl,C$2,IF(_xlpm.lbl="","",_xlfn.LET(_xlpm.w,COUNTA('AMFI-Mar''25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Mar''26'!$A$1:$AAG$71,_xlpm.idx,IFERROR(_xlfn.XMATCH(_xlpm.lbl,_xlpm.labs),0),_xlpm.col,IF(_xlpm.idx=0,0,INDEX(_xlpm.starts,1,_xlpm.idx)+4),IF(_xlpm.col=0,"",INDEX(_xlpm.srcFull,MATCH("Multi Cap Fund",_xlpm.a,0),_xlpm.col)))))</f>
        <v/>
      </c>
      <c r="D15" s="597">
        <f>IFERROR((C15-B15)/B15,"-")</f>
        <v/>
      </c>
      <c r="E15" s="348" t="n"/>
      <c r="F15" s="598">
        <f t="array" ref="F15">_xlfn.LET(_xlpm.lbl,F$2,IF(_xlpm.lbl="","",_xlfn.LET(_xlpm.w,COUNTA('AMFI-Mar''25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Mar''26'!$A$1:$AAG$71,_xlpm.idx,IFERROR(_xlfn.XMATCH(_xlpm.lbl,_xlpm.labs),0),_xlpm.col,IF(_xlpm.idx=0,0,INDEX(_xlpm.starts,1,_xlpm.idx)+5),IF(_xlpm.col=0,"",INDEX(_xlpm.srcFull,MATCH("Multi Cap Fund",_xlpm.a,0),_xlpm.col)))))</f>
        <v/>
      </c>
      <c r="G15" s="599">
        <f t="array" ref="G15">_xlfn.LET(_xlpm.lbl,G$2,IF(_xlpm.lbl="","",_xlfn.LET(_xlpm.w,COUNTA('AMFI-Mar''25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Mar''26'!$A$1:$AAG$71,_xlpm.idx,IFERROR(_xlfn.XMATCH(_xlpm.lbl,_xlpm.labs),0),_xlpm.col,IF(_xlpm.idx=0,0,INDEX(_xlpm.starts,1,_xlpm.idx)+5),IF(_xlpm.col=0,"",INDEX(_xlpm.srcFull,MATCH("Multi Cap Fund",_xlpm.a,0),_xlpm.col)))))</f>
        <v/>
      </c>
      <c r="H15" s="597">
        <f>IFERROR((G15-F15)/F15,"-")</f>
        <v/>
      </c>
    </row>
    <row r="16">
      <c r="A16" s="345" t="inlineStr">
        <is>
          <t>Focused Fund</t>
        </is>
      </c>
      <c r="B16" s="596">
        <f t="array" ref="B16">_xlfn.LET(_xlpm.lbl,B$2,IF(_xlpm.lbl="","",_xlfn.LET(_xlpm.w,COUNTA('AMFI-Mar''25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Mar''26'!$A$1:$AAG$71,_xlpm.idx,IFERROR(_xlfn.XMATCH(_xlpm.lbl,_xlpm.labs),0),_xlpm.col,IF(_xlpm.idx=0,0,INDEX(_xlpm.starts,1,_xlpm.idx)+4),IF(_xlpm.col=0,"",INDEX(_xlpm.srcFull,MATCH("Focused Fund",_xlpm.a,0),_xlpm.col)))))</f>
        <v/>
      </c>
      <c r="C16" s="596">
        <f t="array" ref="C16">_xlfn.LET(_xlpm.lbl,C$2,IF(_xlpm.lbl="","",_xlfn.LET(_xlpm.w,COUNTA('AMFI-Mar''25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Mar''26'!$A$1:$AAG$71,_xlpm.idx,IFERROR(_xlfn.XMATCH(_xlpm.lbl,_xlpm.labs),0),_xlpm.col,IF(_xlpm.idx=0,0,INDEX(_xlpm.starts,1,_xlpm.idx)+4),IF(_xlpm.col=0,"",INDEX(_xlpm.srcFull,MATCH("Focused Fund",_xlpm.a,0),_xlpm.col)))))</f>
        <v/>
      </c>
      <c r="D16" s="597">
        <f>IFERROR((C16-B16)/B16,"-")</f>
        <v/>
      </c>
      <c r="E16" s="348" t="n"/>
      <c r="F16" s="598">
        <f t="array" ref="F16">_xlfn.LET(_xlpm.lbl,F$2,IF(_xlpm.lbl="","",_xlfn.LET(_xlpm.w,COUNTA('AMFI-Mar''25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Mar''26'!$A$1:$AAG$71,_xlpm.idx,IFERROR(_xlfn.XMATCH(_xlpm.lbl,_xlpm.labs),0),_xlpm.col,IF(_xlpm.idx=0,0,INDEX(_xlpm.starts,1,_xlpm.idx)+5),IF(_xlpm.col=0,"",INDEX(_xlpm.srcFull,MATCH("Focused Fund",_xlpm.a,0),_xlpm.col)))))</f>
        <v/>
      </c>
      <c r="G16" s="599">
        <f t="array" ref="G16">_xlfn.LET(_xlpm.lbl,G$2,IF(_xlpm.lbl="","",_xlfn.LET(_xlpm.w,COUNTA('AMFI-Mar''25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Mar''26'!$A$1:$AAG$71,_xlpm.idx,IFERROR(_xlfn.XMATCH(_xlpm.lbl,_xlpm.labs),0),_xlpm.col,IF(_xlpm.idx=0,0,INDEX(_xlpm.starts,1,_xlpm.idx)+5),IF(_xlpm.col=0,"",INDEX(_xlpm.srcFull,MATCH("Focused Fund",_xlpm.a,0),_xlpm.col)))))</f>
        <v/>
      </c>
      <c r="H16" s="597">
        <f>IFERROR((G16-F16)/F16,"-")</f>
        <v/>
      </c>
    </row>
    <row r="17">
      <c r="A17" s="345" t="inlineStr">
        <is>
          <t>Sectoral/Thematic Funds</t>
        </is>
      </c>
      <c r="B17" s="596">
        <f t="array" ref="B17">_xlfn.LET(_xlpm.lbl,B$2,IF(_xlpm.lbl="","",_xlfn.LET(_xlpm.w,COUNTA('AMFI-Mar''25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Mar''26'!$A$1:$AAG$71,_xlpm.idx,IFERROR(_xlfn.XMATCH(_xlpm.lbl,_xlpm.labs),0),_xlpm.col,IF(_xlpm.idx=0,0,INDEX(_xlpm.starts,1,_xlpm.idx)+4),IF(_xlpm.col=0,"",INDEX(_xlpm.srcFull,MATCH("Sectoral/Thematic Funds",_xlpm.a,0),_xlpm.col)))))</f>
        <v/>
      </c>
      <c r="C17" s="596">
        <f t="array" ref="C17">_xlfn.LET(_xlpm.lbl,C$2,IF(_xlpm.lbl="","",_xlfn.LET(_xlpm.w,COUNTA('AMFI-Mar''25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Mar''26'!$A$1:$AAG$71,_xlpm.idx,IFERROR(_xlfn.XMATCH(_xlpm.lbl,_xlpm.labs),0),_xlpm.col,IF(_xlpm.idx=0,0,INDEX(_xlpm.starts,1,_xlpm.idx)+4),IF(_xlpm.col=0,"",INDEX(_xlpm.srcFull,MATCH("Sectoral/Thematic Funds",_xlpm.a,0),_xlpm.col)))))</f>
        <v/>
      </c>
      <c r="D17" s="597">
        <f>IFERROR((C17-B17)/B17,"-")</f>
        <v/>
      </c>
      <c r="E17" s="348" t="n"/>
      <c r="F17" s="598">
        <f t="array" ref="F17">_xlfn.LET(_xlpm.lbl,F$2,IF(_xlpm.lbl="","",_xlfn.LET(_xlpm.w,COUNTA('AMFI-Mar''25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Mar''26'!$A$1:$AAG$71,_xlpm.idx,IFERROR(_xlfn.XMATCH(_xlpm.lbl,_xlpm.labs),0),_xlpm.col,IF(_xlpm.idx=0,0,INDEX(_xlpm.starts,1,_xlpm.idx)+5),IF(_xlpm.col=0,"",INDEX(_xlpm.srcFull,MATCH("Sectoral/Thematic Funds",_xlpm.a,0),_xlpm.col)))))</f>
        <v/>
      </c>
      <c r="G17" s="599">
        <f t="array" ref="G17">_xlfn.LET(_xlpm.lbl,G$2,IF(_xlpm.lbl="","",_xlfn.LET(_xlpm.w,COUNTA('AMFI-Mar''25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Mar''26'!$A$1:$AAG$71,_xlpm.idx,IFERROR(_xlfn.XMATCH(_xlpm.lbl,_xlpm.labs),0),_xlpm.col,IF(_xlpm.idx=0,0,INDEX(_xlpm.starts,1,_xlpm.idx)+5),IF(_xlpm.col=0,"",INDEX(_xlpm.srcFull,MATCH("Sectoral/Thematic Funds",_xlpm.a,0),_xlpm.col)))))</f>
        <v/>
      </c>
      <c r="H17" s="597">
        <f>IFERROR((G17-F17)/F17,"-")</f>
        <v/>
      </c>
    </row>
    <row r="18">
      <c r="A18" s="345" t="inlineStr">
        <is>
          <t>Value Fund/Contra Fund</t>
        </is>
      </c>
      <c r="B18" s="596">
        <f t="array" ref="B18">_xlfn.LET(_xlpm.lbl,B$2,IF(_xlpm.lbl="","",_xlfn.LET(_xlpm.w,COUNTA('AMFI-Mar''25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Mar''26'!$A$1:$AAG$71,_xlpm.idx,IFERROR(_xlfn.XMATCH(_xlpm.lbl,_xlpm.labs),0),_xlpm.col,IF(_xlpm.idx=0,0,INDEX(_xlpm.starts,1,_xlpm.idx)+4),IF(_xlpm.col=0,"",INDEX(_xlpm.srcFull,MATCH("Value Fund/Contra Fund",_xlpm.a,0),_xlpm.col)))))</f>
        <v/>
      </c>
      <c r="C18" s="596">
        <f t="array" ref="C18">_xlfn.LET(_xlpm.lbl,C$2,IF(_xlpm.lbl="","",_xlfn.LET(_xlpm.w,COUNTA('AMFI-Mar''25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Mar''26'!$A$1:$AAG$71,_xlpm.idx,IFERROR(_xlfn.XMATCH(_xlpm.lbl,_xlpm.labs),0),_xlpm.col,IF(_xlpm.idx=0,0,INDEX(_xlpm.starts,1,_xlpm.idx)+4),IF(_xlpm.col=0,"",INDEX(_xlpm.srcFull,MATCH("Value Fund/Contra Fund",_xlpm.a,0),_xlpm.col)))))</f>
        <v/>
      </c>
      <c r="D18" s="597">
        <f>IFERROR((C18-B18)/B18,"-")</f>
        <v/>
      </c>
      <c r="E18" s="348" t="n"/>
      <c r="F18" s="598">
        <f t="array" ref="F18">_xlfn.LET(_xlpm.lbl,F$2,IF(_xlpm.lbl="","",_xlfn.LET(_xlpm.w,COUNTA('AMFI-Mar''25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Mar''26'!$A$1:$AAG$71,_xlpm.idx,IFERROR(_xlfn.XMATCH(_xlpm.lbl,_xlpm.labs),0),_xlpm.col,IF(_xlpm.idx=0,0,INDEX(_xlpm.starts,1,_xlpm.idx)+5),IF(_xlpm.col=0,"",INDEX(_xlpm.srcFull,MATCH("Value Fund/Contra Fund",_xlpm.a,0),_xlpm.col)))))</f>
        <v/>
      </c>
      <c r="G18" s="599">
        <f t="array" ref="G18">_xlfn.LET(_xlpm.lbl,G$2,IF(_xlpm.lbl="","",_xlfn.LET(_xlpm.w,COUNTA('AMFI-Mar''25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Mar''26'!$A$1:$AAG$71,_xlpm.idx,IFERROR(_xlfn.XMATCH(_xlpm.lbl,_xlpm.labs),0),_xlpm.col,IF(_xlpm.idx=0,0,INDEX(_xlpm.starts,1,_xlpm.idx)+5),IF(_xlpm.col=0,"",INDEX(_xlpm.srcFull,MATCH("Value Fund/Contra Fund",_xlpm.a,0),_xlpm.col)))))</f>
        <v/>
      </c>
      <c r="H18" s="597">
        <f>IFERROR((G18-F18)/F18,"-")</f>
        <v/>
      </c>
    </row>
    <row r="19">
      <c r="A19" s="345" t="inlineStr">
        <is>
          <t>Childrens Fund</t>
        </is>
      </c>
      <c r="B19" s="596">
        <f t="array" ref="B19">_xlfn.LET(_xlpm.lbl,B$2,IF(_xlpm.lbl="","",_xlfn.LET(_xlpm.w,COUNTA('AMFI-Mar''25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Mar''26'!$A$1:$AAG$71,_xlpm.idx,IFERROR(_xlfn.XMATCH(_xlpm.lbl,_xlpm.labs),0),_xlpm.col,IF(_xlpm.idx=0,0,INDEX(_xlpm.starts,1,_xlpm.idx)+4),IF(_xlpm.col=0,"",INDEX(_xlpm.srcFull,MATCH("Childrens Fund",_xlpm.a,0),_xlpm.col)))))</f>
        <v/>
      </c>
      <c r="C19" s="596">
        <f t="array" ref="C19">_xlfn.LET(_xlpm.lbl,C$2,IF(_xlpm.lbl="","",_xlfn.LET(_xlpm.w,COUNTA('AMFI-Mar''25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Mar''26'!$A$1:$AAG$71,_xlpm.idx,IFERROR(_xlfn.XMATCH(_xlpm.lbl,_xlpm.labs),0),_xlpm.col,IF(_xlpm.idx=0,0,INDEX(_xlpm.starts,1,_xlpm.idx)+4),IF(_xlpm.col=0,"",INDEX(_xlpm.srcFull,MATCH("Childrens Fund",_xlpm.a,0),_xlpm.col)))))</f>
        <v/>
      </c>
      <c r="D19" s="597">
        <f>IFERROR((C19-B19)/B19,"-")</f>
        <v/>
      </c>
      <c r="E19" s="348" t="n"/>
      <c r="F19" s="598">
        <f t="array" ref="F19">_xlfn.LET(_xlpm.lbl,F$2,IF(_xlpm.lbl="","",_xlfn.LET(_xlpm.w,COUNTA('AMFI-Mar''25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Mar''26'!$A$1:$AAG$71,_xlpm.idx,IFERROR(_xlfn.XMATCH(_xlpm.lbl,_xlpm.labs),0),_xlpm.col,IF(_xlpm.idx=0,0,INDEX(_xlpm.starts,1,_xlpm.idx)+5),IF(_xlpm.col=0,"",INDEX(_xlpm.srcFull,MATCH("Childrens Fund",_xlpm.a,0),_xlpm.col)))))</f>
        <v/>
      </c>
      <c r="G19" s="599">
        <f t="array" ref="G19">_xlfn.LET(_xlpm.lbl,G$2,IF(_xlpm.lbl="","",_xlfn.LET(_xlpm.w,COUNTA('AMFI-Mar''25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Mar''26'!$A$1:$AAG$71,_xlpm.idx,IFERROR(_xlfn.XMATCH(_xlpm.lbl,_xlpm.labs),0),_xlpm.col,IF(_xlpm.idx=0,0,INDEX(_xlpm.starts,1,_xlpm.idx)+5),IF(_xlpm.col=0,"",INDEX(_xlpm.srcFull,MATCH("Childrens Fund",_xlpm.a,0),_xlpm.col)))))</f>
        <v/>
      </c>
      <c r="H19" s="597">
        <f>IFERROR((G19-F19)/F19,"-")</f>
        <v/>
      </c>
    </row>
    <row r="20">
      <c r="A20" s="345" t="inlineStr">
        <is>
          <t>Retirement Fund</t>
        </is>
      </c>
      <c r="B20" s="596">
        <f t="array" ref="B20">_xlfn.LET(_xlpm.lbl,B$2,IF(_xlpm.lbl="","",_xlfn.LET(_xlpm.w,COUNTA('AMFI-Mar''25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Mar''26'!$A$1:$AAG$71,_xlpm.idx,IFERROR(_xlfn.XMATCH(_xlpm.lbl,_xlpm.labs),0),_xlpm.col,IF(_xlpm.idx=0,0,INDEX(_xlpm.starts,1,_xlpm.idx)+4),IF(_xlpm.col=0,"",INDEX(_xlpm.srcFull,MATCH("Retirement Fund",_xlpm.a,0),_xlpm.col)))))</f>
        <v/>
      </c>
      <c r="C20" s="596">
        <f t="array" ref="C20">_xlfn.LET(_xlpm.lbl,C$2,IF(_xlpm.lbl="","",_xlfn.LET(_xlpm.w,COUNTA('AMFI-Mar''25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Mar''26'!$A$1:$AAG$71,_xlpm.idx,IFERROR(_xlfn.XMATCH(_xlpm.lbl,_xlpm.labs),0),_xlpm.col,IF(_xlpm.idx=0,0,INDEX(_xlpm.starts,1,_xlpm.idx)+4),IF(_xlpm.col=0,"",INDEX(_xlpm.srcFull,MATCH("Retirement Fund",_xlpm.a,0),_xlpm.col)))))</f>
        <v/>
      </c>
      <c r="D20" s="597">
        <f>IFERROR((C20-B20)/B20,"-")</f>
        <v/>
      </c>
      <c r="E20" s="348" t="n"/>
      <c r="F20" s="598">
        <f t="array" ref="F20">_xlfn.LET(_xlpm.lbl,F$2,IF(_xlpm.lbl="","",_xlfn.LET(_xlpm.w,COUNTA('AMFI-Mar''25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Mar''26'!$A$1:$AAG$71,_xlpm.idx,IFERROR(_xlfn.XMATCH(_xlpm.lbl,_xlpm.labs),0),_xlpm.col,IF(_xlpm.idx=0,0,INDEX(_xlpm.starts,1,_xlpm.idx)+5),IF(_xlpm.col=0,"",INDEX(_xlpm.srcFull,MATCH("Retirement Fund",_xlpm.a,0),_xlpm.col)))))</f>
        <v/>
      </c>
      <c r="G20" s="599">
        <f t="array" ref="G20">_xlfn.LET(_xlpm.lbl,G$2,IF(_xlpm.lbl="","",_xlfn.LET(_xlpm.w,COUNTA('AMFI-Mar''25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Mar''26'!$A$1:$AAG$71,_xlpm.idx,IFERROR(_xlfn.XMATCH(_xlpm.lbl,_xlpm.labs),0),_xlpm.col,IF(_xlpm.idx=0,0,INDEX(_xlpm.starts,1,_xlpm.idx)+5),IF(_xlpm.col=0,"",INDEX(_xlpm.srcFull,MATCH("Retirement Fund",_xlpm.a,0),_xlpm.col)))))</f>
        <v/>
      </c>
      <c r="H20" s="597">
        <f>IFERROR((G20-F20)/F20,"-")</f>
        <v/>
      </c>
    </row>
    <row r="21">
      <c r="A21" s="345" t="inlineStr">
        <is>
          <t>Dividend Yield Fund</t>
        </is>
      </c>
      <c r="B21" s="596">
        <f t="array" ref="B21">_xlfn.LET(_xlpm.lbl,B$2,IF(_xlpm.lbl="","",_xlfn.LET(_xlpm.w,COUNTA('AMFI-Mar''25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Mar''26'!$A$1:$AAG$71,_xlpm.idx,IFERROR(_xlfn.XMATCH(_xlpm.lbl,_xlpm.labs),0),_xlpm.col,IF(_xlpm.idx=0,0,INDEX(_xlpm.starts,1,_xlpm.idx)+4),IF(_xlpm.col=0,"",INDEX(_xlpm.srcFull,MATCH("Dividend Yield Fund",_xlpm.a,0),_xlpm.col)))))</f>
        <v/>
      </c>
      <c r="C21" s="596">
        <f t="array" ref="C21">_xlfn.LET(_xlpm.lbl,C$2,IF(_xlpm.lbl="","",_xlfn.LET(_xlpm.w,COUNTA('AMFI-Mar''25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Mar''26'!$A$1:$AAG$71,_xlpm.idx,IFERROR(_xlfn.XMATCH(_xlpm.lbl,_xlpm.labs),0),_xlpm.col,IF(_xlpm.idx=0,0,INDEX(_xlpm.starts,1,_xlpm.idx)+4),IF(_xlpm.col=0,"",INDEX(_xlpm.srcFull,MATCH("Dividend Yield Fund",_xlpm.a,0),_xlpm.col)))))</f>
        <v/>
      </c>
      <c r="D21" s="597">
        <f>IFERROR((C21-B21)/B21,"-")</f>
        <v/>
      </c>
      <c r="E21" s="348" t="n"/>
      <c r="F21" s="598">
        <f t="array" ref="F21">_xlfn.LET(_xlpm.lbl,F$2,IF(_xlpm.lbl="","",_xlfn.LET(_xlpm.w,COUNTA('AMFI-Mar''25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Mar''26'!$A$1:$AAG$71,_xlpm.idx,IFERROR(_xlfn.XMATCH(_xlpm.lbl,_xlpm.labs),0),_xlpm.col,IF(_xlpm.idx=0,0,INDEX(_xlpm.starts,1,_xlpm.idx)+5),IF(_xlpm.col=0,"",INDEX(_xlpm.srcFull,MATCH("Dividend Yield Fund",_xlpm.a,0),_xlpm.col)))))</f>
        <v/>
      </c>
      <c r="G21" s="599">
        <f t="array" ref="G21">_xlfn.LET(_xlpm.lbl,G$2,IF(_xlpm.lbl="","",_xlfn.LET(_xlpm.w,COUNTA('AMFI-Mar''25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Mar''26'!$A$1:$AAG$71,_xlpm.idx,IFERROR(_xlfn.XMATCH(_xlpm.lbl,_xlpm.labs),0),_xlpm.col,IF(_xlpm.idx=0,0,INDEX(_xlpm.starts,1,_xlpm.idx)+5),IF(_xlpm.col=0,"",INDEX(_xlpm.srcFull,MATCH("Dividend Yield Fund",_xlpm.a,0),_xlpm.col)))))</f>
        <v/>
      </c>
      <c r="H21" s="597">
        <f>IFERROR((G21-F21)/F21,"-")</f>
        <v/>
      </c>
    </row>
    <row r="22">
      <c r="A22" s="345" t="inlineStr">
        <is>
          <t>Other Equity Schemes</t>
        </is>
      </c>
      <c r="B22" s="596">
        <f t="array" ref="B22">_xlfn.LET(_xlpm.lbl,B$2,IF(_xlpm.lbl="","",_xlfn.LET(_xlpm.w,COUNTA('AMFI-Mar''25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Mar''26'!$A$1:$AAG$71,_xlpm.idx,IFERROR(_xlfn.XMATCH(_xlpm.lbl,_xlpm.labs),0),_xlpm.col,IF(_xlpm.idx=0,0,INDEX(_xlpm.starts,1,_xlpm.idx)+4),IF(_xlpm.col=0,"",INDEX(_xlpm.srcFull,MATCH("Other Equity Schemes",_xlpm.a,0),_xlpm.col)))))</f>
        <v/>
      </c>
      <c r="C22" s="596">
        <f t="array" ref="C22">_xlfn.LET(_xlpm.lbl,C$2,IF(_xlpm.lbl="","",_xlfn.LET(_xlpm.w,COUNTA('AMFI-Mar''25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Mar''26'!$A$1:$AAG$71,_xlpm.idx,IFERROR(_xlfn.XMATCH(_xlpm.lbl,_xlpm.labs),0),_xlpm.col,IF(_xlpm.idx=0,0,INDEX(_xlpm.starts,1,_xlpm.idx)+4),IF(_xlpm.col=0,"",INDEX(_xlpm.srcFull,MATCH("Other Equity Schemes",_xlpm.a,0),_xlpm.col)))))</f>
        <v/>
      </c>
      <c r="D22" s="597">
        <f>IFERROR((C22-B22)/B22,"-")</f>
        <v/>
      </c>
      <c r="E22" s="348" t="n"/>
      <c r="F22" s="598">
        <f t="array" ref="F22">_xlfn.LET(_xlpm.lbl,F$2,IF(_xlpm.lbl="","",_xlfn.LET(_xlpm.w,COUNTA('AMFI-Mar''25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Mar''26'!$A$1:$AAG$71,_xlpm.idx,IFERROR(_xlfn.XMATCH(_xlpm.lbl,_xlpm.labs),0),_xlpm.col,IF(_xlpm.idx=0,0,INDEX(_xlpm.starts,1,_xlpm.idx)+5),IF(_xlpm.col=0,"",INDEX(_xlpm.srcFull,MATCH("Other Equity Schemes",_xlpm.a,0),_xlpm.col)))))</f>
        <v/>
      </c>
      <c r="G22" s="599">
        <f t="array" ref="G22">_xlfn.LET(_xlpm.lbl,G$2,IF(_xlpm.lbl="","",_xlfn.LET(_xlpm.w,COUNTA('AMFI-Mar''25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Mar''26'!$A$1:$AAG$71,_xlpm.idx,IFERROR(_xlfn.XMATCH(_xlpm.lbl,_xlpm.labs),0),_xlpm.col,IF(_xlpm.idx=0,0,INDEX(_xlpm.starts,1,_xlpm.idx)+5),IF(_xlpm.col=0,"",INDEX(_xlpm.srcFull,MATCH("Other Equity Schemes",_xlpm.a,0),_xlpm.col)))))</f>
        <v/>
      </c>
      <c r="H22" s="597">
        <f>IFERROR((G22-F22)/F22,"-")</f>
        <v/>
      </c>
    </row>
    <row r="23">
      <c r="A23" s="345" t="inlineStr">
        <is>
          <t>Other Schemes</t>
        </is>
      </c>
      <c r="B23" s="596">
        <f t="array" ref="B23">_xlfn.LET(_xlpm.lbl,B$2,IF(_xlpm.lbl="","",_xlfn.LET(_xlpm.w,COUNTA('AMFI-Mar''25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",_xlpm.hdrs)+2,4),2),_xlpm.dataCol,INDEX('AMFI-Mar''25 to Mar''26'!$A$1:$AAG$68,0,1),_xlpm.idx,IFERROR(_xlfn.XMATCH(_xlpm.lbl,_xlpm.labs),0),_xlpm.col,IF(_xlpm.idx=0,0,INDEX(_xlpm.starts,1,_xlpm.idx)+4),_xlpm.colVals,INDEX('AMFI-Mar''25 to Mar''26'!$A$1:$AAG$68,_xlfn.SEQUENCE(ROWS(_xlpm.a)),_xlpm.col),IF(_xlpm.col=0,"",SUM(IFERROR(IF(_xlpm.a="Other Schemes",_xlpm.colVals,0),0))))))</f>
        <v/>
      </c>
      <c r="C23" s="596">
        <f t="array" ref="C23">_xlfn.LET(_xlpm.lbl,C$2,IF(_xlpm.lbl="","",_xlfn.LET(_xlpm.w,COUNTA('AMFI-Mar''25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",_xlpm.hdrs)+2,4),2),_xlpm.dataCol,INDEX('AMFI-Mar''25 to Mar''26'!$A$1:$AAG$68,0,1),_xlpm.idx,IFERROR(_xlfn.XMATCH(_xlpm.lbl,_xlpm.labs),0),_xlpm.col,IF(_xlpm.idx=0,0,INDEX(_xlpm.starts,1,_xlpm.idx)+4),_xlpm.colVals,INDEX('AMFI-Mar''25 to Mar''26'!$A$1:$AAG$68,_xlfn.SEQUENCE(ROWS(_xlpm.a)),_xlpm.col),IF(_xlpm.col=0,"",SUM(IFERROR(IF(_xlpm.a="Other Schemes",_xlpm.colVals,0),0))))))</f>
        <v/>
      </c>
      <c r="D23" s="597">
        <f>IFERROR((C23-B23)/B23,"-")</f>
        <v/>
      </c>
      <c r="E23" s="348" t="n"/>
      <c r="F23" s="598">
        <f t="array" ref="F23">_xlfn.LET(_xlpm.lbl,F$2,IF(_xlpm.lbl="","",_xlfn.LET(_xlpm.w,COUNTA('AMFI-Mar''25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",_xlpm.hdrs)+2,4),2),_xlpm.dataCol,INDEX('AMFI-Mar''25 to Mar''26'!$A$1:$AAG$68,0,1),_xlpm.idx,IFERROR(_xlfn.XMATCH(_xlpm.lbl,_xlpm.labs),0),_xlpm.col,IF(_xlpm.idx=0,0,INDEX(_xlpm.starts,1,_xlpm.idx)+5),_xlpm.colVals,INDEX('AMFI-Mar''25 to Mar''26'!$A$1:$AAG$68,_xlfn.SEQUENCE(ROWS(_xlpm.a)),_xlpm.col),IF(_xlpm.col=0,"",SUM(IFERROR(IF(_xlpm.a="Other Schemes",_xlpm.colVals,0),0))))))</f>
        <v/>
      </c>
      <c r="G23" s="599">
        <f t="array" ref="G23">_xlfn.LET(_xlpm.lbl,G$2,IF(_xlpm.lbl="","",_xlfn.LET(_xlpm.w,COUNTA('AMFI-Mar''25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",_xlpm.hdrs)+2,4),2),_xlpm.idx,IFERROR(_xlfn.XMATCH(_xlpm.lbl,_xlpm.labs),0),_xlpm.col,IF(_xlpm.idx=0,0,INDEX(_xlpm.starts,1,_xlpm.idx)+5),_xlpm.colVals,INDEX('AMFI-Mar''25 to Mar''26'!$A$1:$AAG$68,_xlfn.SEQUENCE(ROWS(_xlpm.a)),_xlpm.col),IF(_xlpm.col=0,"",SUM(IFERROR(IF(_xlpm.a="Other Schemes",_xlpm.colVals,0),0))))))</f>
        <v/>
      </c>
      <c r="H23" s="597">
        <f>IFERROR((G23-F23)/F23,"-")</f>
        <v/>
      </c>
    </row>
    <row r="24">
      <c r="A24" s="345" t="inlineStr">
        <is>
          <t>ELSS-Close Ended</t>
        </is>
      </c>
      <c r="B24" s="596">
        <f t="array" ref="B24">_xlfn.LET(_xlpm.lbl,B$2,IF(_xlpm.lbl="","",_xlfn.LET(_xlpm.w,COUNTA('AMFI-Mar''25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Mar''26'!$A$1:$AAG$71,_xlpm.idx,IFERROR(_xlfn.XMATCH(_xlpm.lbl,_xlpm.labs),0),_xlpm.col,IF(_xlpm.idx=0,0,INDEX(_xlpm.starts,1,_xlpm.idx)+4),IF(_xlpm.col=0,"",INDEX(_xlpm.srcFull,MATCH("ELSS-Close Ended",_xlpm.a,0),_xlpm.col)))))</f>
        <v/>
      </c>
      <c r="C24" s="596">
        <f t="array" ref="C24">_xlfn.LET(_xlpm.lbl,C$2,IF(_xlpm.lbl="","",_xlfn.LET(_xlpm.w,COUNTA('AMFI-Mar''25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Mar''26'!$A$1:$AAG$71,_xlpm.idx,IFERROR(_xlfn.XMATCH(_xlpm.lbl,_xlpm.labs),0),_xlpm.col,IF(_xlpm.idx=0,0,INDEX(_xlpm.starts,1,_xlpm.idx)+4),IF(_xlpm.col=0,"",INDEX(_xlpm.srcFull,MATCH("ELSS-Close Ended",_xlpm.a,0),_xlpm.col)))))</f>
        <v/>
      </c>
      <c r="D24" s="597">
        <f>IFERROR((C24-B24)/B24,"-")</f>
        <v/>
      </c>
      <c r="E24" s="348" t="n"/>
      <c r="F24" s="598">
        <f t="array" ref="F24">_xlfn.LET(_xlpm.lbl,F$2,IF(_xlpm.lbl="","",_xlfn.LET(_xlpm.w,COUNTA('AMFI-Mar''25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Mar''26'!$A$1:$AAG$71,_xlpm.idx,IFERROR(_xlfn.XMATCH(_xlpm.lbl,_xlpm.labs),0),_xlpm.col,IF(_xlpm.idx=0,0,INDEX(_xlpm.starts,1,_xlpm.idx)+5),IF(_xlpm.col=0,"",INDEX(_xlpm.srcFull,MATCH("ELSS-Close Ended",_xlpm.a,0),_xlpm.col)))))</f>
        <v/>
      </c>
      <c r="G24" s="599">
        <f t="array" ref="G24">_xlfn.LET(_xlpm.lbl,G$2,IF(_xlpm.lbl="","",_xlfn.LET(_xlpm.w,COUNTA('AMFI-Mar''25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Mar''26'!$A$1:$AAG$71,_xlpm.idx,IFERROR(_xlfn.XMATCH(_xlpm.lbl,_xlpm.labs),0),_xlpm.col,IF(_xlpm.idx=0,0,INDEX(_xlpm.starts,1,_xlpm.idx)+5),IF(_xlpm.col=0,"",INDEX(_xlpm.srcFull,MATCH("ELSS-Close Ended",_xlpm.a,0),_xlpm.col)))))</f>
        <v/>
      </c>
      <c r="H24" s="597">
        <f>IFERROR((G24-F24)/F24,"-")</f>
        <v/>
      </c>
    </row>
    <row r="25">
      <c r="A25" s="345" t="inlineStr">
        <is>
          <t>ELSS</t>
        </is>
      </c>
      <c r="B25" s="596">
        <f t="array" ref="B25">_xlfn.LET(_xlpm.lbl,B$2,IF(_xlpm.lbl="","",_xlfn.LET(_xlpm.w,COUNTA('AMFI-Mar''25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Mar''26'!$A$1:$AAG$71,_xlpm.idx,IFERROR(_xlfn.XMATCH(_xlpm.lbl,_xlpm.labs),0),_xlpm.col,IF(_xlpm.idx=0,0,INDEX(_xlpm.starts,1,_xlpm.idx)+4),IF(_xlpm.col=0,"",INDEX(_xlpm.srcFull,MATCH("ELSS",_xlpm.a,0),_xlpm.col)))))</f>
        <v/>
      </c>
      <c r="C25" s="596">
        <f t="array" ref="C25">_xlfn.LET(_xlpm.lbl,C$2,IF(_xlpm.lbl="","",_xlfn.LET(_xlpm.w,COUNTA('AMFI-Mar''25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Mar''26'!$A$1:$AAG$71,_xlpm.idx,IFERROR(_xlfn.XMATCH(_xlpm.lbl,_xlpm.labs),0),_xlpm.col,IF(_xlpm.idx=0,0,INDEX(_xlpm.starts,1,_xlpm.idx)+4),IF(_xlpm.col=0,"",INDEX(_xlpm.srcFull,MATCH("ELSS",_xlpm.a,0),_xlpm.col)))))</f>
        <v/>
      </c>
      <c r="D25" s="597">
        <f>IFERROR((C25-B25)/B25,"-")</f>
        <v/>
      </c>
      <c r="E25" s="348" t="n"/>
      <c r="F25" s="598">
        <f t="array" ref="F25">_xlfn.LET(_xlpm.lbl,F$2,IF(_xlpm.lbl="","",_xlfn.LET(_xlpm.w,COUNTA('AMFI-Mar''25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Mar''26'!$A$1:$AAG$71,_xlpm.idx,IFERROR(_xlfn.XMATCH(_xlpm.lbl,_xlpm.labs),0),_xlpm.col,IF(_xlpm.idx=0,0,INDEX(_xlpm.starts,1,_xlpm.idx)+5),IF(_xlpm.col=0,"",INDEX(_xlpm.srcFull,MATCH("ELSS",_xlpm.a,0),_xlpm.col)))))</f>
        <v/>
      </c>
      <c r="G25" s="599">
        <f t="array" ref="G25">_xlfn.LET(_xlpm.lbl,G$2,IF(_xlpm.lbl="","",_xlfn.LET(_xlpm.w,COUNTA('AMFI-Mar''25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Mar''26'!$A$1:$AAG$71,_xlpm.idx,IFERROR(_xlfn.XMATCH(_xlpm.lbl,_xlpm.labs),0),_xlpm.col,IF(_xlpm.idx=0,0,INDEX(_xlpm.starts,1,_xlpm.idx)+5),IF(_xlpm.col=0,"",INDEX(_xlpm.srcFull,MATCH("ELSS",_xlpm.a,0),_xlpm.col)))))</f>
        <v/>
      </c>
      <c r="H25" s="597">
        <f>IFERROR((G25-F25)/F25,"-")</f>
        <v/>
      </c>
    </row>
    <row r="26">
      <c r="A26" s="351" t="n"/>
      <c r="B26" s="352" t="n"/>
      <c r="C26" s="352" t="n"/>
      <c r="D26" s="600" t="n"/>
      <c r="E26" s="354" t="n"/>
      <c r="F26" s="355" t="n"/>
      <c r="G26" s="356" t="n"/>
      <c r="H26" s="600" t="n"/>
    </row>
    <row r="27" ht="16.2" customHeight="1" thickBot="1">
      <c r="A27" s="317" t="inlineStr">
        <is>
          <t>EQUITY</t>
        </is>
      </c>
      <c r="B27" s="582">
        <f>SUM(B10:B25)</f>
        <v/>
      </c>
      <c r="C27" s="582">
        <f>SUM(C10:C25)</f>
        <v/>
      </c>
      <c r="D27" s="583">
        <f>IFERROR((C27-B27)/B27,"-")</f>
        <v/>
      </c>
      <c r="E27" s="310" t="n"/>
      <c r="F27" s="584">
        <f>SUM(F10:F25)</f>
        <v/>
      </c>
      <c r="G27" s="585">
        <f>SUM(G10:G25)</f>
        <v/>
      </c>
      <c r="H27" s="583">
        <f>IFERROR((G27-F27)/F27,"-")</f>
        <v/>
      </c>
    </row>
    <row r="28" ht="15.6" customHeight="1" thickTop="1">
      <c r="A28" s="322" t="n"/>
      <c r="B28" s="357" t="n"/>
      <c r="C28" s="357" t="n"/>
      <c r="D28" s="586" t="n"/>
      <c r="E28" s="325" t="n"/>
      <c r="F28" s="358" t="n"/>
      <c r="G28" s="359" t="n"/>
      <c r="H28" s="586" t="n"/>
    </row>
    <row r="29" ht="15.6" customHeight="1">
      <c r="A29" s="360" t="inlineStr">
        <is>
          <t>Hybrid</t>
        </is>
      </c>
      <c r="B29" s="601">
        <f>B2</f>
        <v/>
      </c>
      <c r="C29" s="601">
        <f>C2</f>
        <v/>
      </c>
      <c r="D29" s="602" t="inlineStr">
        <is>
          <t>Growth %</t>
        </is>
      </c>
      <c r="E29" s="331" t="n"/>
      <c r="F29" s="603">
        <f>F2</f>
        <v/>
      </c>
      <c r="G29" s="604">
        <f>G2</f>
        <v/>
      </c>
      <c r="H29" s="602" t="inlineStr">
        <is>
          <t>Growth %</t>
        </is>
      </c>
    </row>
    <row r="30">
      <c r="A30" s="345" t="inlineStr">
        <is>
          <t>Balanced Hybrid Fund/Aggressive Hybrid Fund</t>
        </is>
      </c>
      <c r="B30" s="596">
        <f t="array" ref="B30">_xlfn.LET(_xlpm.lbl,B$29,IF(_xlpm.lbl="","",_xlfn.LET(_xlpm.w,COUNTA('AMFI-Mar''25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Mar''26'!$A$1:$AAG$71,_xlpm.idx,IFERROR(_xlfn.XMATCH(_xlpm.lbl,_xlpm.labs),0),_xlpm.col,IF(_xlpm.idx=0,0,INDEX(_xlpm.starts,1,_xlpm.idx)+4),IF(_xlpm.col=0,"",INDEX(_xlpm.srcFull,MATCH("Balanced Hybrid Fund/Aggressive Hybrid Fund",_xlpm.a,0),_xlpm.col)))))</f>
        <v/>
      </c>
      <c r="C30" s="596">
        <f t="array" ref="C30">_xlfn.LET(_xlpm.lbl,C$29,IF(_xlpm.lbl="","",_xlfn.LET(_xlpm.w,COUNTA('AMFI-Mar''25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Mar''26'!$A$1:$AAG$71,_xlpm.idx,IFERROR(_xlfn.XMATCH(_xlpm.lbl,_xlpm.labs),0),_xlpm.col,IF(_xlpm.idx=0,0,INDEX(_xlpm.starts,1,_xlpm.idx)+4),IF(_xlpm.col=0,"",INDEX(_xlpm.srcFull,MATCH("Balanced Hybrid Fund/Aggressive Hybrid Fund",_xlpm.a,0),_xlpm.col)))))</f>
        <v/>
      </c>
      <c r="D30" s="597">
        <f>IFERROR((C30-B30)/B30,"-")</f>
        <v/>
      </c>
      <c r="E30" s="348" t="n"/>
      <c r="F30" s="598">
        <f t="array" ref="F30">_xlfn.LET(_xlpm.lbl,F$29,IF(_xlpm.lbl="","",_xlfn.LET(_xlpm.w,COUNTA('AMFI-Mar''25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Mar''26'!$A$1:$AAG$71,_xlpm.idx,IFERROR(_xlfn.XMATCH(_xlpm.lbl,_xlpm.labs),0),_xlpm.col,IF(_xlpm.idx=0,0,INDEX(_xlpm.starts,1,_xlpm.idx)+5),IF(_xlpm.col=0,"",INDEX(_xlpm.srcFull,MATCH("Balanced Hybrid Fund/Aggressive Hybrid Fund",_xlpm.a,0),_xlpm.col)))))</f>
        <v/>
      </c>
      <c r="G30" s="599">
        <f t="array" ref="G30">_xlfn.LET(_xlpm.lbl,G$29,IF(_xlpm.lbl="","",_xlfn.LET(_xlpm.w,COUNTA('AMFI-Mar''25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Mar''26'!$A$1:$AAG$71,_xlpm.idx,IFERROR(_xlfn.XMATCH(_xlpm.lbl,_xlpm.labs),0),_xlpm.col,IF(_xlpm.idx=0,0,INDEX(_xlpm.starts,1,_xlpm.idx)+5),IF(_xlpm.col=0,"",INDEX(_xlpm.srcFull,MATCH("Balanced Hybrid Fund/Aggressive Hybrid Fund",_xlpm.a,0),_xlpm.col)))))</f>
        <v/>
      </c>
      <c r="H30" s="597">
        <f>IFERROR((G30-F30)/F30,"-")</f>
        <v/>
      </c>
    </row>
    <row r="31">
      <c r="A31" s="345" t="inlineStr">
        <is>
          <t>Dynamic Asset Allocation/Balanced Advantage Fund</t>
        </is>
      </c>
      <c r="B31" s="596">
        <f t="array" ref="B31">_xlfn.LET(_xlpm.lbl,B$29,IF(_xlpm.lbl="","",_xlfn.LET(_xlpm.w,COUNTA('AMFI-Mar''25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Mar''26'!$A$1:$AAG$71,_xlpm.idx,IFERROR(_xlfn.XMATCH(_xlpm.lbl,_xlpm.labs),0),_xlpm.col,IF(_xlpm.idx=0,0,INDEX(_xlpm.starts,1,_xlpm.idx)+4),IF(_xlpm.col=0,"",INDEX(_xlpm.srcFull,MATCH("Dynamic Asset Allocation/Balanced Advantage Fund",_xlpm.a,0),_xlpm.col)))))</f>
        <v/>
      </c>
      <c r="C31" s="596">
        <f t="array" ref="C31">_xlfn.LET(_xlpm.lbl,C$29,IF(_xlpm.lbl="","",_xlfn.LET(_xlpm.w,COUNTA('AMFI-Mar''25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Mar''26'!$A$1:$AAG$71,_xlpm.idx,IFERROR(_xlfn.XMATCH(_xlpm.lbl,_xlpm.labs),0),_xlpm.col,IF(_xlpm.idx=0,0,INDEX(_xlpm.starts,1,_xlpm.idx)+4),IF(_xlpm.col=0,"",INDEX(_xlpm.srcFull,MATCH("Dynamic Asset Allocation/Balanced Advantage Fund",_xlpm.a,0),_xlpm.col)))))</f>
        <v/>
      </c>
      <c r="D31" s="597">
        <f>IFERROR((C31-B31)/B31,"-")</f>
        <v/>
      </c>
      <c r="E31" s="348" t="n"/>
      <c r="F31" s="598">
        <f t="array" ref="F31">_xlfn.LET(_xlpm.lbl,F$29,IF(_xlpm.lbl="","",_xlfn.LET(_xlpm.w,COUNTA('AMFI-Mar''25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Mar''26'!$A$1:$AAG$71,_xlpm.idx,IFERROR(_xlfn.XMATCH(_xlpm.lbl,_xlpm.labs),0),_xlpm.col,IF(_xlpm.idx=0,0,INDEX(_xlpm.starts,1,_xlpm.idx)+5),IF(_xlpm.col=0,"",INDEX(_xlpm.srcFull,MATCH("Dynamic Asset Allocation/Balanced Advantage Fund",_xlpm.a,0),_xlpm.col)))))</f>
        <v/>
      </c>
      <c r="G31" s="599">
        <f t="array" ref="G31">_xlfn.LET(_xlpm.lbl,G$29,IF(_xlpm.lbl="","",_xlfn.LET(_xlpm.w,COUNTA('AMFI-Mar''25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Mar''26'!$A$1:$AAG$71,_xlpm.idx,IFERROR(_xlfn.XMATCH(_xlpm.lbl,_xlpm.labs),0),_xlpm.col,IF(_xlpm.idx=0,0,INDEX(_xlpm.starts,1,_xlpm.idx)+5),IF(_xlpm.col=0,"",INDEX(_xlpm.srcFull,MATCH("Dynamic Asset Allocation/Balanced Advantage Fund",_xlpm.a,0),_xlpm.col)))))</f>
        <v/>
      </c>
      <c r="H31" s="597">
        <f>IFERROR((G31-F31)/F31,"-")</f>
        <v/>
      </c>
    </row>
    <row r="32">
      <c r="A32" s="351" t="inlineStr">
        <is>
          <t>Multi Asset Allocation Fund</t>
        </is>
      </c>
      <c r="B32" s="605">
        <f t="array" ref="B32">_xlfn.LET(_xlpm.lbl,B$29,IF(_xlpm.lbl="","",_xlfn.LET(_xlpm.w,COUNTA('AMFI-Mar''25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Mar''26'!$A$1:$AAG$71,_xlpm.idx,IFERROR(_xlfn.XMATCH(_xlpm.lbl,_xlpm.labs),0),_xlpm.col,IF(_xlpm.idx=0,0,INDEX(_xlpm.starts,1,_xlpm.idx)+4),IF(_xlpm.col=0,"",INDEX(_xlpm.srcFull,MATCH("Multi Asset Allocation Fund",_xlpm.a,0),_xlpm.col)))))</f>
        <v/>
      </c>
      <c r="C32" s="605">
        <f t="array" ref="C32">_xlfn.LET(_xlpm.lbl,C$29,IF(_xlpm.lbl="","",_xlfn.LET(_xlpm.w,COUNTA('AMFI-Mar''25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Mar''26'!$A$1:$AAG$71,_xlpm.idx,IFERROR(_xlfn.XMATCH(_xlpm.lbl,_xlpm.labs),0),_xlpm.col,IF(_xlpm.idx=0,0,INDEX(_xlpm.starts,1,_xlpm.idx)+4),IF(_xlpm.col=0,"",INDEX(_xlpm.srcFull,MATCH("Multi Asset Allocation Fund",_xlpm.a,0),_xlpm.col)))))</f>
        <v/>
      </c>
      <c r="D32" s="606">
        <f>IFERROR((C32-B32)/B32,"-")</f>
        <v/>
      </c>
      <c r="E32" s="354" t="n"/>
      <c r="F32" s="607">
        <f t="array" ref="F32">_xlfn.LET(_xlpm.lbl,F$29,IF(_xlpm.lbl="","",_xlfn.LET(_xlpm.w,COUNTA('AMFI-Mar''25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Mar''26'!$A$1:$AAG$71,_xlpm.idx,IFERROR(_xlfn.XMATCH(_xlpm.lbl,_xlpm.labs),0),_xlpm.col,IF(_xlpm.idx=0,0,INDEX(_xlpm.starts,1,_xlpm.idx)+5),IF(_xlpm.col=0,"",INDEX(_xlpm.srcFull,MATCH("Multi Asset Allocation Fund",_xlpm.a,0),_xlpm.col)))))</f>
        <v/>
      </c>
      <c r="G32" s="608">
        <f t="array" ref="G32">_xlfn.LET(_xlpm.lbl,G$29,IF(_xlpm.lbl="","",_xlfn.LET(_xlpm.w,COUNTA('AMFI-Mar''25 to Mar''26'!$A$3:$AAG$3),_xlpm.h,INDEX('AMFI-Mar''25 to Mar''26'!$A$3:$AAG$3,1,_xlfn.SEQUENCE(1,_xlpm.w)),_xlpm.a,'AMFI-Mar''25 to Mar''26'!$A$1:$A$68,_xlpm.gr,MATCH("Grand Total",_xlpm.a,0),_xlpm.aumRow,INDEX('AMFI-Mar''25 to Mar''26'!$A$1:$AAG$71,_xlpm.gr,0),_xlpm.aumVals,INDEX(_xlpm.aumRow,1,_xlfn.SEQUENCE(1,_xlpm.w)+5),_xlpm.c,_xlfn.SEQUENCE(1,_xlpm.w),_xlpm.cond,ISNUMBER(SEARCH("No. of Schemes as on",_xlpm.h))*ISNUMBER(_xlpm.aumVals)*(_xlpm.aumVals&lt;&gt;0),_xlpm.starts,_xlfn._xlws.FILTER(_xlpm.c,_xlpm.cond),_xlpm.hdrs,_xlfn._xlws.FILTER(_xlpm.h,_xlpm.cond),_xlpm.labs,LEFT(_xlfn.TEXTAFTER(_xlpm.hdrs,"as on "),3)&amp;"'"&amp;RIGHT(MID(_xlpm.hdrs,FIND(", ",_xlpm.hdrs)+2,4),2),_xlpm.srcFull,'AMFI-Mar''25 to Mar''26'!$A$1:$AAG$71,_xlpm.idx,IFERROR(_xlfn.XMATCH(_xlpm.lbl,_xlpm.labs),0),_xlpm.col,IF(_xlpm.idx=0,0,INDEX(_xlpm.starts,1,_xlpm.idx)+5),IF(_xlpm.col=0,"",INDEX(_xlpm.srcFull,MATCH("Multi Asset Allocation Fund",_xlpm.a,0),_xlpm.col)))))</f>
        <v/>
      </c>
      <c r="H32" s="606">
        <f>IFERROR((G32-F32)/F32,"-")</f>
        <v/>
      </c>
    </row>
    <row r="33" ht="16.2" customHeight="1" thickBot="1">
      <c r="A33" s="317" t="inlineStr">
        <is>
          <t>Hybrid</t>
        </is>
      </c>
      <c r="B33" s="582">
        <f>SUM(B30:B32)</f>
        <v/>
      </c>
      <c r="C33" s="582">
        <f>SUM(C30:C32)</f>
        <v/>
      </c>
      <c r="D33" s="583">
        <f>IFERROR((C33-B33)/B33,"-")</f>
        <v/>
      </c>
      <c r="E33" s="310" t="n"/>
      <c r="F33" s="584">
        <f>SUM(F30:F32)</f>
        <v/>
      </c>
      <c r="G33" s="585">
        <f>SUM(G30:G32)</f>
        <v/>
      </c>
      <c r="H33" s="583">
        <f>IFERROR((G33-F33)/F33,"-")</f>
        <v/>
      </c>
    </row>
    <row r="34" ht="15.6" customHeight="1" thickTop="1"/>
  </sheetData>
  <mergeCells count="2">
    <mergeCell ref="B1:D1"/>
    <mergeCell ref="F1:H1"/>
  </mergeCells>
  <pageMargins left="0.7" right="0.7" top="0.75" bottom="0.75" header="0.3" footer="0.3"/>
</worksheet>
</file>

<file path=xl/worksheets/sheet5.xml><?xml version="1.0" encoding="utf-8"?>
<worksheet xmlns="http://schemas.openxmlformats.org/spreadsheetml/2006/main">
  <sheetPr>
    <outlinePr summaryBelow="1" summaryRight="1"/>
    <pageSetUpPr fitToPage="1"/>
  </sheetPr>
  <dimension ref="A1:EA121"/>
  <sheetViews>
    <sheetView topLeftCell="A1" zoomScale="90" zoomScaleNormal="90" workbookViewId="0">
      <pane xSplit="2" ySplit="3" topLeftCell="C74" activePane="bottomRight" state="frozen"/>
      <selection pane="topRight" activeCell="C1" sqref="C1"/>
      <selection pane="bottomLeft" activeCell="A74" sqref="A74"/>
      <selection pane="bottomRight" activeCell="C74" sqref="C74"/>
    </sheetView>
  </sheetViews>
  <sheetFormatPr baseColWidth="8" defaultColWidth="8.453125" defaultRowHeight="15"/>
  <cols>
    <col width="8.453125" customWidth="1" style="494" min="1" max="4"/>
    <col width="0.81640625" customWidth="1" style="494" min="5" max="5"/>
    <col hidden="1" width="8.453125" customWidth="1" style="494" min="6" max="7"/>
    <col width="8.453125" customWidth="1" style="494" min="8" max="16"/>
    <col width="0.81640625" customWidth="1" style="494" min="17" max="17"/>
    <col hidden="1" width="8.453125" customWidth="1" style="494" min="18" max="19"/>
    <col width="8.453125" customWidth="1" style="494" min="20" max="28"/>
    <col width="0.81640625" customWidth="1" style="494" min="29" max="29"/>
    <col hidden="1" width="8.453125" customWidth="1" style="494" min="30" max="31"/>
    <col width="8.453125" customWidth="1" style="494" min="32" max="40"/>
    <col width="0.81640625" customWidth="1" style="494" min="41" max="41"/>
    <col hidden="1" width="8.453125" customWidth="1" style="494" min="42" max="43"/>
    <col width="8.453125" customWidth="1" style="494" min="44" max="52"/>
    <col width="0.81640625" customWidth="1" style="494" min="53" max="53"/>
    <col hidden="1" width="8.453125" customWidth="1" style="494" min="54" max="55"/>
    <col width="8.453125" customWidth="1" style="494" min="56" max="64"/>
    <col width="0.81640625" customWidth="1" style="494" min="65" max="65"/>
    <col hidden="1" width="8.453125" customWidth="1" style="494" min="66" max="67"/>
    <col width="8.453125" customWidth="1" style="494" min="68" max="76"/>
    <col width="0.81640625" customWidth="1" style="494" min="77" max="77"/>
    <col hidden="1" width="8.453125" customWidth="1" style="494" min="78" max="79"/>
    <col width="8.453125" customWidth="1" style="494" min="80" max="88"/>
    <col width="0.81640625" customWidth="1" style="494" min="89" max="89"/>
    <col hidden="1" width="8.453125" customWidth="1" style="494" min="90" max="91"/>
    <col width="8.453125" customWidth="1" style="494" min="92" max="92"/>
    <col width="11.90625" customWidth="1" style="494" min="93" max="93"/>
    <col width="8.453125" customWidth="1" style="494" min="94" max="100"/>
    <col width="0.81640625" customWidth="1" style="494" min="101" max="101"/>
    <col width="8.453125" customWidth="1" style="494" min="102" max="102"/>
    <col width="20.6328125" customWidth="1" style="494" min="103" max="103"/>
    <col width="8.453125" customWidth="1" style="494" min="104" max="104"/>
    <col width="11.1796875" customWidth="1" style="494" min="105" max="105"/>
    <col width="8.453125" customWidth="1" style="494" min="106" max="112"/>
    <col width="0.81640625" customWidth="1" style="1" min="113" max="113"/>
    <col width="8.453125" customWidth="1" style="1" min="114" max="114"/>
    <col width="19.1796875" customWidth="1" style="1" min="115" max="115"/>
    <col width="8.453125" customWidth="1" style="1" min="116" max="116"/>
    <col width="11.6328125" customWidth="1" style="1" min="117" max="117"/>
    <col width="9.54296875" customWidth="1" style="1" min="118" max="118"/>
    <col width="10.08984375" customWidth="1" style="1" min="119" max="119"/>
    <col width="9.1796875" customWidth="1" style="1" min="120" max="120"/>
    <col width="9.81640625" customWidth="1" style="1" min="121" max="121"/>
    <col width="10.1796875" customWidth="1" style="1" min="122" max="122"/>
    <col width="8.453125" customWidth="1" style="1" min="123" max="124"/>
    <col width="0.81640625" customWidth="1" style="1" min="125" max="125"/>
    <col width="9.453125" bestFit="1" customWidth="1" style="1" min="126" max="126"/>
    <col width="8.453125" customWidth="1" style="1" min="127" max="127"/>
    <col width="0.81640625" customWidth="1" style="1" min="128" max="128"/>
    <col width="8.453125" customWidth="1" style="1" min="129" max="129"/>
    <col width="8.453125" customWidth="1" style="102" min="130" max="130"/>
    <col width="8.453125" customWidth="1" style="1" min="131" max="131"/>
    <col width="8.453125" customWidth="1" min="132" max="134"/>
    <col width="8.453125" customWidth="1" style="1" min="135" max="136"/>
    <col width="8.453125" customWidth="1" style="1" min="137" max="16384"/>
  </cols>
  <sheetData>
    <row r="1" ht="14.7" customFormat="1" customHeight="1" s="462">
      <c r="A1" s="451" t="n"/>
      <c r="B1" s="449" t="n"/>
      <c r="C1" s="449" t="n"/>
      <c r="D1" s="450" t="n"/>
      <c r="E1" s="46" t="inlineStr">
        <is>
          <t>-</t>
        </is>
      </c>
      <c r="F1" s="451" t="n"/>
      <c r="G1" s="449" t="n"/>
      <c r="H1" s="449" t="n"/>
      <c r="I1" s="449" t="n"/>
      <c r="J1" s="449" t="n"/>
      <c r="K1" s="449" t="n"/>
      <c r="L1" s="449" t="n"/>
      <c r="M1" s="449" t="n"/>
      <c r="N1" s="449" t="n"/>
      <c r="O1" s="449" t="n"/>
      <c r="P1" s="450" t="n"/>
      <c r="Q1" s="46" t="inlineStr">
        <is>
          <t>-</t>
        </is>
      </c>
      <c r="R1" s="451" t="n"/>
      <c r="S1" s="449" t="n"/>
      <c r="T1" s="449" t="n"/>
      <c r="U1" s="449" t="n"/>
      <c r="V1" s="449" t="n"/>
      <c r="W1" s="449" t="n"/>
      <c r="X1" s="449" t="n"/>
      <c r="Y1" s="449" t="n"/>
      <c r="Z1" s="449" t="n"/>
      <c r="AA1" s="449" t="n"/>
      <c r="AB1" s="450" t="n"/>
      <c r="AC1" s="46" t="inlineStr">
        <is>
          <t>-</t>
        </is>
      </c>
      <c r="AD1" s="451" t="n"/>
      <c r="AE1" s="449" t="n"/>
      <c r="AF1" s="449" t="n"/>
      <c r="AG1" s="449" t="n"/>
      <c r="AH1" s="449" t="n"/>
      <c r="AI1" s="449" t="n"/>
      <c r="AJ1" s="449" t="n"/>
      <c r="AK1" s="449" t="n"/>
      <c r="AL1" s="449" t="n"/>
      <c r="AM1" s="449" t="n"/>
      <c r="AN1" s="450" t="n"/>
      <c r="AO1" s="46" t="inlineStr">
        <is>
          <t>-</t>
        </is>
      </c>
      <c r="AP1" s="451" t="n"/>
      <c r="AQ1" s="449" t="n"/>
      <c r="AR1" s="449" t="n"/>
      <c r="AS1" s="449" t="n"/>
      <c r="AT1" s="449" t="n"/>
      <c r="AU1" s="449" t="n"/>
      <c r="AV1" s="449" t="n"/>
      <c r="AW1" s="449" t="n"/>
      <c r="AX1" s="449" t="n"/>
      <c r="AY1" s="449" t="n"/>
      <c r="AZ1" s="450" t="n"/>
      <c r="BA1" s="46" t="inlineStr">
        <is>
          <t>-</t>
        </is>
      </c>
      <c r="BB1" s="451" t="n"/>
      <c r="BC1" s="449" t="n"/>
      <c r="BD1" s="449" t="n"/>
      <c r="BE1" s="449" t="n"/>
      <c r="BF1" s="449" t="n"/>
      <c r="BG1" s="449" t="n"/>
      <c r="BH1" s="449" t="n"/>
      <c r="BI1" s="449" t="n"/>
      <c r="BJ1" s="449" t="n"/>
      <c r="BK1" s="449" t="n"/>
      <c r="BL1" s="450" t="n"/>
      <c r="BM1" s="46" t="inlineStr">
        <is>
          <t>-</t>
        </is>
      </c>
      <c r="BN1" s="507" t="n"/>
      <c r="BO1" s="464" t="n"/>
      <c r="BP1" s="464" t="n"/>
      <c r="BQ1" s="464" t="n"/>
      <c r="BR1" s="464" t="n"/>
      <c r="BS1" s="464" t="n"/>
      <c r="BT1" s="464" t="n"/>
      <c r="BU1" s="464" t="n"/>
      <c r="BV1" s="464" t="n"/>
      <c r="BW1" s="464" t="n"/>
      <c r="BX1" s="465" t="n"/>
      <c r="BY1" s="46" t="inlineStr">
        <is>
          <t>-</t>
        </is>
      </c>
      <c r="BZ1" s="507" t="n"/>
      <c r="CA1" s="464" t="n"/>
      <c r="CB1" s="464" t="n"/>
      <c r="CC1" s="464" t="n"/>
      <c r="CD1" s="464" t="n"/>
      <c r="CE1" s="464" t="n"/>
      <c r="CF1" s="464" t="n"/>
      <c r="CG1" s="464" t="n"/>
      <c r="CH1" s="464" t="n"/>
      <c r="CI1" s="464" t="n"/>
      <c r="CJ1" s="465" t="n"/>
      <c r="CK1" s="46" t="inlineStr">
        <is>
          <t>-</t>
        </is>
      </c>
      <c r="CL1" s="451" t="n"/>
      <c r="CM1" s="449" t="n"/>
      <c r="CN1" s="449" t="n"/>
      <c r="CO1" s="449" t="n"/>
      <c r="CP1" s="449" t="n"/>
      <c r="CQ1" s="449" t="n"/>
      <c r="CR1" s="449" t="n"/>
      <c r="CS1" s="449" t="n"/>
      <c r="CT1" s="449" t="n"/>
      <c r="CU1" s="449" t="n"/>
      <c r="CV1" s="450" t="n"/>
      <c r="CW1" s="46" t="inlineStr">
        <is>
          <t>-</t>
        </is>
      </c>
      <c r="CX1" s="451" t="n"/>
      <c r="CY1" s="449" t="n"/>
      <c r="CZ1" s="449" t="n"/>
      <c r="DA1" s="449" t="n"/>
      <c r="DB1" s="449" t="n"/>
      <c r="DC1" s="449" t="n"/>
      <c r="DD1" s="449" t="n"/>
      <c r="DE1" s="449" t="n"/>
      <c r="DF1" s="449" t="n"/>
      <c r="DG1" s="449" t="n"/>
      <c r="DH1" s="450" t="n"/>
      <c r="DI1" s="27" t="inlineStr">
        <is>
          <t>-</t>
        </is>
      </c>
      <c r="DU1" s="27" t="inlineStr">
        <is>
          <t>-</t>
        </is>
      </c>
      <c r="DX1" s="27" t="inlineStr">
        <is>
          <t>-</t>
        </is>
      </c>
      <c r="DZ1" s="101" t="n"/>
    </row>
    <row r="2" ht="12" customHeight="1">
      <c r="A2" s="98" t="inlineStr">
        <is>
          <t>-</t>
        </is>
      </c>
      <c r="B2" s="98" t="inlineStr">
        <is>
          <t>-</t>
        </is>
      </c>
      <c r="C2" s="506" t="inlineStr">
        <is>
          <t>Mar'25</t>
        </is>
      </c>
      <c r="D2" s="449" t="n"/>
      <c r="E2" s="47" t="inlineStr">
        <is>
          <t>-</t>
        </is>
      </c>
      <c r="F2" s="503" t="inlineStr">
        <is>
          <t xml:space="preserve">Monthly Report for the month of April 2025 </t>
        </is>
      </c>
      <c r="G2" s="449" t="n"/>
      <c r="H2" s="449" t="n"/>
      <c r="I2" s="449" t="n"/>
      <c r="J2" s="449" t="n"/>
      <c r="K2" s="449" t="n"/>
      <c r="L2" s="449" t="n"/>
      <c r="M2" s="449" t="n"/>
      <c r="N2" s="449" t="n"/>
      <c r="O2" s="449" t="n"/>
      <c r="P2" s="450" t="n"/>
      <c r="Q2" s="47" t="inlineStr">
        <is>
          <t>-</t>
        </is>
      </c>
      <c r="R2" s="503" t="inlineStr">
        <is>
          <t xml:space="preserve">Monthly Report for the month of May 2025 </t>
        </is>
      </c>
      <c r="S2" s="449" t="n"/>
      <c r="T2" s="449" t="n"/>
      <c r="U2" s="449" t="n"/>
      <c r="V2" s="449" t="n"/>
      <c r="W2" s="449" t="n"/>
      <c r="X2" s="449" t="n"/>
      <c r="Y2" s="449" t="n"/>
      <c r="Z2" s="449" t="n"/>
      <c r="AA2" s="449" t="n"/>
      <c r="AB2" s="450" t="n"/>
      <c r="AC2" s="47" t="inlineStr">
        <is>
          <t>-</t>
        </is>
      </c>
      <c r="AD2" s="503" t="inlineStr">
        <is>
          <t xml:space="preserve">Monthly Report for the month of June 2025 </t>
        </is>
      </c>
      <c r="AE2" s="449" t="n"/>
      <c r="AF2" s="449" t="n"/>
      <c r="AG2" s="449" t="n"/>
      <c r="AH2" s="449" t="n"/>
      <c r="AI2" s="449" t="n"/>
      <c r="AJ2" s="449" t="n"/>
      <c r="AK2" s="449" t="n"/>
      <c r="AL2" s="449" t="n"/>
      <c r="AM2" s="449" t="n"/>
      <c r="AN2" s="450" t="n"/>
      <c r="AO2" s="47" t="inlineStr">
        <is>
          <t>-</t>
        </is>
      </c>
      <c r="AP2" s="503" t="inlineStr">
        <is>
          <t xml:space="preserve">Monthly Report for the month of July 2025 </t>
        </is>
      </c>
      <c r="AQ2" s="449" t="n"/>
      <c r="AR2" s="449" t="n"/>
      <c r="AS2" s="449" t="n"/>
      <c r="AT2" s="449" t="n"/>
      <c r="AU2" s="449" t="n"/>
      <c r="AV2" s="449" t="n"/>
      <c r="AW2" s="449" t="n"/>
      <c r="AX2" s="449" t="n"/>
      <c r="AY2" s="449" t="n"/>
      <c r="AZ2" s="450" t="n"/>
      <c r="BA2" s="47" t="inlineStr">
        <is>
          <t>-</t>
        </is>
      </c>
      <c r="BB2" s="503" t="inlineStr">
        <is>
          <t xml:space="preserve">Monthly Report for the month of August 2025 </t>
        </is>
      </c>
      <c r="BC2" s="449" t="n"/>
      <c r="BD2" s="449" t="n"/>
      <c r="BE2" s="449" t="n"/>
      <c r="BF2" s="449" t="n"/>
      <c r="BG2" s="449" t="n"/>
      <c r="BH2" s="449" t="n"/>
      <c r="BI2" s="449" t="n"/>
      <c r="BJ2" s="449" t="n"/>
      <c r="BK2" s="449" t="n"/>
      <c r="BL2" s="450" t="n"/>
      <c r="BM2" s="47" t="inlineStr">
        <is>
          <t>-</t>
        </is>
      </c>
      <c r="BN2" s="514" t="inlineStr">
        <is>
          <t xml:space="preserve">Monthly Report for the month of September 2025 </t>
        </is>
      </c>
      <c r="BO2" s="449" t="n"/>
      <c r="BP2" s="449" t="n"/>
      <c r="BQ2" s="449" t="n"/>
      <c r="BR2" s="449" t="n"/>
      <c r="BS2" s="449" t="n"/>
      <c r="BT2" s="449" t="n"/>
      <c r="BU2" s="449" t="n"/>
      <c r="BV2" s="449" t="n"/>
      <c r="BW2" s="449" t="n"/>
      <c r="BX2" s="450" t="n"/>
      <c r="BY2" s="47" t="inlineStr">
        <is>
          <t>-</t>
        </is>
      </c>
      <c r="BZ2" s="499" t="inlineStr">
        <is>
          <t xml:space="preserve">Monthly Report for the month of October 2025 </t>
        </is>
      </c>
      <c r="CA2" s="449" t="n"/>
      <c r="CB2" s="449" t="n"/>
      <c r="CC2" s="449" t="n"/>
      <c r="CD2" s="449" t="n"/>
      <c r="CE2" s="449" t="n"/>
      <c r="CF2" s="449" t="n"/>
      <c r="CG2" s="449" t="n"/>
      <c r="CH2" s="449" t="n"/>
      <c r="CI2" s="449" t="n"/>
      <c r="CJ2" s="500" t="n"/>
      <c r="CK2" s="47" t="inlineStr">
        <is>
          <t>-</t>
        </is>
      </c>
      <c r="CL2" s="503" t="inlineStr">
        <is>
          <t xml:space="preserve">Monthly Report for the month of November 2025 </t>
        </is>
      </c>
      <c r="CM2" s="449" t="n"/>
      <c r="CN2" s="449" t="n"/>
      <c r="CO2" s="449" t="n"/>
      <c r="CP2" s="449" t="n"/>
      <c r="CQ2" s="449" t="n"/>
      <c r="CR2" s="449" t="n"/>
      <c r="CS2" s="449" t="n"/>
      <c r="CT2" s="449" t="n"/>
      <c r="CU2" s="449" t="n"/>
      <c r="CV2" s="450" t="n"/>
      <c r="CW2" s="47" t="inlineStr">
        <is>
          <t>-</t>
        </is>
      </c>
      <c r="CX2" s="503" t="inlineStr">
        <is>
          <t xml:space="preserve">Monthly Report for the month of December 2025 </t>
        </is>
      </c>
      <c r="CY2" s="449" t="n"/>
      <c r="CZ2" s="449" t="n"/>
      <c r="DA2" s="449" t="n"/>
      <c r="DB2" s="449" t="n"/>
      <c r="DC2" s="449" t="n"/>
      <c r="DD2" s="449" t="n"/>
      <c r="DE2" s="449" t="n"/>
      <c r="DF2" s="449" t="n"/>
      <c r="DG2" s="449" t="n"/>
      <c r="DH2" s="450" t="n"/>
      <c r="DI2" s="2" t="inlineStr">
        <is>
          <t>-</t>
        </is>
      </c>
      <c r="DJ2" s="503" t="inlineStr">
        <is>
          <t xml:space="preserve">Monthly Report for the month of January 2026 </t>
        </is>
      </c>
      <c r="DK2" s="449" t="n"/>
      <c r="DL2" s="449" t="n"/>
      <c r="DM2" s="449" t="n"/>
      <c r="DN2" s="449" t="n"/>
      <c r="DO2" s="449" t="n"/>
      <c r="DP2" s="449" t="n"/>
      <c r="DQ2" s="449" t="n"/>
      <c r="DR2" s="449" t="n"/>
      <c r="DS2" s="449" t="n"/>
      <c r="DT2" s="450" t="n"/>
      <c r="DU2" s="2" t="inlineStr">
        <is>
          <t>-</t>
        </is>
      </c>
      <c r="DV2" s="502" t="inlineStr">
        <is>
          <t>Apr'25 to Jan'26</t>
        </is>
      </c>
      <c r="DW2" s="450" t="n"/>
      <c r="DX2" s="2" t="inlineStr">
        <is>
          <t>-</t>
        </is>
      </c>
      <c r="DY2" s="122" t="inlineStr">
        <is>
          <t>-</t>
        </is>
      </c>
      <c r="DZ2" s="124" t="inlineStr">
        <is>
          <t>-</t>
        </is>
      </c>
      <c r="EA2" s="105" t="inlineStr">
        <is>
          <t>-</t>
        </is>
      </c>
    </row>
    <row r="3" ht="151.8" customHeight="1">
      <c r="A3" s="21" t="inlineStr">
        <is>
          <t xml:space="preserve">Sr </t>
        </is>
      </c>
      <c r="B3" s="21" t="inlineStr">
        <is>
          <t xml:space="preserve">Scheme Name </t>
        </is>
      </c>
      <c r="C3" s="610" t="inlineStr">
        <is>
          <t>Net Assets Under Management as on March 31, 2025 (INR in crore)</t>
        </is>
      </c>
      <c r="D3" s="610" t="inlineStr">
        <is>
          <t>Average Net Assets Under Management for the month March 2025 (INR in crore)</t>
        </is>
      </c>
      <c r="E3" s="2" t="inlineStr">
        <is>
          <t>-</t>
        </is>
      </c>
      <c r="F3" s="21" t="inlineStr">
        <is>
          <t xml:space="preserve">Sr </t>
        </is>
      </c>
      <c r="G3" s="21" t="inlineStr">
        <is>
          <t xml:space="preserve">Scheme Name </t>
        </is>
      </c>
      <c r="H3" s="77" t="inlineStr">
        <is>
          <t>No. of Schemes as on April 30, 2025</t>
        </is>
      </c>
      <c r="I3" s="77" t="inlineStr">
        <is>
          <t>No. of Folios as on April 30, 2025</t>
        </is>
      </c>
      <c r="J3" s="611" t="inlineStr">
        <is>
          <t>Funds Mobilized for the month of April 2025 (INR in crore)</t>
        </is>
      </c>
      <c r="K3" s="612" t="inlineStr">
        <is>
          <t>Repurchase/ Redemption for the month of April 2025 (INR in crore)</t>
        </is>
      </c>
      <c r="L3" s="613" t="inlineStr">
        <is>
          <t>Net Inflow (+ve)/Outflow (-ve) for the month of April 2025 (INR in crore)</t>
        </is>
      </c>
      <c r="M3" s="612" t="inlineStr">
        <is>
          <t>Net Assets Under Management as on April 30, 2025 (INR in crore)</t>
        </is>
      </c>
      <c r="N3" s="614" t="inlineStr">
        <is>
          <t>Average Net Assets Under Management for the month April 2025 (INR in crore)</t>
        </is>
      </c>
      <c r="O3" s="77" t="inlineStr">
        <is>
          <t>No. of segregated portfolios created as on April 30, 2025</t>
        </is>
      </c>
      <c r="P3" s="612" t="inlineStr">
        <is>
          <t>Net Assets Under Management in segregated portfolio as on April 30, 2025 (INR in crore)</t>
        </is>
      </c>
      <c r="Q3" s="2" t="inlineStr">
        <is>
          <t>-</t>
        </is>
      </c>
      <c r="R3" s="21" t="inlineStr">
        <is>
          <t xml:space="preserve">Sr </t>
        </is>
      </c>
      <c r="S3" s="21" t="inlineStr">
        <is>
          <t xml:space="preserve">Scheme Name </t>
        </is>
      </c>
      <c r="T3" s="77" t="inlineStr">
        <is>
          <t>No. of Schemes as on May 31, 2025</t>
        </is>
      </c>
      <c r="U3" s="77" t="inlineStr">
        <is>
          <t>No. of Folios as on May 31, 2025</t>
        </is>
      </c>
      <c r="V3" s="611" t="inlineStr">
        <is>
          <t>Funds Mobilized for the month of May 2025 (INR in crore)</t>
        </is>
      </c>
      <c r="W3" s="612" t="inlineStr">
        <is>
          <t>Repurchase/ Redemption for the month of May 2025 (INR in crore)</t>
        </is>
      </c>
      <c r="X3" s="613" t="inlineStr">
        <is>
          <t>Net Inflow (+ve)/Outflow (-ve) for the month of May 2025 (INR in crore)</t>
        </is>
      </c>
      <c r="Y3" s="612" t="inlineStr">
        <is>
          <t>Net Assets Under Management as on May 31, 2025 (INR in crore)</t>
        </is>
      </c>
      <c r="Z3" s="614" t="inlineStr">
        <is>
          <t>Average Net Assets Under Management for the month May 2025 (INR in crore)</t>
        </is>
      </c>
      <c r="AA3" s="77" t="inlineStr">
        <is>
          <t>No. of segregated portfolios created as on May 31, 2025</t>
        </is>
      </c>
      <c r="AB3" s="612" t="inlineStr">
        <is>
          <t>Net Assets Under Management in segregated portfolio as on May 31, 2025 (INR in crore)</t>
        </is>
      </c>
      <c r="AC3" s="2" t="inlineStr">
        <is>
          <t>-</t>
        </is>
      </c>
      <c r="AD3" s="21" t="inlineStr">
        <is>
          <t xml:space="preserve">Sr </t>
        </is>
      </c>
      <c r="AE3" s="21" t="inlineStr">
        <is>
          <t xml:space="preserve">Scheme Name </t>
        </is>
      </c>
      <c r="AF3" s="77" t="inlineStr">
        <is>
          <t>No. of Schemes as on June 30, 2025</t>
        </is>
      </c>
      <c r="AG3" s="77" t="inlineStr">
        <is>
          <t>No. of Folios as on June 30, 2025</t>
        </is>
      </c>
      <c r="AH3" s="611" t="inlineStr">
        <is>
          <t>Funds Mobilized for the month of June 2025 (INR in crore)</t>
        </is>
      </c>
      <c r="AI3" s="612" t="inlineStr">
        <is>
          <t>Repurchase/ Redemption for the month of June 2025 (INR in crore)</t>
        </is>
      </c>
      <c r="AJ3" s="613" t="inlineStr">
        <is>
          <t>Net Inflow (+ve)/Outflow (-ve) for the month of June 2025 (INR in crore)</t>
        </is>
      </c>
      <c r="AK3" s="612" t="inlineStr">
        <is>
          <t>Net Assets Under Management as on June 30, 2025 (INR in crore)</t>
        </is>
      </c>
      <c r="AL3" s="614" t="inlineStr">
        <is>
          <t>Average Net Assets Under Management for the month June 2025 (INR in crore)</t>
        </is>
      </c>
      <c r="AM3" s="77" t="inlineStr">
        <is>
          <t>No. of segregated portfolios created as on June 30, 2025</t>
        </is>
      </c>
      <c r="AN3" s="612" t="inlineStr">
        <is>
          <t>Net Assets Under Management in segregated portfolio as on June 30, 2025 (INR in crore)</t>
        </is>
      </c>
      <c r="AO3" s="2" t="inlineStr">
        <is>
          <t>-</t>
        </is>
      </c>
      <c r="AP3" s="21" t="inlineStr">
        <is>
          <t xml:space="preserve">Sr </t>
        </is>
      </c>
      <c r="AQ3" s="21" t="inlineStr">
        <is>
          <t xml:space="preserve">Scheme Name </t>
        </is>
      </c>
      <c r="AR3" s="77" t="inlineStr">
        <is>
          <t>No. of Schemes as on July 31, 2025</t>
        </is>
      </c>
      <c r="AS3" s="77" t="inlineStr">
        <is>
          <t>No. of Folios as on July 31, 2025</t>
        </is>
      </c>
      <c r="AT3" s="611" t="inlineStr">
        <is>
          <t>Funds Mobilized for the month of July 2025 (INR in crore)</t>
        </is>
      </c>
      <c r="AU3" s="612" t="inlineStr">
        <is>
          <t>Repurchase/Redemption for the month of July 2025 (INR in crore)</t>
        </is>
      </c>
      <c r="AV3" s="613" t="inlineStr">
        <is>
          <t>Net Inflow (+ve)/Outflow (-ve) for the month of July 2025 (INR in crore)</t>
        </is>
      </c>
      <c r="AW3" s="612" t="inlineStr">
        <is>
          <t>Net Assets Under Management as on July 31, 2025 (INR in crore)</t>
        </is>
      </c>
      <c r="AX3" s="614" t="inlineStr">
        <is>
          <t>Average Net Assets Under Management for the month July 2025 (INR in crore)</t>
        </is>
      </c>
      <c r="AY3" s="77" t="inlineStr">
        <is>
          <t>No. of segregated portfolios created as on July 31, 2025</t>
        </is>
      </c>
      <c r="AZ3" s="612" t="inlineStr">
        <is>
          <t>Net Assets Under Management in segregated portfolio as on July 31, 2025 (INR in crore)</t>
        </is>
      </c>
      <c r="BA3" s="2" t="inlineStr">
        <is>
          <t>-</t>
        </is>
      </c>
      <c r="BB3" s="21" t="inlineStr">
        <is>
          <t xml:space="preserve">Sr </t>
        </is>
      </c>
      <c r="BC3" s="21" t="inlineStr">
        <is>
          <t xml:space="preserve">Scheme Name </t>
        </is>
      </c>
      <c r="BD3" s="77" t="inlineStr">
        <is>
          <t>No. of Schemes as on August 31, 2025</t>
        </is>
      </c>
      <c r="BE3" s="77" t="inlineStr">
        <is>
          <t>No. of Folios as on August 31, 2025</t>
        </is>
      </c>
      <c r="BF3" s="611" t="inlineStr">
        <is>
          <t>Funds Mobilized for the month of August 2025 (INR in crore)</t>
        </is>
      </c>
      <c r="BG3" s="612" t="inlineStr">
        <is>
          <t>Repurchase/Redemption for the month of August 2025 (INR in crore)</t>
        </is>
      </c>
      <c r="BH3" s="613" t="inlineStr">
        <is>
          <t>Net Inflow (+ve)/Outflow (-ve) for the month of August 2025 (INR in crore)</t>
        </is>
      </c>
      <c r="BI3" s="612" t="inlineStr">
        <is>
          <t>Net Assets Under Management as on August 31, 2025 (INR in crore)</t>
        </is>
      </c>
      <c r="BJ3" s="614" t="inlineStr">
        <is>
          <t>Average Net Assets Under Management for the month August 2025 (INR in crore)</t>
        </is>
      </c>
      <c r="BK3" s="77" t="inlineStr">
        <is>
          <t>No. of segregated portfolios created as on August 31, 2025</t>
        </is>
      </c>
      <c r="BL3" s="612" t="inlineStr">
        <is>
          <t>Net Assets Under Management in segregated portfolio as on August 31, 2025 (INR in crore)</t>
        </is>
      </c>
      <c r="BM3" s="2" t="inlineStr">
        <is>
          <t>-</t>
        </is>
      </c>
      <c r="BN3" s="22" t="inlineStr">
        <is>
          <t xml:space="preserve">Sr </t>
        </is>
      </c>
      <c r="BO3" s="21" t="inlineStr">
        <is>
          <t xml:space="preserve">Scheme Name </t>
        </is>
      </c>
      <c r="BP3" s="77" t="inlineStr">
        <is>
          <t>No. of Schemes as on September 30, 2025</t>
        </is>
      </c>
      <c r="BQ3" s="77" t="inlineStr">
        <is>
          <t>No. of Folios as on September 30, 2025</t>
        </is>
      </c>
      <c r="BR3" s="611" t="inlineStr">
        <is>
          <t>Funds Mobilized for the month of September 2025 (INR in crore)</t>
        </is>
      </c>
      <c r="BS3" s="612" t="inlineStr">
        <is>
          <t>Repurchase/Redemption for the month of September 2025 (INR in crore)</t>
        </is>
      </c>
      <c r="BT3" s="613" t="inlineStr">
        <is>
          <t>Net Inflow (+ve)/Outflow (-ve) for the month of September 2025 (INR in crore)</t>
        </is>
      </c>
      <c r="BU3" s="612" t="inlineStr">
        <is>
          <t>Net Assets Under Management as on September 30, 2025 (INR in crore)</t>
        </is>
      </c>
      <c r="BV3" s="614" t="inlineStr">
        <is>
          <t>Average Net Assets Under Management for the month September 2025 (INR in crore)</t>
        </is>
      </c>
      <c r="BW3" s="77" t="inlineStr">
        <is>
          <t>No. of segregated portfolios created as on September 30, 2025</t>
        </is>
      </c>
      <c r="BX3" s="612" t="inlineStr">
        <is>
          <t>Net Assets Under Management in segregated portfolio as on September 30, 2025 (INR in crore)</t>
        </is>
      </c>
      <c r="BY3" s="2" t="inlineStr">
        <is>
          <t>-</t>
        </is>
      </c>
      <c r="BZ3" s="22" t="inlineStr">
        <is>
          <t xml:space="preserve">Sr </t>
        </is>
      </c>
      <c r="CA3" s="21" t="inlineStr">
        <is>
          <t xml:space="preserve">Scheme Name </t>
        </is>
      </c>
      <c r="CB3" s="77" t="inlineStr">
        <is>
          <t>No. of Schemes as on October 31, 2025</t>
        </is>
      </c>
      <c r="CC3" s="77" t="inlineStr">
        <is>
          <t>No. of Folios as on October 31, 2025</t>
        </is>
      </c>
      <c r="CD3" s="611" t="inlineStr">
        <is>
          <t>Funds Mobilized for the month of October 2025 (INR in crore)</t>
        </is>
      </c>
      <c r="CE3" s="612" t="inlineStr">
        <is>
          <t>Repurchase/Redemption for the month of October 2025 (INR in crore)</t>
        </is>
      </c>
      <c r="CF3" s="613" t="inlineStr">
        <is>
          <t>Net Inflow (+ve)/Outflow (-ve) for the month of October 2025 (INR in crore)</t>
        </is>
      </c>
      <c r="CG3" s="612" t="inlineStr">
        <is>
          <t>Net Assets Under Management as on October 31, 2025 (INR in crore)</t>
        </is>
      </c>
      <c r="CH3" s="614" t="inlineStr">
        <is>
          <t>Average Net Assets Under Management for the month October 2025 (INR in crore)</t>
        </is>
      </c>
      <c r="CI3" s="77" t="inlineStr">
        <is>
          <t>No. of segregated portfolios created as on October 31, 2025</t>
        </is>
      </c>
      <c r="CJ3" s="612" t="inlineStr">
        <is>
          <t>Net Assets Under Management in segregated portfolio as on October 31, 2025 (INR in crore)</t>
        </is>
      </c>
      <c r="CK3" s="2" t="inlineStr">
        <is>
          <t>-</t>
        </is>
      </c>
      <c r="CL3" s="21" t="inlineStr">
        <is>
          <t xml:space="preserve">Sr </t>
        </is>
      </c>
      <c r="CM3" s="21" t="inlineStr">
        <is>
          <t xml:space="preserve">Scheme Name </t>
        </is>
      </c>
      <c r="CN3" s="77" t="inlineStr">
        <is>
          <t>No. of Schemes as on November 30, 2025</t>
        </is>
      </c>
      <c r="CO3" s="77" t="inlineStr">
        <is>
          <t>No. of Folios as on November 30, 2025</t>
        </is>
      </c>
      <c r="CP3" s="611" t="inlineStr">
        <is>
          <t>Funds Mobilized for the month of November 2025 (INR in crore)</t>
        </is>
      </c>
      <c r="CQ3" s="612" t="inlineStr">
        <is>
          <t>Repurchase/Redemption for the month of November 2025 (INR in crore)</t>
        </is>
      </c>
      <c r="CR3" s="613" t="inlineStr">
        <is>
          <t>Net Inflow (+ve)/Outflow (-ve) for the month of November 2025 (INR in crore)</t>
        </is>
      </c>
      <c r="CS3" s="612" t="inlineStr">
        <is>
          <t>Net Assets Under Management as on November 30, 2025 (INR in crore)</t>
        </is>
      </c>
      <c r="CT3" s="614" t="inlineStr">
        <is>
          <t>Average Net Assets Under Management for the month November 2025 (INR in crore)</t>
        </is>
      </c>
      <c r="CU3" s="77" t="inlineStr">
        <is>
          <t>No. of segregated portfolios created as on November 30, 2025</t>
        </is>
      </c>
      <c r="CV3" s="612" t="inlineStr">
        <is>
          <t>Net Assets Under Management in segregated portfolio as on November 30, 2025 (INR in crore)</t>
        </is>
      </c>
      <c r="CW3" s="2" t="inlineStr">
        <is>
          <t>-</t>
        </is>
      </c>
      <c r="CX3" s="21" t="inlineStr">
        <is>
          <t xml:space="preserve">Sr </t>
        </is>
      </c>
      <c r="CY3" s="21" t="inlineStr">
        <is>
          <t xml:space="preserve">Scheme Name </t>
        </is>
      </c>
      <c r="CZ3" s="77" t="inlineStr">
        <is>
          <t>No. of Schemes as on December 31, 2025</t>
        </is>
      </c>
      <c r="DA3" s="77" t="inlineStr">
        <is>
          <t>No. of Folios as on December 31, 2025</t>
        </is>
      </c>
      <c r="DB3" s="611" t="inlineStr">
        <is>
          <t>Funds Mobilized for the month of December 2025 (INR in crore)</t>
        </is>
      </c>
      <c r="DC3" s="612" t="inlineStr">
        <is>
          <t>Repurchase/Redemption for the month of December 2025 (INR in crore)</t>
        </is>
      </c>
      <c r="DD3" s="613" t="inlineStr">
        <is>
          <t>Net Inflow (+ve)/Outflow (-ve) for the month of December 2025 (INR in crore)</t>
        </is>
      </c>
      <c r="DE3" s="612" t="inlineStr">
        <is>
          <t>Net Assets Under Management as on December 31, 2025 (INR in crore)</t>
        </is>
      </c>
      <c r="DF3" s="614" t="inlineStr">
        <is>
          <t>Average Net Assets Under Management for the month December 2025 (INR in crore)</t>
        </is>
      </c>
      <c r="DG3" s="77" t="inlineStr">
        <is>
          <t>No. of segregated portfolios created as on December 31, 2025</t>
        </is>
      </c>
      <c r="DH3" s="612" t="inlineStr">
        <is>
          <t>Net Assets Under Management in segregated portfolio as on December 31, 2025 (INR in crore)</t>
        </is>
      </c>
      <c r="DI3" s="2" t="inlineStr">
        <is>
          <t>-</t>
        </is>
      </c>
      <c r="DJ3" s="612" t="inlineStr">
        <is>
          <t xml:space="preserve">Sr </t>
        </is>
      </c>
      <c r="DK3" s="612" t="inlineStr">
        <is>
          <t xml:space="preserve">Scheme Name </t>
        </is>
      </c>
      <c r="DL3" s="77" t="inlineStr">
        <is>
          <t>No. of Schemes as on January 31, 2026</t>
        </is>
      </c>
      <c r="DM3" s="77" t="inlineStr">
        <is>
          <t>No. of Folios as on January 31, 2026</t>
        </is>
      </c>
      <c r="DN3" s="611" t="inlineStr">
        <is>
          <t>Funds Mobilized for the month of January 2026 (INR in crore)</t>
        </is>
      </c>
      <c r="DO3" s="612" t="inlineStr">
        <is>
          <t>Repurchase/Redemption for the month of January 2026 (INR in crore)</t>
        </is>
      </c>
      <c r="DP3" s="613" t="inlineStr">
        <is>
          <t>Net Inflow (+ve)/Outflow (-ve) for the month of January 2026 (INR in crore)</t>
        </is>
      </c>
      <c r="DQ3" s="614" t="inlineStr">
        <is>
          <t>Net Assets Under Management as on January 31, 2026 (INR in crore)</t>
        </is>
      </c>
      <c r="DR3" s="77" t="inlineStr">
        <is>
          <t>Average Net Assets Under Management for the month January 2026 (INR in crore)</t>
        </is>
      </c>
      <c r="DS3" s="77" t="inlineStr">
        <is>
          <t>No. of segregated portfolios created as on January 31, 2026</t>
        </is>
      </c>
      <c r="DT3" s="612" t="inlineStr">
        <is>
          <t>Net Assets Under Management in segregated portfolio as on January 31, 2026 (INR in crore)</t>
        </is>
      </c>
      <c r="DU3" s="2" t="inlineStr">
        <is>
          <t>-</t>
        </is>
      </c>
      <c r="DV3" s="122" t="inlineStr">
        <is>
          <t>Funds Mobilized for the month of January 2026 (INR in crore)</t>
        </is>
      </c>
      <c r="DW3" s="613" t="inlineStr">
        <is>
          <t>Net Inflow (+ve)/Outflow (-ve) for the month of January 2026 (INR in crore)</t>
        </is>
      </c>
      <c r="DX3" s="2" t="inlineStr">
        <is>
          <t>-</t>
        </is>
      </c>
      <c r="DY3" s="122" t="inlineStr">
        <is>
          <t>GS - Growth-(Dec'25 Vs Jan'26)</t>
        </is>
      </c>
      <c r="DZ3" s="124" t="inlineStr">
        <is>
          <t>NS - Growth-(Dec'25 Vs Jan'26)</t>
        </is>
      </c>
      <c r="EA3" s="105" t="inlineStr">
        <is>
          <t>AUM - Growth-(Dec'25 Vs Jan'26)</t>
        </is>
      </c>
    </row>
    <row r="4">
      <c r="A4" s="503" t="inlineStr">
        <is>
          <t>A</t>
        </is>
      </c>
      <c r="B4" s="20" t="inlineStr">
        <is>
          <t>Open ended Schemes</t>
        </is>
      </c>
      <c r="C4" s="504" t="n"/>
      <c r="D4" s="504" t="n"/>
      <c r="E4" s="47" t="inlineStr">
        <is>
          <t>-</t>
        </is>
      </c>
      <c r="F4" s="503" t="inlineStr">
        <is>
          <t>A</t>
        </is>
      </c>
      <c r="G4" s="20" t="inlineStr">
        <is>
          <t>Open ended Schemes</t>
        </is>
      </c>
      <c r="H4" s="504" t="n"/>
      <c r="I4" s="504" t="n"/>
      <c r="J4" s="504" t="n"/>
      <c r="K4" s="504" t="n"/>
      <c r="L4" s="504" t="n"/>
      <c r="M4" s="504" t="n"/>
      <c r="N4" s="504" t="n"/>
      <c r="O4" s="504" t="n"/>
      <c r="P4" s="504" t="n"/>
      <c r="Q4" s="47" t="inlineStr">
        <is>
          <t>-</t>
        </is>
      </c>
      <c r="R4" s="503" t="inlineStr">
        <is>
          <t>A</t>
        </is>
      </c>
      <c r="S4" s="20" t="inlineStr">
        <is>
          <t>Open ended Schemes</t>
        </is>
      </c>
      <c r="T4" s="504" t="n"/>
      <c r="U4" s="504" t="n"/>
      <c r="V4" s="504" t="n"/>
      <c r="W4" s="504" t="n"/>
      <c r="X4" s="504" t="n"/>
      <c r="Y4" s="504" t="n"/>
      <c r="Z4" s="504" t="n"/>
      <c r="AA4" s="504" t="n"/>
      <c r="AB4" s="504" t="n"/>
      <c r="AC4" s="47" t="inlineStr">
        <is>
          <t>-</t>
        </is>
      </c>
      <c r="AD4" s="503" t="inlineStr">
        <is>
          <t>A</t>
        </is>
      </c>
      <c r="AE4" s="20" t="inlineStr">
        <is>
          <t>Open ended Schemes</t>
        </is>
      </c>
      <c r="AF4" s="504" t="n"/>
      <c r="AG4" s="504" t="n"/>
      <c r="AH4" s="504" t="n"/>
      <c r="AI4" s="504" t="n"/>
      <c r="AJ4" s="504" t="n"/>
      <c r="AK4" s="504" t="n"/>
      <c r="AL4" s="504" t="n"/>
      <c r="AM4" s="504" t="n"/>
      <c r="AN4" s="504" t="n"/>
      <c r="AO4" s="47" t="inlineStr">
        <is>
          <t>-</t>
        </is>
      </c>
      <c r="AP4" s="503" t="inlineStr">
        <is>
          <t>A</t>
        </is>
      </c>
      <c r="AQ4" s="20" t="inlineStr">
        <is>
          <t>Open ended Schemes</t>
        </is>
      </c>
      <c r="AR4" s="504" t="n"/>
      <c r="AS4" s="504" t="n"/>
      <c r="AT4" s="504" t="n"/>
      <c r="AU4" s="504" t="n"/>
      <c r="AV4" s="504" t="n"/>
      <c r="AW4" s="504" t="n"/>
      <c r="AX4" s="504" t="n"/>
      <c r="AY4" s="504" t="n"/>
      <c r="AZ4" s="504" t="n"/>
      <c r="BA4" s="47" t="inlineStr">
        <is>
          <t>-</t>
        </is>
      </c>
      <c r="BB4" s="503" t="inlineStr">
        <is>
          <t>A</t>
        </is>
      </c>
      <c r="BC4" s="20" t="inlineStr">
        <is>
          <t>Open ended Schemes</t>
        </is>
      </c>
      <c r="BD4" s="504" t="n"/>
      <c r="BE4" s="504" t="n"/>
      <c r="BF4" s="504" t="n"/>
      <c r="BG4" s="504" t="n"/>
      <c r="BH4" s="504" t="n"/>
      <c r="BI4" s="504" t="n"/>
      <c r="BJ4" s="504" t="n"/>
      <c r="BK4" s="504" t="n"/>
      <c r="BL4" s="504" t="n"/>
      <c r="BM4" s="47" t="inlineStr">
        <is>
          <t>-</t>
        </is>
      </c>
      <c r="BN4" s="514" t="inlineStr">
        <is>
          <t>A</t>
        </is>
      </c>
      <c r="BO4" s="20" t="inlineStr">
        <is>
          <t>Open ended Schemes</t>
        </is>
      </c>
      <c r="BP4" s="504" t="n"/>
      <c r="BQ4" s="504" t="n"/>
      <c r="BR4" s="504" t="n"/>
      <c r="BS4" s="504" t="n"/>
      <c r="BT4" s="504" t="n"/>
      <c r="BU4" s="504" t="n"/>
      <c r="BV4" s="504" t="n"/>
      <c r="BW4" s="51" t="n"/>
      <c r="BX4" s="52" t="n"/>
      <c r="BY4" s="47" t="inlineStr">
        <is>
          <t>-</t>
        </is>
      </c>
      <c r="BZ4" s="514" t="inlineStr">
        <is>
          <t>A</t>
        </is>
      </c>
      <c r="CA4" s="20" t="inlineStr">
        <is>
          <t>Open ended Schemes</t>
        </is>
      </c>
      <c r="CB4" s="504" t="n"/>
      <c r="CC4" s="504" t="n"/>
      <c r="CD4" s="504" t="n"/>
      <c r="CE4" s="504" t="n"/>
      <c r="CF4" s="504" t="n"/>
      <c r="CG4" s="504" t="n"/>
      <c r="CH4" s="504" t="n"/>
      <c r="CI4" s="51" t="n"/>
      <c r="CJ4" s="52" t="n"/>
      <c r="CK4" s="47" t="inlineStr">
        <is>
          <t>-</t>
        </is>
      </c>
      <c r="CL4" s="503" t="inlineStr">
        <is>
          <t>A</t>
        </is>
      </c>
      <c r="CM4" s="20" t="inlineStr">
        <is>
          <t>Open ended Schemes</t>
        </is>
      </c>
      <c r="CN4" s="504" t="n"/>
      <c r="CO4" s="504" t="n"/>
      <c r="CP4" s="504" t="n"/>
      <c r="CQ4" s="504" t="n"/>
      <c r="CR4" s="504" t="n"/>
      <c r="CS4" s="504" t="n"/>
      <c r="CT4" s="504" t="n"/>
      <c r="CU4" s="51" t="n"/>
      <c r="CV4" s="504" t="n"/>
      <c r="CW4" s="47" t="inlineStr">
        <is>
          <t>-</t>
        </is>
      </c>
      <c r="CX4" s="503" t="inlineStr">
        <is>
          <t>A</t>
        </is>
      </c>
      <c r="CY4" s="20" t="inlineStr">
        <is>
          <t>Open ended Schemes</t>
        </is>
      </c>
      <c r="CZ4" s="504" t="n"/>
      <c r="DA4" s="504" t="n"/>
      <c r="DB4" s="504" t="n"/>
      <c r="DC4" s="504" t="n"/>
      <c r="DD4" s="504" t="n"/>
      <c r="DE4" s="504" t="n"/>
      <c r="DF4" s="504" t="n"/>
      <c r="DG4" s="504" t="n"/>
      <c r="DH4" s="504" t="n"/>
      <c r="DI4" s="2" t="inlineStr">
        <is>
          <t>-</t>
        </is>
      </c>
      <c r="DJ4" s="612" t="inlineStr">
        <is>
          <t>A</t>
        </is>
      </c>
      <c r="DK4" s="615" t="inlineStr">
        <is>
          <t>Open ended Schemes</t>
        </is>
      </c>
      <c r="DL4" s="79" t="n"/>
      <c r="DM4" s="79" t="n"/>
      <c r="DN4" s="616" t="n"/>
      <c r="DO4" s="616" t="n"/>
      <c r="DP4" s="616" t="n"/>
      <c r="DQ4" s="616" t="n"/>
      <c r="DR4" s="616" t="n"/>
      <c r="DS4" s="79" t="n"/>
      <c r="DT4" s="616" t="n"/>
      <c r="DU4" s="2" t="inlineStr">
        <is>
          <t>-</t>
        </is>
      </c>
      <c r="DV4" s="102" t="inlineStr">
        <is>
          <t>-</t>
        </is>
      </c>
      <c r="DW4" s="102" t="inlineStr">
        <is>
          <t>-</t>
        </is>
      </c>
      <c r="DX4" s="2" t="inlineStr">
        <is>
          <t>-</t>
        </is>
      </c>
      <c r="DY4" s="102" t="inlineStr">
        <is>
          <t>-</t>
        </is>
      </c>
      <c r="DZ4" s="102" t="inlineStr">
        <is>
          <t>-</t>
        </is>
      </c>
      <c r="EA4" s="102" t="inlineStr">
        <is>
          <t>-</t>
        </is>
      </c>
    </row>
    <row r="5">
      <c r="A5" s="503" t="inlineStr">
        <is>
          <t>I</t>
        </is>
      </c>
      <c r="B5" s="20" t="inlineStr">
        <is>
          <t>Income/Debt Oriented Schemes</t>
        </is>
      </c>
      <c r="C5" s="504" t="n"/>
      <c r="D5" s="504" t="n"/>
      <c r="E5" s="47" t="inlineStr">
        <is>
          <t>-</t>
        </is>
      </c>
      <c r="F5" s="503" t="inlineStr">
        <is>
          <t>I</t>
        </is>
      </c>
      <c r="G5" s="20" t="inlineStr">
        <is>
          <t>Income/Debt Oriented Schemes</t>
        </is>
      </c>
      <c r="H5" s="504" t="n"/>
      <c r="I5" s="504" t="n"/>
      <c r="J5" s="504" t="n"/>
      <c r="K5" s="504" t="n"/>
      <c r="L5" s="504" t="n"/>
      <c r="M5" s="504" t="n"/>
      <c r="N5" s="504" t="n"/>
      <c r="O5" s="504" t="n"/>
      <c r="P5" s="504" t="n"/>
      <c r="Q5" s="47" t="inlineStr">
        <is>
          <t>-</t>
        </is>
      </c>
      <c r="R5" s="503" t="inlineStr">
        <is>
          <t>I</t>
        </is>
      </c>
      <c r="S5" s="20" t="inlineStr">
        <is>
          <t>Income/Debt Oriented Schemes</t>
        </is>
      </c>
      <c r="T5" s="504" t="n"/>
      <c r="U5" s="504" t="n"/>
      <c r="V5" s="504" t="n"/>
      <c r="W5" s="504" t="n"/>
      <c r="X5" s="504" t="n"/>
      <c r="Y5" s="504" t="n"/>
      <c r="Z5" s="504" t="n"/>
      <c r="AA5" s="504" t="n"/>
      <c r="AB5" s="504" t="n"/>
      <c r="AC5" s="47" t="inlineStr">
        <is>
          <t>-</t>
        </is>
      </c>
      <c r="AD5" s="503" t="inlineStr">
        <is>
          <t>I</t>
        </is>
      </c>
      <c r="AE5" s="20" t="inlineStr">
        <is>
          <t>Income/Debt Oriented Schemes</t>
        </is>
      </c>
      <c r="AF5" s="504" t="n"/>
      <c r="AG5" s="504" t="n"/>
      <c r="AH5" s="504" t="n"/>
      <c r="AI5" s="504" t="n"/>
      <c r="AJ5" s="504" t="n"/>
      <c r="AK5" s="504" t="n"/>
      <c r="AL5" s="504" t="n"/>
      <c r="AM5" s="504" t="n"/>
      <c r="AN5" s="504" t="n"/>
      <c r="AO5" s="47" t="inlineStr">
        <is>
          <t>-</t>
        </is>
      </c>
      <c r="AP5" s="503" t="inlineStr">
        <is>
          <t>I</t>
        </is>
      </c>
      <c r="AQ5" s="20" t="inlineStr">
        <is>
          <t>Income/Debt Oriented Schemes</t>
        </is>
      </c>
      <c r="AR5" s="504" t="n"/>
      <c r="AS5" s="504" t="n"/>
      <c r="AT5" s="504" t="n"/>
      <c r="AU5" s="504" t="n"/>
      <c r="AV5" s="504" t="n"/>
      <c r="AW5" s="504" t="n"/>
      <c r="AX5" s="504" t="n"/>
      <c r="AY5" s="504" t="n"/>
      <c r="AZ5" s="504" t="n"/>
      <c r="BA5" s="47" t="inlineStr">
        <is>
          <t>-</t>
        </is>
      </c>
      <c r="BB5" s="503" t="inlineStr">
        <is>
          <t>I</t>
        </is>
      </c>
      <c r="BC5" s="20" t="inlineStr">
        <is>
          <t>Income/Debt Oriented Schemes</t>
        </is>
      </c>
      <c r="BD5" s="504" t="n"/>
      <c r="BE5" s="504" t="n"/>
      <c r="BF5" s="504" t="n"/>
      <c r="BG5" s="504" t="n"/>
      <c r="BH5" s="504" t="n"/>
      <c r="BI5" s="504" t="n"/>
      <c r="BJ5" s="504" t="n"/>
      <c r="BK5" s="504" t="n"/>
      <c r="BL5" s="504" t="n"/>
      <c r="BM5" s="47" t="inlineStr">
        <is>
          <t>-</t>
        </is>
      </c>
      <c r="BN5" s="514" t="inlineStr">
        <is>
          <t>I</t>
        </is>
      </c>
      <c r="BO5" s="20" t="inlineStr">
        <is>
          <t>Income/Debt Oriented Schemes</t>
        </is>
      </c>
      <c r="BP5" s="504" t="n"/>
      <c r="BQ5" s="504" t="n"/>
      <c r="BR5" s="504" t="n"/>
      <c r="BS5" s="504" t="n"/>
      <c r="BT5" s="504" t="n"/>
      <c r="BU5" s="504" t="n"/>
      <c r="BV5" s="504" t="n"/>
      <c r="BW5" s="51" t="n"/>
      <c r="BX5" s="52" t="n"/>
      <c r="BY5" s="47" t="inlineStr">
        <is>
          <t>-</t>
        </is>
      </c>
      <c r="BZ5" s="514" t="inlineStr">
        <is>
          <t>I</t>
        </is>
      </c>
      <c r="CA5" s="20" t="inlineStr">
        <is>
          <t>Income/Debt Oriented Schemes</t>
        </is>
      </c>
      <c r="CB5" s="504" t="n"/>
      <c r="CC5" s="504" t="n"/>
      <c r="CD5" s="504" t="n"/>
      <c r="CE5" s="504" t="n"/>
      <c r="CF5" s="504" t="n"/>
      <c r="CG5" s="504" t="n"/>
      <c r="CH5" s="504" t="n"/>
      <c r="CI5" s="51" t="n"/>
      <c r="CJ5" s="52" t="n"/>
      <c r="CK5" s="47" t="inlineStr">
        <is>
          <t>-</t>
        </is>
      </c>
      <c r="CL5" s="503" t="inlineStr">
        <is>
          <t>I</t>
        </is>
      </c>
      <c r="CM5" s="20" t="inlineStr">
        <is>
          <t>Income/Debt Oriented Schemes</t>
        </is>
      </c>
      <c r="CN5" s="504" t="n"/>
      <c r="CO5" s="504" t="n"/>
      <c r="CP5" s="504" t="n"/>
      <c r="CQ5" s="504" t="n"/>
      <c r="CR5" s="504" t="n"/>
      <c r="CS5" s="504" t="n"/>
      <c r="CT5" s="504" t="n"/>
      <c r="CU5" s="51" t="n"/>
      <c r="CV5" s="504" t="n"/>
      <c r="CW5" s="47" t="inlineStr">
        <is>
          <t>-</t>
        </is>
      </c>
      <c r="CX5" s="503" t="inlineStr">
        <is>
          <t>I</t>
        </is>
      </c>
      <c r="CY5" s="20" t="inlineStr">
        <is>
          <t>Income/Debt Oriented Schemes</t>
        </is>
      </c>
      <c r="CZ5" s="504" t="n"/>
      <c r="DA5" s="504" t="n"/>
      <c r="DB5" s="504" t="n"/>
      <c r="DC5" s="504" t="n"/>
      <c r="DD5" s="504" t="n"/>
      <c r="DE5" s="504" t="n"/>
      <c r="DF5" s="504" t="n"/>
      <c r="DG5" s="504" t="n"/>
      <c r="DH5" s="504" t="n"/>
      <c r="DI5" s="2" t="inlineStr">
        <is>
          <t>-</t>
        </is>
      </c>
      <c r="DJ5" s="612" t="inlineStr">
        <is>
          <t>I</t>
        </is>
      </c>
      <c r="DK5" s="615" t="inlineStr">
        <is>
          <t>Income/Debt Oriented Schemes</t>
        </is>
      </c>
      <c r="DL5" s="79" t="n"/>
      <c r="DM5" s="79" t="n"/>
      <c r="DN5" s="616" t="n"/>
      <c r="DO5" s="616" t="n"/>
      <c r="DP5" s="616" t="n"/>
      <c r="DQ5" s="616" t="n"/>
      <c r="DR5" s="616" t="n"/>
      <c r="DS5" s="79" t="n"/>
      <c r="DT5" s="616" t="n"/>
      <c r="DU5" s="2" t="inlineStr">
        <is>
          <t>-</t>
        </is>
      </c>
      <c r="DV5" s="102" t="inlineStr">
        <is>
          <t>-</t>
        </is>
      </c>
      <c r="DW5" s="102" t="inlineStr">
        <is>
          <t>-</t>
        </is>
      </c>
      <c r="DX5" s="2" t="inlineStr">
        <is>
          <t>-</t>
        </is>
      </c>
      <c r="DY5" s="102" t="inlineStr">
        <is>
          <t>-</t>
        </is>
      </c>
      <c r="DZ5" s="102" t="inlineStr">
        <is>
          <t>-</t>
        </is>
      </c>
      <c r="EA5" s="102" t="inlineStr">
        <is>
          <t>-</t>
        </is>
      </c>
    </row>
    <row r="6">
      <c r="A6" s="16" t="inlineStr">
        <is>
          <t>i</t>
        </is>
      </c>
      <c r="B6" s="15" t="inlineStr">
        <is>
          <t>Overnight Fund</t>
        </is>
      </c>
      <c r="C6" s="617" t="n">
        <v>62458.42580651</v>
      </c>
      <c r="D6" s="617" t="n">
        <v>106086.49886455</v>
      </c>
      <c r="E6" s="47" t="inlineStr">
        <is>
          <t>-</t>
        </is>
      </c>
      <c r="F6" s="16" t="inlineStr">
        <is>
          <t>i</t>
        </is>
      </c>
      <c r="G6" s="15" t="inlineStr">
        <is>
          <t>Overnight Fund</t>
        </is>
      </c>
      <c r="H6" s="14" t="n">
        <v>35</v>
      </c>
      <c r="I6" s="14" t="n">
        <v>651034</v>
      </c>
      <c r="J6" s="617" t="n">
        <v>452346.87828471</v>
      </c>
      <c r="K6" s="617" t="n">
        <v>428446.89943272</v>
      </c>
      <c r="L6" s="617" t="n">
        <v>23899.97885199</v>
      </c>
      <c r="M6" s="617" t="n">
        <v>86833.81559637999</v>
      </c>
      <c r="N6" s="617" t="n">
        <v>99610.67878713</v>
      </c>
      <c r="O6" s="14" t="n">
        <v>0</v>
      </c>
      <c r="P6" s="617" t="n">
        <v>0</v>
      </c>
      <c r="Q6" s="47" t="inlineStr">
        <is>
          <t>-</t>
        </is>
      </c>
      <c r="R6" s="16" t="inlineStr">
        <is>
          <t>i</t>
        </is>
      </c>
      <c r="S6" s="15" t="inlineStr">
        <is>
          <t>Overnight Fund</t>
        </is>
      </c>
      <c r="T6" s="14" t="n">
        <v>35</v>
      </c>
      <c r="U6" s="14" t="n">
        <v>659424</v>
      </c>
      <c r="V6" s="617" t="n">
        <v>452387.85098329</v>
      </c>
      <c r="W6" s="617" t="n">
        <v>460507.88064892</v>
      </c>
      <c r="X6" s="617" t="n">
        <v>-8120.02966563002</v>
      </c>
      <c r="Y6" s="617" t="n">
        <v>79184.25612239999</v>
      </c>
      <c r="Z6" s="617" t="n">
        <v>97396.63952693</v>
      </c>
      <c r="AA6" s="14" t="n">
        <v>0</v>
      </c>
      <c r="AB6" s="617" t="n">
        <v>0</v>
      </c>
      <c r="AC6" s="47" t="inlineStr">
        <is>
          <t>-</t>
        </is>
      </c>
      <c r="AD6" s="16" t="inlineStr">
        <is>
          <t>i</t>
        </is>
      </c>
      <c r="AE6" s="15" t="inlineStr">
        <is>
          <t>Overnight Fund</t>
        </is>
      </c>
      <c r="AF6" s="14" t="n">
        <v>35</v>
      </c>
      <c r="AG6" s="14" t="n">
        <v>663083</v>
      </c>
      <c r="AH6" s="617" t="n">
        <v>569989.9642360701</v>
      </c>
      <c r="AI6" s="617" t="n">
        <v>578144.45800098</v>
      </c>
      <c r="AJ6" s="617" t="n">
        <v>-8154.49376491015</v>
      </c>
      <c r="AK6" s="617" t="n">
        <v>71480.92978037</v>
      </c>
      <c r="AL6" s="617" t="n">
        <v>104237.28277392</v>
      </c>
      <c r="AM6" s="14" t="n">
        <v>0</v>
      </c>
      <c r="AN6" s="617" t="n">
        <v>0</v>
      </c>
      <c r="AO6" s="47" t="inlineStr">
        <is>
          <t>-</t>
        </is>
      </c>
      <c r="AP6" s="16" t="inlineStr">
        <is>
          <t>i</t>
        </is>
      </c>
      <c r="AQ6" s="15" t="inlineStr">
        <is>
          <t>Overnight Fund</t>
        </is>
      </c>
      <c r="AR6" s="14" t="n">
        <v>37</v>
      </c>
      <c r="AS6" s="14" t="n">
        <v>706888</v>
      </c>
      <c r="AT6" s="617" t="n">
        <v>602367.86494319</v>
      </c>
      <c r="AU6" s="617" t="n">
        <v>593502.2674167301</v>
      </c>
      <c r="AV6" s="617" t="n">
        <v>8865.597526460189</v>
      </c>
      <c r="AW6" s="617" t="n">
        <v>80835.23982603999</v>
      </c>
      <c r="AX6" s="617" t="n">
        <v>108422.78047143</v>
      </c>
      <c r="AY6" s="14" t="n">
        <v>0</v>
      </c>
      <c r="AZ6" s="617" t="n">
        <v>0</v>
      </c>
      <c r="BA6" s="47" t="inlineStr">
        <is>
          <t>-</t>
        </is>
      </c>
      <c r="BB6" s="16" t="inlineStr">
        <is>
          <t>i</t>
        </is>
      </c>
      <c r="BC6" s="15" t="inlineStr">
        <is>
          <t>Overnight Fund</t>
        </is>
      </c>
      <c r="BD6" s="14" t="n">
        <v>37</v>
      </c>
      <c r="BE6" s="14" t="n">
        <v>716620</v>
      </c>
      <c r="BF6" s="617" t="n">
        <v>514292.5784988</v>
      </c>
      <c r="BG6" s="617" t="n">
        <v>509341.73620696</v>
      </c>
      <c r="BH6" s="617" t="n">
        <v>4950.84229184035</v>
      </c>
      <c r="BI6" s="617" t="n">
        <v>86296.88029226</v>
      </c>
      <c r="BJ6" s="617" t="n">
        <v>113153.73656351</v>
      </c>
      <c r="BK6" s="14" t="n">
        <v>0</v>
      </c>
      <c r="BL6" s="617" t="n">
        <v>0</v>
      </c>
      <c r="BM6" s="47" t="inlineStr">
        <is>
          <t>-</t>
        </is>
      </c>
      <c r="BN6" s="19" t="inlineStr">
        <is>
          <t>i</t>
        </is>
      </c>
      <c r="BO6" s="15" t="inlineStr">
        <is>
          <t>Overnight Fund</t>
        </is>
      </c>
      <c r="BP6" s="14" t="n">
        <v>37</v>
      </c>
      <c r="BQ6" s="14" t="n">
        <v>714717</v>
      </c>
      <c r="BR6" s="617" t="n">
        <v>622708.80279545</v>
      </c>
      <c r="BS6" s="617" t="n">
        <v>618429.80339505</v>
      </c>
      <c r="BT6" s="617" t="n">
        <v>4278.99940039963</v>
      </c>
      <c r="BU6" s="617" t="n">
        <v>91096.03376336</v>
      </c>
      <c r="BV6" s="617" t="n">
        <v>117432.17587027</v>
      </c>
      <c r="BW6" s="17" t="n">
        <v>0</v>
      </c>
      <c r="BX6" s="618" t="n">
        <v>0</v>
      </c>
      <c r="BY6" s="47" t="inlineStr">
        <is>
          <t>-</t>
        </is>
      </c>
      <c r="BZ6" s="19" t="inlineStr">
        <is>
          <t>i</t>
        </is>
      </c>
      <c r="CA6" s="15" t="inlineStr">
        <is>
          <t>Overnight Fund</t>
        </is>
      </c>
      <c r="CB6" s="14" t="n">
        <v>37</v>
      </c>
      <c r="CC6" s="14" t="n">
        <v>717799</v>
      </c>
      <c r="CD6" s="617" t="n">
        <v>540213.2001689801</v>
      </c>
      <c r="CE6" s="617" t="n">
        <v>516162.62973972</v>
      </c>
      <c r="CF6" s="617" t="n">
        <v>24050.5704292599</v>
      </c>
      <c r="CG6" s="617" t="n">
        <v>115714.41874918</v>
      </c>
      <c r="CH6" s="617" t="n">
        <v>124242.74008349</v>
      </c>
      <c r="CI6" s="17" t="n">
        <v>0</v>
      </c>
      <c r="CJ6" s="618" t="n">
        <v>0</v>
      </c>
      <c r="CK6" s="47" t="inlineStr">
        <is>
          <t>-</t>
        </is>
      </c>
      <c r="CL6" s="16" t="inlineStr">
        <is>
          <t>i</t>
        </is>
      </c>
      <c r="CM6" s="15" t="inlineStr">
        <is>
          <t>Overnight Fund</t>
        </is>
      </c>
      <c r="CN6" s="14" t="n">
        <v>37</v>
      </c>
      <c r="CO6" s="14" t="n">
        <v>718743</v>
      </c>
      <c r="CP6" s="617" t="n">
        <v>490785.80569494</v>
      </c>
      <c r="CQ6" s="617" t="n">
        <v>528410.33219357</v>
      </c>
      <c r="CR6" s="617" t="n">
        <v>-37624.5264986302</v>
      </c>
      <c r="CS6" s="617" t="n">
        <v>78584.32066704999</v>
      </c>
      <c r="CT6" s="617" t="n">
        <v>113503.26993687</v>
      </c>
      <c r="CU6" s="17" t="n">
        <v>0</v>
      </c>
      <c r="CV6" s="617" t="n">
        <v>0</v>
      </c>
      <c r="CW6" s="47" t="inlineStr">
        <is>
          <t>-</t>
        </is>
      </c>
      <c r="CX6" s="16" t="inlineStr">
        <is>
          <t>i</t>
        </is>
      </c>
      <c r="CY6" s="15" t="inlineStr">
        <is>
          <t>Overnight Fund</t>
        </is>
      </c>
      <c r="CZ6" s="14" t="n">
        <v>37</v>
      </c>
      <c r="DA6" s="14" t="n">
        <v>728222</v>
      </c>
      <c r="DB6" s="617" t="n">
        <v>699780.55665509</v>
      </c>
      <c r="DC6" s="617" t="n">
        <v>699526.30653444</v>
      </c>
      <c r="DD6" s="619" t="n">
        <v>254.250120650046</v>
      </c>
      <c r="DE6" s="617" t="n">
        <v>79367.82512757</v>
      </c>
      <c r="DF6" s="617" t="n">
        <v>117317.69078183</v>
      </c>
      <c r="DG6" s="14" t="n">
        <v>0</v>
      </c>
      <c r="DH6" s="617" t="n">
        <v>0</v>
      </c>
      <c r="DI6" s="2" t="inlineStr">
        <is>
          <t>-</t>
        </is>
      </c>
      <c r="DJ6" s="620" t="inlineStr">
        <is>
          <t>i</t>
        </is>
      </c>
      <c r="DK6" s="621" t="inlineStr">
        <is>
          <t>Overnight Fund</t>
        </is>
      </c>
      <c r="DL6" s="83" t="n">
        <v>37</v>
      </c>
      <c r="DM6" s="83" t="n">
        <v>734569</v>
      </c>
      <c r="DN6" s="622" t="n">
        <v>657098.1369712499</v>
      </c>
      <c r="DO6" s="622" t="n">
        <v>610818.08783477</v>
      </c>
      <c r="DP6" s="623" t="n">
        <v>46280.0491364803</v>
      </c>
      <c r="DQ6" s="622" t="n">
        <v>126200.24577556</v>
      </c>
      <c r="DR6" s="622" t="n">
        <v>125565.39536273</v>
      </c>
      <c r="DS6" s="83" t="n">
        <v>0</v>
      </c>
      <c r="DT6" s="622" t="n">
        <v>0</v>
      </c>
      <c r="DU6" s="2" t="inlineStr">
        <is>
          <t>-</t>
        </is>
      </c>
      <c r="DV6" s="130">
        <f>J6+V6+AH6+AT6+BF6+BR6+CD6+CP6+DN6</f>
        <v/>
      </c>
      <c r="DW6" s="131">
        <f>L6+X6+AJ6+AV6+BH6+BT6+CF6+CR6+DD6+DP6</f>
        <v/>
      </c>
      <c r="DX6" s="2" t="inlineStr">
        <is>
          <t>-</t>
        </is>
      </c>
      <c r="DY6" s="127">
        <f>(DN6-DB6)/DB6</f>
        <v/>
      </c>
      <c r="DZ6" s="128">
        <f>(DP6-DD6)/DD6</f>
        <v/>
      </c>
      <c r="EA6" s="129">
        <f>(DR6-DF6)/DF6</f>
        <v/>
      </c>
    </row>
    <row r="7">
      <c r="A7" s="16" t="inlineStr">
        <is>
          <t>ii</t>
        </is>
      </c>
      <c r="B7" s="15" t="inlineStr">
        <is>
          <t>Liquid Fund</t>
        </is>
      </c>
      <c r="C7" s="617" t="n">
        <v>437773.93852362</v>
      </c>
      <c r="D7" s="617" t="n">
        <v>557784.93606428</v>
      </c>
      <c r="E7" s="47" t="inlineStr">
        <is>
          <t>-</t>
        </is>
      </c>
      <c r="F7" s="16" t="inlineStr">
        <is>
          <t>ii</t>
        </is>
      </c>
      <c r="G7" s="15" t="inlineStr">
        <is>
          <t>Liquid Fund</t>
        </is>
      </c>
      <c r="H7" s="14" t="n">
        <v>37</v>
      </c>
      <c r="I7" s="14" t="n">
        <v>1912584</v>
      </c>
      <c r="J7" s="617" t="n">
        <v>507349.89629727</v>
      </c>
      <c r="K7" s="617" t="n">
        <v>388693.45720794</v>
      </c>
      <c r="L7" s="617" t="n">
        <v>118656.43908933</v>
      </c>
      <c r="M7" s="617" t="n">
        <v>559824.18365416</v>
      </c>
      <c r="N7" s="617" t="n">
        <v>607582.90254445</v>
      </c>
      <c r="O7" s="14" t="n">
        <v>0</v>
      </c>
      <c r="P7" s="617" t="n">
        <v>0</v>
      </c>
      <c r="Q7" s="47" t="inlineStr">
        <is>
          <t>-</t>
        </is>
      </c>
      <c r="R7" s="16" t="inlineStr">
        <is>
          <t>ii</t>
        </is>
      </c>
      <c r="S7" s="15" t="inlineStr">
        <is>
          <t>Liquid Fund</t>
        </is>
      </c>
      <c r="T7" s="14" t="n">
        <v>37</v>
      </c>
      <c r="U7" s="14" t="n">
        <v>1941435</v>
      </c>
      <c r="V7" s="617" t="n">
        <v>345272.11590764</v>
      </c>
      <c r="W7" s="617" t="n">
        <v>385477.47560943</v>
      </c>
      <c r="X7" s="617" t="n">
        <v>-40205.35970179</v>
      </c>
      <c r="Y7" s="617" t="n">
        <v>522714.52219131</v>
      </c>
      <c r="Z7" s="617" t="n">
        <v>568734.39075027</v>
      </c>
      <c r="AA7" s="14" t="n">
        <v>0</v>
      </c>
      <c r="AB7" s="617" t="n">
        <v>0</v>
      </c>
      <c r="AC7" s="47" t="inlineStr">
        <is>
          <t>-</t>
        </is>
      </c>
      <c r="AD7" s="16" t="inlineStr">
        <is>
          <t>ii</t>
        </is>
      </c>
      <c r="AE7" s="15" t="inlineStr">
        <is>
          <t>Liquid Fund</t>
        </is>
      </c>
      <c r="AF7" s="14" t="n">
        <v>38</v>
      </c>
      <c r="AG7" s="14" t="n">
        <v>1973815</v>
      </c>
      <c r="AH7" s="617" t="n">
        <v>503574.67716249</v>
      </c>
      <c r="AI7" s="617" t="n">
        <v>528770.7639962099</v>
      </c>
      <c r="AJ7" s="617" t="n">
        <v>-25196.0868337201</v>
      </c>
      <c r="AK7" s="617" t="n">
        <v>499856.82495546</v>
      </c>
      <c r="AL7" s="617" t="n">
        <v>584402.98813935</v>
      </c>
      <c r="AM7" s="14" t="n">
        <v>0</v>
      </c>
      <c r="AN7" s="617" t="n">
        <v>0</v>
      </c>
      <c r="AO7" s="47" t="inlineStr">
        <is>
          <t>-</t>
        </is>
      </c>
      <c r="AP7" s="16" t="inlineStr">
        <is>
          <t>ii</t>
        </is>
      </c>
      <c r="AQ7" s="15" t="inlineStr">
        <is>
          <t>Liquid Fund</t>
        </is>
      </c>
      <c r="AR7" s="14" t="n">
        <v>39</v>
      </c>
      <c r="AS7" s="14" t="n">
        <v>2082344</v>
      </c>
      <c r="AT7" s="617" t="n">
        <v>477544.05403212</v>
      </c>
      <c r="AU7" s="617" t="n">
        <v>438189.12075098</v>
      </c>
      <c r="AV7" s="617" t="n">
        <v>39354.9332811399</v>
      </c>
      <c r="AW7" s="617" t="n">
        <v>542224.72076529</v>
      </c>
      <c r="AX7" s="617" t="n">
        <v>600208.97180331</v>
      </c>
      <c r="AY7" s="14" t="n">
        <v>0</v>
      </c>
      <c r="AZ7" s="617" t="n">
        <v>0</v>
      </c>
      <c r="BA7" s="47" t="inlineStr">
        <is>
          <t>-</t>
        </is>
      </c>
      <c r="BB7" s="16" t="inlineStr">
        <is>
          <t>ii</t>
        </is>
      </c>
      <c r="BC7" s="15" t="inlineStr">
        <is>
          <t>Liquid Fund</t>
        </is>
      </c>
      <c r="BD7" s="14" t="n">
        <v>39</v>
      </c>
      <c r="BE7" s="14" t="n">
        <v>2131349</v>
      </c>
      <c r="BF7" s="617" t="n">
        <v>347152.0206049</v>
      </c>
      <c r="BG7" s="617" t="n">
        <v>360502.07865161</v>
      </c>
      <c r="BH7" s="617" t="n">
        <v>-13350.0580467097</v>
      </c>
      <c r="BI7" s="617" t="n">
        <v>531546.83270424</v>
      </c>
      <c r="BJ7" s="617" t="n">
        <v>572499.66345118</v>
      </c>
      <c r="BK7" s="14" t="n">
        <v>0</v>
      </c>
      <c r="BL7" s="617" t="n">
        <v>0</v>
      </c>
      <c r="BM7" s="47" t="inlineStr">
        <is>
          <t>-</t>
        </is>
      </c>
      <c r="BN7" s="19" t="inlineStr">
        <is>
          <t>ii</t>
        </is>
      </c>
      <c r="BO7" s="15" t="inlineStr">
        <is>
          <t>Liquid Fund</t>
        </is>
      </c>
      <c r="BP7" s="14" t="n">
        <v>39</v>
      </c>
      <c r="BQ7" s="14" t="n">
        <v>2175269</v>
      </c>
      <c r="BR7" s="617" t="n">
        <v>412040.99868299</v>
      </c>
      <c r="BS7" s="617" t="n">
        <v>478083.32351039</v>
      </c>
      <c r="BT7" s="617" t="n">
        <v>-66042.32482740001</v>
      </c>
      <c r="BU7" s="617" t="n">
        <v>467363.8116571</v>
      </c>
      <c r="BV7" s="617" t="n">
        <v>545880.11724302</v>
      </c>
      <c r="BW7" s="17" t="n">
        <v>0</v>
      </c>
      <c r="BX7" s="618" t="n">
        <v>0</v>
      </c>
      <c r="BY7" s="47" t="inlineStr">
        <is>
          <t>-</t>
        </is>
      </c>
      <c r="BZ7" s="19" t="inlineStr">
        <is>
          <t>ii</t>
        </is>
      </c>
      <c r="CA7" s="15" t="inlineStr">
        <is>
          <t>Liquid Fund</t>
        </is>
      </c>
      <c r="CB7" s="14" t="n">
        <v>40</v>
      </c>
      <c r="CC7" s="14" t="n">
        <v>2278013</v>
      </c>
      <c r="CD7" s="617" t="n">
        <v>427684.69385958</v>
      </c>
      <c r="CE7" s="617" t="n">
        <v>338309.57526665</v>
      </c>
      <c r="CF7" s="617" t="n">
        <v>89375.11859293</v>
      </c>
      <c r="CG7" s="617" t="n">
        <v>559686.58269699</v>
      </c>
      <c r="CH7" s="617" t="n">
        <v>560718.30999825</v>
      </c>
      <c r="CI7" s="17" t="n">
        <v>0</v>
      </c>
      <c r="CJ7" s="618" t="n">
        <v>0</v>
      </c>
      <c r="CK7" s="47" t="inlineStr">
        <is>
          <t>-</t>
        </is>
      </c>
      <c r="CL7" s="16" t="inlineStr">
        <is>
          <t>ii</t>
        </is>
      </c>
      <c r="CM7" s="15" t="inlineStr">
        <is>
          <t>Liquid Fund</t>
        </is>
      </c>
      <c r="CN7" s="14" t="n">
        <v>41</v>
      </c>
      <c r="CO7" s="14" t="n">
        <v>2377756</v>
      </c>
      <c r="CP7" s="617" t="n">
        <v>311162.79810906</v>
      </c>
      <c r="CQ7" s="617" t="n">
        <v>325213.51457916</v>
      </c>
      <c r="CR7" s="617" t="n">
        <v>-14050.7164701</v>
      </c>
      <c r="CS7" s="617" t="n">
        <v>548393.27376255</v>
      </c>
      <c r="CT7" s="617" t="n">
        <v>576514.2776337001</v>
      </c>
      <c r="CU7" s="17" t="n">
        <v>0</v>
      </c>
      <c r="CV7" s="617" t="n">
        <v>0</v>
      </c>
      <c r="CW7" s="47" t="inlineStr">
        <is>
          <t>-</t>
        </is>
      </c>
      <c r="CX7" s="16" t="inlineStr">
        <is>
          <t>ii</t>
        </is>
      </c>
      <c r="CY7" s="15" t="inlineStr">
        <is>
          <t>Liquid Fund</t>
        </is>
      </c>
      <c r="CZ7" s="14" t="n">
        <v>42</v>
      </c>
      <c r="DA7" s="14" t="n">
        <v>2435865</v>
      </c>
      <c r="DB7" s="617" t="n">
        <v>464668.90947591</v>
      </c>
      <c r="DC7" s="617" t="n">
        <v>511976.86440877</v>
      </c>
      <c r="DD7" s="619" t="n">
        <v>-47307.9549328601</v>
      </c>
      <c r="DE7" s="617" t="n">
        <v>503143.329116</v>
      </c>
      <c r="DF7" s="617" t="n">
        <v>575533.12761158</v>
      </c>
      <c r="DG7" s="14" t="n">
        <v>0</v>
      </c>
      <c r="DH7" s="617" t="n">
        <v>0</v>
      </c>
      <c r="DI7" s="2" t="inlineStr">
        <is>
          <t>-</t>
        </is>
      </c>
      <c r="DJ7" s="620" t="inlineStr">
        <is>
          <t>ii</t>
        </is>
      </c>
      <c r="DK7" s="621" t="inlineStr">
        <is>
          <t>Liquid Fund</t>
        </is>
      </c>
      <c r="DL7" s="83" t="n">
        <v>42</v>
      </c>
      <c r="DM7" s="83" t="n">
        <v>2514436</v>
      </c>
      <c r="DN7" s="622" t="n">
        <v>408835.01635988</v>
      </c>
      <c r="DO7" s="622" t="n">
        <v>378153.46244703</v>
      </c>
      <c r="DP7" s="623" t="n">
        <v>30681.5539128496</v>
      </c>
      <c r="DQ7" s="622" t="n">
        <v>536753.2067084101</v>
      </c>
      <c r="DR7" s="622" t="n">
        <v>565989.61702585</v>
      </c>
      <c r="DS7" s="83" t="n">
        <v>0</v>
      </c>
      <c r="DT7" s="622" t="n">
        <v>0</v>
      </c>
      <c r="DU7" s="2" t="inlineStr">
        <is>
          <t>-</t>
        </is>
      </c>
      <c r="DV7" s="127" t="n"/>
      <c r="DW7" s="128" t="n"/>
      <c r="DX7" s="2" t="inlineStr">
        <is>
          <t>-</t>
        </is>
      </c>
      <c r="DY7" s="127">
        <f>(DN7-DB7)/DB7</f>
        <v/>
      </c>
      <c r="DZ7" s="128">
        <f>(DP7-DD7)/DD7</f>
        <v/>
      </c>
      <c r="EA7" s="129">
        <f>(DR7-DF7)/DF7</f>
        <v/>
      </c>
    </row>
    <row r="8">
      <c r="A8" s="16" t="inlineStr">
        <is>
          <t>iii</t>
        </is>
      </c>
      <c r="B8" s="15" t="inlineStr">
        <is>
          <t>Ultra Short Duration Fund</t>
        </is>
      </c>
      <c r="C8" s="617" t="n">
        <v>98541.79392059</v>
      </c>
      <c r="D8" s="617" t="n">
        <v>103614.95456268</v>
      </c>
      <c r="E8" s="47" t="inlineStr">
        <is>
          <t>-</t>
        </is>
      </c>
      <c r="F8" s="16" t="inlineStr">
        <is>
          <t>iii</t>
        </is>
      </c>
      <c r="G8" s="15" t="inlineStr">
        <is>
          <t>Ultra Short Duration Fund</t>
        </is>
      </c>
      <c r="H8" s="14" t="n">
        <v>25</v>
      </c>
      <c r="I8" s="14" t="n">
        <v>672543</v>
      </c>
      <c r="J8" s="617" t="n">
        <v>41099.83000011</v>
      </c>
      <c r="K8" s="617" t="n">
        <v>14366.02169934</v>
      </c>
      <c r="L8" s="617" t="n">
        <v>26733.80830077</v>
      </c>
      <c r="M8" s="617" t="n">
        <v>126436.7044589</v>
      </c>
      <c r="N8" s="617" t="n">
        <v>114947.48547228</v>
      </c>
      <c r="O8" s="14" t="n">
        <v>0</v>
      </c>
      <c r="P8" s="617" t="n">
        <v>0</v>
      </c>
      <c r="Q8" s="47" t="inlineStr">
        <is>
          <t>-</t>
        </is>
      </c>
      <c r="R8" s="16" t="inlineStr">
        <is>
          <t>iii</t>
        </is>
      </c>
      <c r="S8" s="15" t="inlineStr">
        <is>
          <t>Ultra Short Duration Fund</t>
        </is>
      </c>
      <c r="T8" s="14" t="n">
        <v>25</v>
      </c>
      <c r="U8" s="14" t="n">
        <v>695720</v>
      </c>
      <c r="V8" s="617" t="n">
        <v>20775.121818</v>
      </c>
      <c r="W8" s="617" t="n">
        <v>18927.5474764</v>
      </c>
      <c r="X8" s="617" t="n">
        <v>1847.5743416</v>
      </c>
      <c r="Y8" s="617" t="n">
        <v>129109.99864276</v>
      </c>
      <c r="Z8" s="617" t="n">
        <v>128267.06667957</v>
      </c>
      <c r="AA8" s="14" t="n">
        <v>0</v>
      </c>
      <c r="AB8" s="617" t="n">
        <v>0</v>
      </c>
      <c r="AC8" s="47" t="inlineStr">
        <is>
          <t>-</t>
        </is>
      </c>
      <c r="AD8" s="16" t="inlineStr">
        <is>
          <t>iii</t>
        </is>
      </c>
      <c r="AE8" s="15" t="inlineStr">
        <is>
          <t>Ultra Short Duration Fund</t>
        </is>
      </c>
      <c r="AF8" s="14" t="n">
        <v>25</v>
      </c>
      <c r="AG8" s="14" t="n">
        <v>718333</v>
      </c>
      <c r="AH8" s="617" t="n">
        <v>31480.34206052</v>
      </c>
      <c r="AI8" s="617" t="n">
        <v>28536.58100294</v>
      </c>
      <c r="AJ8" s="617" t="n">
        <v>2943.76105757999</v>
      </c>
      <c r="AK8" s="617" t="n">
        <v>132827.31502891</v>
      </c>
      <c r="AL8" s="617" t="n">
        <v>130140.43332136</v>
      </c>
      <c r="AM8" s="14" t="n">
        <v>0</v>
      </c>
      <c r="AN8" s="617" t="n">
        <v>0</v>
      </c>
      <c r="AO8" s="47" t="inlineStr">
        <is>
          <t>-</t>
        </is>
      </c>
      <c r="AP8" s="16" t="inlineStr">
        <is>
          <t>iii</t>
        </is>
      </c>
      <c r="AQ8" s="15" t="inlineStr">
        <is>
          <t>Ultra Short Duration Fund</t>
        </is>
      </c>
      <c r="AR8" s="14" t="n">
        <v>25</v>
      </c>
      <c r="AS8" s="14" t="n">
        <v>724730</v>
      </c>
      <c r="AT8" s="617" t="n">
        <v>35894.96291432</v>
      </c>
      <c r="AU8" s="617" t="n">
        <v>33618.33848503</v>
      </c>
      <c r="AV8" s="617" t="n">
        <v>2276.62442929</v>
      </c>
      <c r="AW8" s="617" t="n">
        <v>135868.21758363</v>
      </c>
      <c r="AX8" s="617" t="n">
        <v>135111.63352102</v>
      </c>
      <c r="AY8" s="14" t="n">
        <v>0</v>
      </c>
      <c r="AZ8" s="617" t="n">
        <v>0</v>
      </c>
      <c r="BA8" s="47" t="inlineStr">
        <is>
          <t>-</t>
        </is>
      </c>
      <c r="BB8" s="16" t="inlineStr">
        <is>
          <t>iii</t>
        </is>
      </c>
      <c r="BC8" s="15" t="inlineStr">
        <is>
          <t>Ultra Short Duration Fund</t>
        </is>
      </c>
      <c r="BD8" s="14" t="n">
        <v>25</v>
      </c>
      <c r="BE8" s="14" t="n">
        <v>732657</v>
      </c>
      <c r="BF8" s="617" t="n">
        <v>22318.35246367</v>
      </c>
      <c r="BG8" s="617" t="n">
        <v>21944.82932613</v>
      </c>
      <c r="BH8" s="617" t="n">
        <v>373.523137540004</v>
      </c>
      <c r="BI8" s="617" t="n">
        <v>136833.53667692</v>
      </c>
      <c r="BJ8" s="617" t="n">
        <v>136704.26724756</v>
      </c>
      <c r="BK8" s="14" t="n">
        <v>0</v>
      </c>
      <c r="BL8" s="617" t="n">
        <v>0</v>
      </c>
      <c r="BM8" s="47" t="inlineStr">
        <is>
          <t>-</t>
        </is>
      </c>
      <c r="BN8" s="19" t="inlineStr">
        <is>
          <t>iii</t>
        </is>
      </c>
      <c r="BO8" s="15" t="inlineStr">
        <is>
          <t>Ultra Short Duration Fund</t>
        </is>
      </c>
      <c r="BP8" s="14" t="n">
        <v>25</v>
      </c>
      <c r="BQ8" s="14" t="n">
        <v>735253</v>
      </c>
      <c r="BR8" s="617" t="n">
        <v>22792.09711356</v>
      </c>
      <c r="BS8" s="617" t="n">
        <v>36397.75862624</v>
      </c>
      <c r="BT8" s="617" t="n">
        <v>-13605.66151268</v>
      </c>
      <c r="BU8" s="617" t="n">
        <v>123935.95614186</v>
      </c>
      <c r="BV8" s="617" t="n">
        <v>133900.20358605</v>
      </c>
      <c r="BW8" s="17" t="n">
        <v>0</v>
      </c>
      <c r="BX8" s="618" t="n">
        <v>0</v>
      </c>
      <c r="BY8" s="47" t="inlineStr">
        <is>
          <t>-</t>
        </is>
      </c>
      <c r="BZ8" s="19" t="inlineStr">
        <is>
          <t>iii</t>
        </is>
      </c>
      <c r="CA8" s="15" t="inlineStr">
        <is>
          <t>Ultra Short Duration Fund</t>
        </is>
      </c>
      <c r="CB8" s="14" t="n">
        <v>25</v>
      </c>
      <c r="CC8" s="14" t="n">
        <v>744239</v>
      </c>
      <c r="CD8" s="617" t="n">
        <v>37282.72590895</v>
      </c>
      <c r="CE8" s="617" t="n">
        <v>22216.0890708</v>
      </c>
      <c r="CF8" s="617" t="n">
        <v>15066.63683815</v>
      </c>
      <c r="CG8" s="617" t="n">
        <v>139715.14575925</v>
      </c>
      <c r="CH8" s="617" t="n">
        <v>134716.34386194</v>
      </c>
      <c r="CI8" s="17" t="n">
        <v>0</v>
      </c>
      <c r="CJ8" s="618" t="n">
        <v>0</v>
      </c>
      <c r="CK8" s="47" t="inlineStr">
        <is>
          <t>-</t>
        </is>
      </c>
      <c r="CL8" s="16" t="inlineStr">
        <is>
          <t>iii</t>
        </is>
      </c>
      <c r="CM8" s="15" t="inlineStr">
        <is>
          <t>Ultra Short Duration Fund</t>
        </is>
      </c>
      <c r="CN8" s="14" t="n">
        <v>25</v>
      </c>
      <c r="CO8" s="14" t="n">
        <v>763342</v>
      </c>
      <c r="CP8" s="617" t="n">
        <v>30363.09717227</v>
      </c>
      <c r="CQ8" s="617" t="n">
        <v>22002.18767219</v>
      </c>
      <c r="CR8" s="617" t="n">
        <v>8360.909500080021</v>
      </c>
      <c r="CS8" s="617" t="n">
        <v>148782.98307932</v>
      </c>
      <c r="CT8" s="617" t="n">
        <v>143671.9780919</v>
      </c>
      <c r="CU8" s="17" t="n">
        <v>0</v>
      </c>
      <c r="CV8" s="617" t="n">
        <v>0</v>
      </c>
      <c r="CW8" s="47" t="inlineStr">
        <is>
          <t>-</t>
        </is>
      </c>
      <c r="CX8" s="16" t="inlineStr">
        <is>
          <t>iii</t>
        </is>
      </c>
      <c r="CY8" s="15" t="inlineStr">
        <is>
          <t>Ultra Short Duration Fund</t>
        </is>
      </c>
      <c r="CZ8" s="14" t="n">
        <v>25</v>
      </c>
      <c r="DA8" s="14" t="n">
        <v>766379</v>
      </c>
      <c r="DB8" s="617" t="n">
        <v>24881.02638754</v>
      </c>
      <c r="DC8" s="617" t="n">
        <v>42529.18159107</v>
      </c>
      <c r="DD8" s="619" t="n">
        <v>-17648.15520353</v>
      </c>
      <c r="DE8" s="617" t="n">
        <v>131827.25616552</v>
      </c>
      <c r="DF8" s="617" t="n">
        <v>146522.95734219</v>
      </c>
      <c r="DG8" s="14" t="n">
        <v>0</v>
      </c>
      <c r="DH8" s="617" t="n">
        <v>0</v>
      </c>
      <c r="DI8" s="2" t="inlineStr">
        <is>
          <t>-</t>
        </is>
      </c>
      <c r="DJ8" s="620" t="inlineStr">
        <is>
          <t>iii</t>
        </is>
      </c>
      <c r="DK8" s="621" t="inlineStr">
        <is>
          <t>Ultra Short Duration Fund</t>
        </is>
      </c>
      <c r="DL8" s="83" t="n">
        <v>25</v>
      </c>
      <c r="DM8" s="83" t="n">
        <v>768654</v>
      </c>
      <c r="DN8" s="622" t="n">
        <v>29442.04454707</v>
      </c>
      <c r="DO8" s="622" t="n">
        <v>29186.67588912</v>
      </c>
      <c r="DP8" s="623" t="n">
        <v>255.368657949963</v>
      </c>
      <c r="DQ8" s="622" t="n">
        <v>132482.34510576</v>
      </c>
      <c r="DR8" s="622" t="n">
        <v>136859.04170287</v>
      </c>
      <c r="DS8" s="83" t="n">
        <v>0</v>
      </c>
      <c r="DT8" s="622" t="n">
        <v>0</v>
      </c>
      <c r="DU8" s="2" t="inlineStr">
        <is>
          <t>-</t>
        </is>
      </c>
      <c r="DV8" s="127" t="n"/>
      <c r="DW8" s="128" t="n"/>
      <c r="DX8" s="2" t="inlineStr">
        <is>
          <t>-</t>
        </is>
      </c>
      <c r="DY8" s="127">
        <f>(DN8-DB8)/DB8</f>
        <v/>
      </c>
      <c r="DZ8" s="128">
        <f>(DP8-DD8)/DD8</f>
        <v/>
      </c>
      <c r="EA8" s="129">
        <f>(DR8-DF8)/DF8</f>
        <v/>
      </c>
    </row>
    <row r="9">
      <c r="A9" s="16" t="inlineStr">
        <is>
          <t>iv</t>
        </is>
      </c>
      <c r="B9" s="15" t="inlineStr">
        <is>
          <t>Low Duration Fund</t>
        </is>
      </c>
      <c r="C9" s="617" t="n">
        <v>112928.32885561</v>
      </c>
      <c r="D9" s="617" t="n">
        <v>113669.5935756</v>
      </c>
      <c r="E9" s="47" t="inlineStr">
        <is>
          <t>-</t>
        </is>
      </c>
      <c r="F9" s="16" t="inlineStr">
        <is>
          <t>iv</t>
        </is>
      </c>
      <c r="G9" s="15" t="inlineStr">
        <is>
          <t>Low Duration Fund</t>
        </is>
      </c>
      <c r="H9" s="14" t="n">
        <v>22</v>
      </c>
      <c r="I9" s="14" t="n">
        <v>838798</v>
      </c>
      <c r="J9" s="617" t="n">
        <v>22423.12953658</v>
      </c>
      <c r="K9" s="617" t="n">
        <v>13052.50480639</v>
      </c>
      <c r="L9" s="617" t="n">
        <v>9370.62473019</v>
      </c>
      <c r="M9" s="617" t="n">
        <v>123442.3368329</v>
      </c>
      <c r="N9" s="617" t="n">
        <v>119553.60757038</v>
      </c>
      <c r="O9" s="14" t="n">
        <v>0</v>
      </c>
      <c r="P9" s="617" t="n">
        <v>0</v>
      </c>
      <c r="Q9" s="47" t="inlineStr">
        <is>
          <t>-</t>
        </is>
      </c>
      <c r="R9" s="16" t="inlineStr">
        <is>
          <t>iv</t>
        </is>
      </c>
      <c r="S9" s="15" t="inlineStr">
        <is>
          <t>Low Duration Fund</t>
        </is>
      </c>
      <c r="T9" s="14" t="n">
        <v>22</v>
      </c>
      <c r="U9" s="14" t="n">
        <v>846370</v>
      </c>
      <c r="V9" s="617" t="n">
        <v>13952.95801881</v>
      </c>
      <c r="W9" s="617" t="n">
        <v>10819.35895483</v>
      </c>
      <c r="X9" s="617" t="n">
        <v>3133.59906398</v>
      </c>
      <c r="Y9" s="617" t="n">
        <v>127552.75661949</v>
      </c>
      <c r="Z9" s="617" t="n">
        <v>126308.63752791</v>
      </c>
      <c r="AA9" s="14" t="n">
        <v>0</v>
      </c>
      <c r="AB9" s="617" t="n">
        <v>0</v>
      </c>
      <c r="AC9" s="47" t="inlineStr">
        <is>
          <t>-</t>
        </is>
      </c>
      <c r="AD9" s="16" t="inlineStr">
        <is>
          <t>iv</t>
        </is>
      </c>
      <c r="AE9" s="15" t="inlineStr">
        <is>
          <t>Low Duration Fund</t>
        </is>
      </c>
      <c r="AF9" s="14" t="n">
        <v>22</v>
      </c>
      <c r="AG9" s="14" t="n">
        <v>849791</v>
      </c>
      <c r="AH9" s="617" t="n">
        <v>21118.17126993</v>
      </c>
      <c r="AI9" s="617" t="n">
        <v>17981.76960928</v>
      </c>
      <c r="AJ9" s="617" t="n">
        <v>3136.40166065</v>
      </c>
      <c r="AK9" s="617" t="n">
        <v>131414.89293928</v>
      </c>
      <c r="AL9" s="617" t="n">
        <v>129766.89411385</v>
      </c>
      <c r="AM9" s="14" t="n">
        <v>0</v>
      </c>
      <c r="AN9" s="617" t="n">
        <v>0</v>
      </c>
      <c r="AO9" s="47" t="inlineStr">
        <is>
          <t>-</t>
        </is>
      </c>
      <c r="AP9" s="16" t="inlineStr">
        <is>
          <t>iv</t>
        </is>
      </c>
      <c r="AQ9" s="15" t="inlineStr">
        <is>
          <t>Low Duration Fund</t>
        </is>
      </c>
      <c r="AR9" s="14" t="n">
        <v>23</v>
      </c>
      <c r="AS9" s="14" t="n">
        <v>854453</v>
      </c>
      <c r="AT9" s="617" t="n">
        <v>27694.83479684</v>
      </c>
      <c r="AU9" s="617" t="n">
        <v>17928.61854428</v>
      </c>
      <c r="AV9" s="617" t="n">
        <v>9766.21625256</v>
      </c>
      <c r="AW9" s="617" t="n">
        <v>141985.61691193</v>
      </c>
      <c r="AX9" s="617" t="n">
        <v>139357.61952253</v>
      </c>
      <c r="AY9" s="14" t="n">
        <v>0</v>
      </c>
      <c r="AZ9" s="617" t="n">
        <v>0</v>
      </c>
      <c r="BA9" s="47" t="inlineStr">
        <is>
          <t>-</t>
        </is>
      </c>
      <c r="BB9" s="16" t="inlineStr">
        <is>
          <t>iv</t>
        </is>
      </c>
      <c r="BC9" s="15" t="inlineStr">
        <is>
          <t>Low Duration Fund</t>
        </is>
      </c>
      <c r="BD9" s="14" t="n">
        <v>23</v>
      </c>
      <c r="BE9" s="14" t="n">
        <v>857058</v>
      </c>
      <c r="BF9" s="617" t="n">
        <v>17277.48068401</v>
      </c>
      <c r="BG9" s="617" t="n">
        <v>16800.68162725</v>
      </c>
      <c r="BH9" s="617" t="n">
        <v>476.799056759999</v>
      </c>
      <c r="BI9" s="617" t="n">
        <v>142933.64913729</v>
      </c>
      <c r="BJ9" s="617" t="n">
        <v>145670.66536993</v>
      </c>
      <c r="BK9" s="14" t="n">
        <v>0</v>
      </c>
      <c r="BL9" s="617" t="n">
        <v>0</v>
      </c>
      <c r="BM9" s="47" t="inlineStr">
        <is>
          <t>-</t>
        </is>
      </c>
      <c r="BN9" s="19" t="inlineStr">
        <is>
          <t>iv</t>
        </is>
      </c>
      <c r="BO9" s="15" t="inlineStr">
        <is>
          <t>Low Duration Fund</t>
        </is>
      </c>
      <c r="BP9" s="14" t="n">
        <v>23</v>
      </c>
      <c r="BQ9" s="14" t="n">
        <v>851734</v>
      </c>
      <c r="BR9" s="617" t="n">
        <v>26196.10948618</v>
      </c>
      <c r="BS9" s="617" t="n">
        <v>27449.33213504</v>
      </c>
      <c r="BT9" s="617" t="n">
        <v>-1253.22264886</v>
      </c>
      <c r="BU9" s="617" t="n">
        <v>142510.48501196</v>
      </c>
      <c r="BV9" s="617" t="n">
        <v>141908.54294299</v>
      </c>
      <c r="BW9" s="17" t="n">
        <v>0</v>
      </c>
      <c r="BX9" s="618" t="n">
        <v>0</v>
      </c>
      <c r="BY9" s="47" t="inlineStr">
        <is>
          <t>-</t>
        </is>
      </c>
      <c r="BZ9" s="19" t="inlineStr">
        <is>
          <t>iv</t>
        </is>
      </c>
      <c r="CA9" s="15" t="inlineStr">
        <is>
          <t>Low Duration Fund</t>
        </is>
      </c>
      <c r="CB9" s="14" t="n">
        <v>23</v>
      </c>
      <c r="CC9" s="14" t="n">
        <v>850992</v>
      </c>
      <c r="CD9" s="617" t="n">
        <v>21152.52799893</v>
      </c>
      <c r="CE9" s="617" t="n">
        <v>13635.9604628</v>
      </c>
      <c r="CF9" s="617" t="n">
        <v>7516.56753612998</v>
      </c>
      <c r="CG9" s="617" t="n">
        <v>150904.84167894</v>
      </c>
      <c r="CH9" s="617" t="n">
        <v>149824.3768388</v>
      </c>
      <c r="CI9" s="17" t="n">
        <v>0</v>
      </c>
      <c r="CJ9" s="618" t="n">
        <v>0</v>
      </c>
      <c r="CK9" s="47" t="inlineStr">
        <is>
          <t>-</t>
        </is>
      </c>
      <c r="CL9" s="16" t="inlineStr">
        <is>
          <t>iv</t>
        </is>
      </c>
      <c r="CM9" s="15" t="inlineStr">
        <is>
          <t>Low Duration Fund</t>
        </is>
      </c>
      <c r="CN9" s="14" t="n">
        <v>23</v>
      </c>
      <c r="CO9" s="14" t="n">
        <v>852413</v>
      </c>
      <c r="CP9" s="617" t="n">
        <v>20416.1719615</v>
      </c>
      <c r="CQ9" s="617" t="n">
        <v>15435.52335326</v>
      </c>
      <c r="CR9" s="617" t="n">
        <v>4980.64860824004</v>
      </c>
      <c r="CS9" s="617" t="n">
        <v>156704.97706995</v>
      </c>
      <c r="CT9" s="617" t="n">
        <v>154517.11091451</v>
      </c>
      <c r="CU9" s="17" t="n">
        <v>0</v>
      </c>
      <c r="CV9" s="617" t="n">
        <v>0</v>
      </c>
      <c r="CW9" s="47" t="inlineStr">
        <is>
          <t>-</t>
        </is>
      </c>
      <c r="CX9" s="16" t="inlineStr">
        <is>
          <t>iv</t>
        </is>
      </c>
      <c r="CY9" s="15" t="inlineStr">
        <is>
          <t>Low Duration Fund</t>
        </is>
      </c>
      <c r="CZ9" s="14" t="n">
        <v>23</v>
      </c>
      <c r="DA9" s="14" t="n">
        <v>851239</v>
      </c>
      <c r="DB9" s="617" t="n">
        <v>16806.60428033</v>
      </c>
      <c r="DC9" s="617" t="n">
        <v>27052.59606022</v>
      </c>
      <c r="DD9" s="619" t="n">
        <v>-10245.99177989</v>
      </c>
      <c r="DE9" s="617" t="n">
        <v>147063.58376529</v>
      </c>
      <c r="DF9" s="617" t="n">
        <v>154652.67178289</v>
      </c>
      <c r="DG9" s="14" t="n">
        <v>0</v>
      </c>
      <c r="DH9" s="617" t="n">
        <v>0</v>
      </c>
      <c r="DI9" s="2" t="inlineStr">
        <is>
          <t>-</t>
        </is>
      </c>
      <c r="DJ9" s="620" t="inlineStr">
        <is>
          <t>iv</t>
        </is>
      </c>
      <c r="DK9" s="621" t="inlineStr">
        <is>
          <t>Low Duration Fund</t>
        </is>
      </c>
      <c r="DL9" s="83" t="n">
        <v>24</v>
      </c>
      <c r="DM9" s="83" t="n">
        <v>847633</v>
      </c>
      <c r="DN9" s="622" t="n">
        <v>22871.92206257</v>
      </c>
      <c r="DO9" s="622" t="n">
        <v>18092.74092581</v>
      </c>
      <c r="DP9" s="623" t="n">
        <v>4779.18113675999</v>
      </c>
      <c r="DQ9" s="622" t="n">
        <v>152176.2256588</v>
      </c>
      <c r="DR9" s="622" t="n">
        <v>149428.32294505</v>
      </c>
      <c r="DS9" s="83" t="n">
        <v>0</v>
      </c>
      <c r="DT9" s="622" t="n">
        <v>0</v>
      </c>
      <c r="DU9" s="2" t="inlineStr">
        <is>
          <t>-</t>
        </is>
      </c>
      <c r="DV9" s="127" t="n"/>
      <c r="DW9" s="128" t="n"/>
      <c r="DX9" s="2" t="inlineStr">
        <is>
          <t>-</t>
        </is>
      </c>
      <c r="DY9" s="127">
        <f>(DN9-DB9)/DB9</f>
        <v/>
      </c>
      <c r="DZ9" s="128">
        <f>(DP9-DD9)/DD9</f>
        <v/>
      </c>
      <c r="EA9" s="129">
        <f>(DR9-DF9)/DF9</f>
        <v/>
      </c>
    </row>
    <row r="10">
      <c r="A10" s="16" t="inlineStr">
        <is>
          <t>v</t>
        </is>
      </c>
      <c r="B10" s="15" t="inlineStr">
        <is>
          <t>Money Market Fund</t>
        </is>
      </c>
      <c r="C10" s="617" t="n">
        <v>232662.84128648</v>
      </c>
      <c r="D10" s="617" t="n">
        <v>243546.03992515</v>
      </c>
      <c r="E10" s="47" t="inlineStr">
        <is>
          <t>-</t>
        </is>
      </c>
      <c r="F10" s="16" t="inlineStr">
        <is>
          <t>v</t>
        </is>
      </c>
      <c r="G10" s="15" t="inlineStr">
        <is>
          <t>Money Market Fund</t>
        </is>
      </c>
      <c r="H10" s="14" t="n">
        <v>24</v>
      </c>
      <c r="I10" s="14" t="n">
        <v>441187</v>
      </c>
      <c r="J10" s="617" t="n">
        <v>81737.29179915</v>
      </c>
      <c r="K10" s="617" t="n">
        <v>50230.25046102</v>
      </c>
      <c r="L10" s="617" t="n">
        <v>31507.04133813</v>
      </c>
      <c r="M10" s="617" t="n">
        <v>266389.92710225</v>
      </c>
      <c r="N10" s="617" t="n">
        <v>262306.58818221</v>
      </c>
      <c r="O10" s="14" t="n">
        <v>1</v>
      </c>
      <c r="P10" s="617" t="n">
        <v>0</v>
      </c>
      <c r="Q10" s="47" t="inlineStr">
        <is>
          <t>-</t>
        </is>
      </c>
      <c r="R10" s="16" t="inlineStr">
        <is>
          <t>v</t>
        </is>
      </c>
      <c r="S10" s="15" t="inlineStr">
        <is>
          <t>Money Market Fund</t>
        </is>
      </c>
      <c r="T10" s="14" t="n">
        <v>24</v>
      </c>
      <c r="U10" s="14" t="n">
        <v>445926</v>
      </c>
      <c r="V10" s="617" t="n">
        <v>63772.2930002</v>
      </c>
      <c r="W10" s="617" t="n">
        <v>52549.2117698</v>
      </c>
      <c r="X10" s="617" t="n">
        <v>11223.0812304</v>
      </c>
      <c r="Y10" s="617" t="n">
        <v>279475.7763458</v>
      </c>
      <c r="Z10" s="617" t="n">
        <v>273313.49433529</v>
      </c>
      <c r="AA10" s="14" t="n">
        <v>1</v>
      </c>
      <c r="AB10" s="617" t="n">
        <v>0</v>
      </c>
      <c r="AC10" s="47" t="inlineStr">
        <is>
          <t>-</t>
        </is>
      </c>
      <c r="AD10" s="16" t="inlineStr">
        <is>
          <t>v</t>
        </is>
      </c>
      <c r="AE10" s="15" t="inlineStr">
        <is>
          <t>Money Market Fund</t>
        </is>
      </c>
      <c r="AF10" s="14" t="n">
        <v>24</v>
      </c>
      <c r="AG10" s="14" t="n">
        <v>450098</v>
      </c>
      <c r="AH10" s="617" t="n">
        <v>93866.45267041</v>
      </c>
      <c r="AI10" s="617" t="n">
        <v>84382.16077816</v>
      </c>
      <c r="AJ10" s="617" t="n">
        <v>9484.291892249979</v>
      </c>
      <c r="AK10" s="617" t="n">
        <v>290723.82345488</v>
      </c>
      <c r="AL10" s="617" t="n">
        <v>278402.59246697</v>
      </c>
      <c r="AM10" s="14" t="n">
        <v>1</v>
      </c>
      <c r="AN10" s="617" t="n">
        <v>0</v>
      </c>
      <c r="AO10" s="47" t="inlineStr">
        <is>
          <t>-</t>
        </is>
      </c>
      <c r="AP10" s="16" t="inlineStr">
        <is>
          <t>v</t>
        </is>
      </c>
      <c r="AQ10" s="15" t="inlineStr">
        <is>
          <t>Money Market Fund</t>
        </is>
      </c>
      <c r="AR10" s="14" t="n">
        <v>25</v>
      </c>
      <c r="AS10" s="14" t="n">
        <v>509995</v>
      </c>
      <c r="AT10" s="617" t="n">
        <v>115459.50943251</v>
      </c>
      <c r="AU10" s="617" t="n">
        <v>70885.90516181001</v>
      </c>
      <c r="AV10" s="617" t="n">
        <v>44573.6042707</v>
      </c>
      <c r="AW10" s="617" t="n">
        <v>337161.18443345</v>
      </c>
      <c r="AX10" s="617" t="n">
        <v>332443.33440768</v>
      </c>
      <c r="AY10" s="14" t="n">
        <v>1</v>
      </c>
      <c r="AZ10" s="617" t="n">
        <v>0</v>
      </c>
      <c r="BA10" s="47" t="inlineStr">
        <is>
          <t>-</t>
        </is>
      </c>
      <c r="BB10" s="16" t="inlineStr">
        <is>
          <t>v</t>
        </is>
      </c>
      <c r="BC10" s="15" t="inlineStr">
        <is>
          <t>Money Market Fund</t>
        </is>
      </c>
      <c r="BD10" s="14" t="n">
        <v>25</v>
      </c>
      <c r="BE10" s="14" t="n">
        <v>516255</v>
      </c>
      <c r="BF10" s="617" t="n">
        <v>63472.65143397</v>
      </c>
      <c r="BG10" s="617" t="n">
        <v>61262.12355264</v>
      </c>
      <c r="BH10" s="617" t="n">
        <v>2210.52788133</v>
      </c>
      <c r="BI10" s="617" t="n">
        <v>340867.68771892</v>
      </c>
      <c r="BJ10" s="617" t="n">
        <v>339739.89454315</v>
      </c>
      <c r="BK10" s="14" t="n">
        <v>1</v>
      </c>
      <c r="BL10" s="617" t="n">
        <v>0</v>
      </c>
      <c r="BM10" s="47" t="inlineStr">
        <is>
          <t>-</t>
        </is>
      </c>
      <c r="BN10" s="19" t="inlineStr">
        <is>
          <t>v</t>
        </is>
      </c>
      <c r="BO10" s="15" t="inlineStr">
        <is>
          <t>Money Market Fund</t>
        </is>
      </c>
      <c r="BP10" s="14" t="n">
        <v>25</v>
      </c>
      <c r="BQ10" s="14" t="n">
        <v>515392</v>
      </c>
      <c r="BR10" s="617" t="n">
        <v>99827.92961596001</v>
      </c>
      <c r="BS10" s="617" t="n">
        <v>117727.82534611</v>
      </c>
      <c r="BT10" s="617" t="n">
        <v>-17899.89573015</v>
      </c>
      <c r="BU10" s="617" t="n">
        <v>324657.10299331</v>
      </c>
      <c r="BV10" s="617" t="n">
        <v>329551.50459549</v>
      </c>
      <c r="BW10" s="17" t="n">
        <v>1</v>
      </c>
      <c r="BX10" s="618" t="n">
        <v>0</v>
      </c>
      <c r="BY10" s="47" t="inlineStr">
        <is>
          <t>-</t>
        </is>
      </c>
      <c r="BZ10" s="19" t="inlineStr">
        <is>
          <t>v</t>
        </is>
      </c>
      <c r="CA10" s="15" t="inlineStr">
        <is>
          <t>Money Market Fund</t>
        </is>
      </c>
      <c r="CB10" s="14" t="n">
        <v>25</v>
      </c>
      <c r="CC10" s="14" t="n">
        <v>518211</v>
      </c>
      <c r="CD10" s="617" t="n">
        <v>84507.06205442001</v>
      </c>
      <c r="CE10" s="617" t="n">
        <v>66590.62488336999</v>
      </c>
      <c r="CF10" s="617" t="n">
        <v>17916.43717105</v>
      </c>
      <c r="CG10" s="617" t="n">
        <v>344278.88567457</v>
      </c>
      <c r="CH10" s="617" t="n">
        <v>335800.69028261</v>
      </c>
      <c r="CI10" s="17" t="n">
        <v>1</v>
      </c>
      <c r="CJ10" s="618" t="n">
        <v>0</v>
      </c>
      <c r="CK10" s="47" t="inlineStr">
        <is>
          <t>-</t>
        </is>
      </c>
      <c r="CL10" s="16" t="inlineStr">
        <is>
          <t>v</t>
        </is>
      </c>
      <c r="CM10" s="15" t="inlineStr">
        <is>
          <t>Money Market Fund</t>
        </is>
      </c>
      <c r="CN10" s="14" t="n">
        <v>26</v>
      </c>
      <c r="CO10" s="14" t="n">
        <v>524263</v>
      </c>
      <c r="CP10" s="617" t="n">
        <v>58229.83120376</v>
      </c>
      <c r="CQ10" s="617" t="n">
        <v>47125.45857461</v>
      </c>
      <c r="CR10" s="617" t="n">
        <v>11104.37262915</v>
      </c>
      <c r="CS10" s="617" t="n">
        <v>357101.16292299</v>
      </c>
      <c r="CT10" s="617" t="n">
        <v>349189.41093871</v>
      </c>
      <c r="CU10" s="17" t="n">
        <v>1</v>
      </c>
      <c r="CV10" s="617" t="n">
        <v>0</v>
      </c>
      <c r="CW10" s="47" t="inlineStr">
        <is>
          <t>-</t>
        </is>
      </c>
      <c r="CX10" s="16" t="inlineStr">
        <is>
          <t>v</t>
        </is>
      </c>
      <c r="CY10" s="15" t="inlineStr">
        <is>
          <t>Money Market Fund</t>
        </is>
      </c>
      <c r="CZ10" s="14" t="n">
        <v>26</v>
      </c>
      <c r="DA10" s="14" t="n">
        <v>524338</v>
      </c>
      <c r="DB10" s="617" t="n">
        <v>82193.00764831989</v>
      </c>
      <c r="DC10" s="617" t="n">
        <v>122657.36441821</v>
      </c>
      <c r="DD10" s="619" t="n">
        <v>-40464.3567698901</v>
      </c>
      <c r="DE10" s="617" t="n">
        <v>318352.49264709</v>
      </c>
      <c r="DF10" s="617" t="n">
        <v>343897.00213803</v>
      </c>
      <c r="DG10" s="14" t="n">
        <v>1</v>
      </c>
      <c r="DH10" s="617" t="n">
        <v>0</v>
      </c>
      <c r="DI10" s="2" t="inlineStr">
        <is>
          <t>-</t>
        </is>
      </c>
      <c r="DJ10" s="620" t="inlineStr">
        <is>
          <t>v</t>
        </is>
      </c>
      <c r="DK10" s="621" t="inlineStr">
        <is>
          <t>Money Market Fund</t>
        </is>
      </c>
      <c r="DL10" s="83" t="n">
        <v>27</v>
      </c>
      <c r="DM10" s="83" t="n">
        <v>523717</v>
      </c>
      <c r="DN10" s="622" t="n">
        <v>69043.59321412</v>
      </c>
      <c r="DO10" s="622" t="n">
        <v>56280.12128744</v>
      </c>
      <c r="DP10" s="623" t="n">
        <v>12763.4719266801</v>
      </c>
      <c r="DQ10" s="622" t="n">
        <v>332151.98422394</v>
      </c>
      <c r="DR10" s="622" t="n">
        <v>328273.70990132</v>
      </c>
      <c r="DS10" s="83" t="n">
        <v>1</v>
      </c>
      <c r="DT10" s="622" t="n">
        <v>0</v>
      </c>
      <c r="DU10" s="2" t="inlineStr">
        <is>
          <t>-</t>
        </is>
      </c>
      <c r="DV10" s="127" t="n"/>
      <c r="DW10" s="128" t="n"/>
      <c r="DX10" s="2" t="inlineStr">
        <is>
          <t>-</t>
        </is>
      </c>
      <c r="DY10" s="127">
        <f>(DN10-DB10)/DB10</f>
        <v/>
      </c>
      <c r="DZ10" s="128">
        <f>(DP10-DD10)/DD10</f>
        <v/>
      </c>
      <c r="EA10" s="129">
        <f>(DR10-DF10)/DF10</f>
        <v/>
      </c>
    </row>
    <row r="11">
      <c r="A11" s="16" t="inlineStr">
        <is>
          <t>vi</t>
        </is>
      </c>
      <c r="B11" s="15" t="inlineStr">
        <is>
          <t>Short Duration Fund</t>
        </is>
      </c>
      <c r="C11" s="617" t="n">
        <v>113320.85564314</v>
      </c>
      <c r="D11" s="617" t="n">
        <v>112254.19366911</v>
      </c>
      <c r="E11" s="47" t="inlineStr">
        <is>
          <t>-</t>
        </is>
      </c>
      <c r="F11" s="16" t="inlineStr">
        <is>
          <t>vi</t>
        </is>
      </c>
      <c r="G11" s="15" t="inlineStr">
        <is>
          <t>Short Duration Fund</t>
        </is>
      </c>
      <c r="H11" s="14" t="n">
        <v>24</v>
      </c>
      <c r="I11" s="14" t="n">
        <v>463334</v>
      </c>
      <c r="J11" s="617" t="n">
        <v>10139.49474144</v>
      </c>
      <c r="K11" s="617" t="n">
        <v>5376.2797415</v>
      </c>
      <c r="L11" s="617" t="n">
        <v>4763.21499994</v>
      </c>
      <c r="M11" s="617" t="n">
        <v>119708.54111172</v>
      </c>
      <c r="N11" s="617" t="n">
        <v>118413.30492126</v>
      </c>
      <c r="O11" s="14" t="n">
        <v>0</v>
      </c>
      <c r="P11" s="617" t="n">
        <v>0</v>
      </c>
      <c r="Q11" s="47" t="inlineStr">
        <is>
          <t>-</t>
        </is>
      </c>
      <c r="R11" s="16" t="inlineStr">
        <is>
          <t>vi</t>
        </is>
      </c>
      <c r="S11" s="15" t="inlineStr">
        <is>
          <t>Short Duration Fund</t>
        </is>
      </c>
      <c r="T11" s="14" t="n">
        <v>24</v>
      </c>
      <c r="U11" s="14" t="n">
        <v>475177</v>
      </c>
      <c r="V11" s="617" t="n">
        <v>7633.76436118</v>
      </c>
      <c r="W11" s="617" t="n">
        <v>5843.97627835</v>
      </c>
      <c r="X11" s="617" t="n">
        <v>1789.78808283</v>
      </c>
      <c r="Y11" s="617" t="n">
        <v>122759.56146968</v>
      </c>
      <c r="Z11" s="617" t="n">
        <v>121092.00313984</v>
      </c>
      <c r="AA11" s="14" t="n">
        <v>0</v>
      </c>
      <c r="AB11" s="617" t="n">
        <v>0</v>
      </c>
      <c r="AC11" s="47" t="inlineStr">
        <is>
          <t>-</t>
        </is>
      </c>
      <c r="AD11" s="16" t="inlineStr">
        <is>
          <t>vi</t>
        </is>
      </c>
      <c r="AE11" s="15" t="inlineStr">
        <is>
          <t>Short Duration Fund</t>
        </is>
      </c>
      <c r="AF11" s="14" t="n">
        <v>24</v>
      </c>
      <c r="AG11" s="14" t="n">
        <v>488358</v>
      </c>
      <c r="AH11" s="617" t="n">
        <v>20113.17620728</v>
      </c>
      <c r="AI11" s="617" t="n">
        <v>9836.427708159999</v>
      </c>
      <c r="AJ11" s="617" t="n">
        <v>10276.74849912</v>
      </c>
      <c r="AK11" s="617" t="n">
        <v>133337.00368256</v>
      </c>
      <c r="AL11" s="617" t="n">
        <v>132173.68078332</v>
      </c>
      <c r="AM11" s="14" t="n">
        <v>0</v>
      </c>
      <c r="AN11" s="617" t="n">
        <v>0</v>
      </c>
      <c r="AO11" s="47" t="inlineStr">
        <is>
          <t>-</t>
        </is>
      </c>
      <c r="AP11" s="16" t="inlineStr">
        <is>
          <t>vi</t>
        </is>
      </c>
      <c r="AQ11" s="15" t="inlineStr">
        <is>
          <t>Short Duration Fund</t>
        </is>
      </c>
      <c r="AR11" s="14" t="n">
        <v>24</v>
      </c>
      <c r="AS11" s="14" t="n">
        <v>506036</v>
      </c>
      <c r="AT11" s="617" t="n">
        <v>6866.89957897</v>
      </c>
      <c r="AU11" s="617" t="n">
        <v>5037.57011297</v>
      </c>
      <c r="AV11" s="617" t="n">
        <v>1829.329466</v>
      </c>
      <c r="AW11" s="617" t="n">
        <v>136020.58462625</v>
      </c>
      <c r="AX11" s="617" t="n">
        <v>136121.87865355</v>
      </c>
      <c r="AY11" s="14" t="n">
        <v>0</v>
      </c>
      <c r="AZ11" s="617" t="n">
        <v>0</v>
      </c>
      <c r="BA11" s="47" t="inlineStr">
        <is>
          <t>-</t>
        </is>
      </c>
      <c r="BB11" s="16" t="inlineStr">
        <is>
          <t>vi</t>
        </is>
      </c>
      <c r="BC11" s="15" t="inlineStr">
        <is>
          <t>Short Duration Fund</t>
        </is>
      </c>
      <c r="BD11" s="14" t="n">
        <v>24</v>
      </c>
      <c r="BE11" s="14" t="n">
        <v>517942</v>
      </c>
      <c r="BF11" s="617" t="n">
        <v>4807.25524375</v>
      </c>
      <c r="BG11" s="617" t="n">
        <v>4241.99489259</v>
      </c>
      <c r="BH11" s="617" t="n">
        <v>565.260351159999</v>
      </c>
      <c r="BI11" s="617" t="n">
        <v>136582.7493315</v>
      </c>
      <c r="BJ11" s="617" t="n">
        <v>136154.00157457</v>
      </c>
      <c r="BK11" s="14" t="n">
        <v>0</v>
      </c>
      <c r="BL11" s="617" t="n">
        <v>0</v>
      </c>
      <c r="BM11" s="47" t="inlineStr">
        <is>
          <t>-</t>
        </is>
      </c>
      <c r="BN11" s="19" t="inlineStr">
        <is>
          <t>vi</t>
        </is>
      </c>
      <c r="BO11" s="15" t="inlineStr">
        <is>
          <t>Short Duration Fund</t>
        </is>
      </c>
      <c r="BP11" s="14" t="n">
        <v>24</v>
      </c>
      <c r="BQ11" s="14" t="n">
        <v>525052</v>
      </c>
      <c r="BR11" s="617" t="n">
        <v>4069.72252902</v>
      </c>
      <c r="BS11" s="617" t="n">
        <v>6242.95666087</v>
      </c>
      <c r="BT11" s="617" t="n">
        <v>-2173.23413185</v>
      </c>
      <c r="BU11" s="617" t="n">
        <v>135290.95383791</v>
      </c>
      <c r="BV11" s="617" t="n">
        <v>136485.12496971</v>
      </c>
      <c r="BW11" s="17" t="n">
        <v>0</v>
      </c>
      <c r="BX11" s="618" t="n">
        <v>0</v>
      </c>
      <c r="BY11" s="47" t="inlineStr">
        <is>
          <t>-</t>
        </is>
      </c>
      <c r="BZ11" s="19" t="inlineStr">
        <is>
          <t>vi</t>
        </is>
      </c>
      <c r="CA11" s="15" t="inlineStr">
        <is>
          <t>Short Duration Fund</t>
        </is>
      </c>
      <c r="CB11" s="14" t="n">
        <v>24</v>
      </c>
      <c r="CC11" s="14" t="n">
        <v>539194</v>
      </c>
      <c r="CD11" s="617" t="n">
        <v>6049.2509701</v>
      </c>
      <c r="CE11" s="617" t="n">
        <v>3279.73606268</v>
      </c>
      <c r="CF11" s="617" t="n">
        <v>2769.51490742</v>
      </c>
      <c r="CG11" s="617" t="n">
        <v>139124.76402025</v>
      </c>
      <c r="CH11" s="617" t="n">
        <v>137918.11517653</v>
      </c>
      <c r="CI11" s="17" t="n">
        <v>0</v>
      </c>
      <c r="CJ11" s="618" t="n">
        <v>0</v>
      </c>
      <c r="CK11" s="47" t="inlineStr">
        <is>
          <t>-</t>
        </is>
      </c>
      <c r="CL11" s="16" t="inlineStr">
        <is>
          <t>vi</t>
        </is>
      </c>
      <c r="CM11" s="15" t="inlineStr">
        <is>
          <t>Short Duration Fund</t>
        </is>
      </c>
      <c r="CN11" s="14" t="n">
        <v>24</v>
      </c>
      <c r="CO11" s="14" t="n">
        <v>553771</v>
      </c>
      <c r="CP11" s="617" t="n">
        <v>4756.07998204</v>
      </c>
      <c r="CQ11" s="617" t="n">
        <v>2650.45577812</v>
      </c>
      <c r="CR11" s="617" t="n">
        <v>2105.62420392</v>
      </c>
      <c r="CS11" s="617" t="n">
        <v>142040.83594222</v>
      </c>
      <c r="CT11" s="617" t="n">
        <v>140524.53614992</v>
      </c>
      <c r="CU11" s="17" t="n">
        <v>0</v>
      </c>
      <c r="CV11" s="617" t="n">
        <v>0</v>
      </c>
      <c r="CW11" s="47" t="inlineStr">
        <is>
          <t>-</t>
        </is>
      </c>
      <c r="CX11" s="16" t="inlineStr">
        <is>
          <t>vi</t>
        </is>
      </c>
      <c r="CY11" s="15" t="inlineStr">
        <is>
          <t>Short Duration Fund</t>
        </is>
      </c>
      <c r="CZ11" s="14" t="n">
        <v>24</v>
      </c>
      <c r="DA11" s="14" t="n">
        <v>561636</v>
      </c>
      <c r="DB11" s="617" t="n">
        <v>3648.42312541001</v>
      </c>
      <c r="DC11" s="617" t="n">
        <v>9338.029412059999</v>
      </c>
      <c r="DD11" s="617" t="n">
        <v>-5689.60628664999</v>
      </c>
      <c r="DE11" s="624" t="n">
        <v>136600.71419993</v>
      </c>
      <c r="DF11" s="617" t="n">
        <v>140221.97763986</v>
      </c>
      <c r="DG11" s="14" t="n">
        <v>0</v>
      </c>
      <c r="DH11" s="617" t="n">
        <v>0</v>
      </c>
      <c r="DI11" s="2" t="inlineStr">
        <is>
          <t>-</t>
        </is>
      </c>
      <c r="DJ11" s="620" t="inlineStr">
        <is>
          <t>vi</t>
        </is>
      </c>
      <c r="DK11" s="621" t="inlineStr">
        <is>
          <t>Short Duration Fund</t>
        </is>
      </c>
      <c r="DL11" s="83" t="n">
        <v>25</v>
      </c>
      <c r="DM11" s="83" t="n">
        <v>563688</v>
      </c>
      <c r="DN11" s="622" t="n">
        <v>5931.16454951999</v>
      </c>
      <c r="DO11" s="622" t="n">
        <v>8819.713180180001</v>
      </c>
      <c r="DP11" s="622" t="n">
        <v>-2888.54863066001</v>
      </c>
      <c r="DQ11" s="625" t="n">
        <v>133810.2083889</v>
      </c>
      <c r="DR11" s="622" t="n">
        <v>136139.32127963</v>
      </c>
      <c r="DS11" s="83" t="n">
        <v>0</v>
      </c>
      <c r="DT11" s="622" t="n">
        <v>0</v>
      </c>
      <c r="DU11" s="2" t="inlineStr">
        <is>
          <t>-</t>
        </is>
      </c>
      <c r="DV11" s="127" t="n"/>
      <c r="DW11" s="128" t="n"/>
      <c r="DX11" s="2" t="inlineStr">
        <is>
          <t>-</t>
        </is>
      </c>
      <c r="DY11" s="127">
        <f>(DN11-DB11)/DB11</f>
        <v/>
      </c>
      <c r="DZ11" s="128">
        <f>(DP11-DD11)/DD11</f>
        <v/>
      </c>
      <c r="EA11" s="129">
        <f>(DR11-DF11)/DF11</f>
        <v/>
      </c>
    </row>
    <row r="12">
      <c r="A12" s="16" t="inlineStr">
        <is>
          <t>vii</t>
        </is>
      </c>
      <c r="B12" s="15" t="inlineStr">
        <is>
          <t>Medium Duration Fund</t>
        </is>
      </c>
      <c r="C12" s="617" t="n">
        <v>24666.49533919</v>
      </c>
      <c r="D12" s="617" t="n">
        <v>24832.79290794</v>
      </c>
      <c r="E12" s="47" t="inlineStr">
        <is>
          <t>-</t>
        </is>
      </c>
      <c r="F12" s="16" t="inlineStr">
        <is>
          <t>vii</t>
        </is>
      </c>
      <c r="G12" s="15" t="inlineStr">
        <is>
          <t>Medium Duration Fund</t>
        </is>
      </c>
      <c r="H12" s="14" t="n">
        <v>13</v>
      </c>
      <c r="I12" s="14" t="n">
        <v>219285</v>
      </c>
      <c r="J12" s="617" t="n">
        <v>665.09613515</v>
      </c>
      <c r="K12" s="617" t="n">
        <v>530.9689117299999</v>
      </c>
      <c r="L12" s="617" t="n">
        <v>134.12722342</v>
      </c>
      <c r="M12" s="617" t="n">
        <v>25163.71872743</v>
      </c>
      <c r="N12" s="617" t="n">
        <v>25082.7163822</v>
      </c>
      <c r="O12" s="14" t="n">
        <v>2</v>
      </c>
      <c r="P12" s="617" t="n">
        <v>0</v>
      </c>
      <c r="Q12" s="47" t="inlineStr">
        <is>
          <t>-</t>
        </is>
      </c>
      <c r="R12" s="16" t="inlineStr">
        <is>
          <t>vii</t>
        </is>
      </c>
      <c r="S12" s="15" t="inlineStr">
        <is>
          <t>Medium Duration Fund</t>
        </is>
      </c>
      <c r="T12" s="14" t="n">
        <v>13</v>
      </c>
      <c r="U12" s="14" t="n">
        <v>223104</v>
      </c>
      <c r="V12" s="617" t="n">
        <v>345.67110336</v>
      </c>
      <c r="W12" s="617" t="n">
        <v>392.7768737</v>
      </c>
      <c r="X12" s="617" t="n">
        <v>-47.10577034</v>
      </c>
      <c r="Y12" s="617" t="n">
        <v>25365.58479613</v>
      </c>
      <c r="Z12" s="617" t="n">
        <v>25294.92654737</v>
      </c>
      <c r="AA12" s="14" t="n">
        <v>2</v>
      </c>
      <c r="AB12" s="617" t="n">
        <v>0</v>
      </c>
      <c r="AC12" s="47" t="inlineStr">
        <is>
          <t>-</t>
        </is>
      </c>
      <c r="AD12" s="16" t="inlineStr">
        <is>
          <t>vii</t>
        </is>
      </c>
      <c r="AE12" s="15" t="inlineStr">
        <is>
          <t>Medium Duration Fund</t>
        </is>
      </c>
      <c r="AF12" s="14" t="n">
        <v>13</v>
      </c>
      <c r="AG12" s="14" t="n">
        <v>226670</v>
      </c>
      <c r="AH12" s="617" t="n">
        <v>378.53568204</v>
      </c>
      <c r="AI12" s="617" t="n">
        <v>439.51407904</v>
      </c>
      <c r="AJ12" s="617" t="n">
        <v>-60.978397</v>
      </c>
      <c r="AK12" s="617" t="n">
        <v>25335.97711312</v>
      </c>
      <c r="AL12" s="617" t="n">
        <v>25330.04911105</v>
      </c>
      <c r="AM12" s="14" t="n">
        <v>2</v>
      </c>
      <c r="AN12" s="617" t="n">
        <v>0</v>
      </c>
      <c r="AO12" s="47" t="inlineStr">
        <is>
          <t>-</t>
        </is>
      </c>
      <c r="AP12" s="16" t="inlineStr">
        <is>
          <t>vii</t>
        </is>
      </c>
      <c r="AQ12" s="15" t="inlineStr">
        <is>
          <t>Medium Duration Fund</t>
        </is>
      </c>
      <c r="AR12" s="14" t="n">
        <v>13</v>
      </c>
      <c r="AS12" s="14" t="n">
        <v>230916</v>
      </c>
      <c r="AT12" s="617" t="n">
        <v>582.91793036</v>
      </c>
      <c r="AU12" s="617" t="n">
        <v>558.94179081</v>
      </c>
      <c r="AV12" s="617" t="n">
        <v>23.97613955</v>
      </c>
      <c r="AW12" s="617" t="n">
        <v>25513.37993014</v>
      </c>
      <c r="AX12" s="617" t="n">
        <v>25549.30425005</v>
      </c>
      <c r="AY12" s="14" t="n">
        <v>2</v>
      </c>
      <c r="AZ12" s="617" t="n">
        <v>0</v>
      </c>
      <c r="BA12" s="47" t="inlineStr">
        <is>
          <t>-</t>
        </is>
      </c>
      <c r="BB12" s="16" t="inlineStr">
        <is>
          <t>vii</t>
        </is>
      </c>
      <c r="BC12" s="15" t="inlineStr">
        <is>
          <t>Medium Duration Fund</t>
        </is>
      </c>
      <c r="BD12" s="14" t="n">
        <v>13</v>
      </c>
      <c r="BE12" s="14" t="n">
        <v>233423</v>
      </c>
      <c r="BF12" s="617" t="n">
        <v>502.3155195</v>
      </c>
      <c r="BG12" s="617" t="n">
        <v>390.34261727</v>
      </c>
      <c r="BH12" s="617" t="n">
        <v>111.97290223</v>
      </c>
      <c r="BI12" s="617" t="n">
        <v>25590.07204737</v>
      </c>
      <c r="BJ12" s="617" t="n">
        <v>25600.14227157</v>
      </c>
      <c r="BK12" s="14" t="n">
        <v>2</v>
      </c>
      <c r="BL12" s="617" t="n">
        <v>0</v>
      </c>
      <c r="BM12" s="47" t="inlineStr">
        <is>
          <t>-</t>
        </is>
      </c>
      <c r="BN12" s="19" t="inlineStr">
        <is>
          <t>vii</t>
        </is>
      </c>
      <c r="BO12" s="15" t="inlineStr">
        <is>
          <t>Medium Duration Fund</t>
        </is>
      </c>
      <c r="BP12" s="14" t="n">
        <v>13</v>
      </c>
      <c r="BQ12" s="14" t="n">
        <v>234720</v>
      </c>
      <c r="BR12" s="617" t="n">
        <v>794.73203132</v>
      </c>
      <c r="BS12" s="617" t="n">
        <v>951.57533255</v>
      </c>
      <c r="BT12" s="617" t="n">
        <v>-156.84330123</v>
      </c>
      <c r="BU12" s="617" t="n">
        <v>25661.93072557</v>
      </c>
      <c r="BV12" s="617" t="n">
        <v>25664.17109362</v>
      </c>
      <c r="BW12" s="17" t="n">
        <v>2</v>
      </c>
      <c r="BX12" s="618" t="n">
        <v>0</v>
      </c>
      <c r="BY12" s="47" t="inlineStr">
        <is>
          <t>-</t>
        </is>
      </c>
      <c r="BZ12" s="19" t="inlineStr">
        <is>
          <t>vii</t>
        </is>
      </c>
      <c r="CA12" s="15" t="inlineStr">
        <is>
          <t>Medium Duration Fund</t>
        </is>
      </c>
      <c r="CB12" s="14" t="n">
        <v>13</v>
      </c>
      <c r="CC12" s="14" t="n">
        <v>236962</v>
      </c>
      <c r="CD12" s="617" t="n">
        <v>684.79692091</v>
      </c>
      <c r="CE12" s="617" t="n">
        <v>295.2787248</v>
      </c>
      <c r="CF12" s="617" t="n">
        <v>389.51819611</v>
      </c>
      <c r="CG12" s="617" t="n">
        <v>26254.4124387</v>
      </c>
      <c r="CH12" s="617" t="n">
        <v>26080.4732134</v>
      </c>
      <c r="CI12" s="17" t="n">
        <v>2</v>
      </c>
      <c r="CJ12" s="618" t="n">
        <v>0</v>
      </c>
      <c r="CK12" s="47" t="inlineStr">
        <is>
          <t>-</t>
        </is>
      </c>
      <c r="CL12" s="16" t="inlineStr">
        <is>
          <t>vii</t>
        </is>
      </c>
      <c r="CM12" s="15" t="inlineStr">
        <is>
          <t>Medium Duration Fund</t>
        </is>
      </c>
      <c r="CN12" s="14" t="n">
        <v>13</v>
      </c>
      <c r="CO12" s="14" t="n">
        <v>239520</v>
      </c>
      <c r="CP12" s="617" t="n">
        <v>385.63070726</v>
      </c>
      <c r="CQ12" s="617" t="n">
        <v>399.25632079</v>
      </c>
      <c r="CR12" s="617" t="n">
        <v>-13.6256135299996</v>
      </c>
      <c r="CS12" s="617" t="n">
        <v>26406.04742476</v>
      </c>
      <c r="CT12" s="617" t="n">
        <v>26318.32423957</v>
      </c>
      <c r="CU12" s="17" t="n">
        <v>2</v>
      </c>
      <c r="CV12" s="617" t="n">
        <v>0</v>
      </c>
      <c r="CW12" s="47" t="inlineStr">
        <is>
          <t>-</t>
        </is>
      </c>
      <c r="CX12" s="16" t="inlineStr">
        <is>
          <t>vii</t>
        </is>
      </c>
      <c r="CY12" s="15" t="inlineStr">
        <is>
          <t>Medium Duration Fund</t>
        </is>
      </c>
      <c r="CZ12" s="14" t="n">
        <v>13</v>
      </c>
      <c r="DA12" s="14" t="n">
        <v>240819</v>
      </c>
      <c r="DB12" s="617" t="n">
        <v>412.92306889</v>
      </c>
      <c r="DC12" s="617" t="n">
        <v>642.23621916</v>
      </c>
      <c r="DD12" s="617" t="n">
        <v>-229.31315027</v>
      </c>
      <c r="DE12" s="617" t="n">
        <v>26252.28666523</v>
      </c>
      <c r="DF12" s="617" t="n">
        <v>26375.7541927</v>
      </c>
      <c r="DG12" s="14" t="n">
        <v>2</v>
      </c>
      <c r="DH12" s="617" t="n">
        <v>0</v>
      </c>
      <c r="DI12" s="2" t="inlineStr">
        <is>
          <t>-</t>
        </is>
      </c>
      <c r="DJ12" s="620" t="inlineStr">
        <is>
          <t>vii</t>
        </is>
      </c>
      <c r="DK12" s="621" t="inlineStr">
        <is>
          <t>Medium Duration Fund</t>
        </is>
      </c>
      <c r="DL12" s="83" t="n">
        <v>13</v>
      </c>
      <c r="DM12" s="83" t="n">
        <v>240538</v>
      </c>
      <c r="DN12" s="622" t="n">
        <v>276.48161323</v>
      </c>
      <c r="DO12" s="622" t="n">
        <v>384.11133749</v>
      </c>
      <c r="DP12" s="622" t="n">
        <v>-107.629724259999</v>
      </c>
      <c r="DQ12" s="622" t="n">
        <v>26229.00769833</v>
      </c>
      <c r="DR12" s="622" t="n">
        <v>26273.4000508</v>
      </c>
      <c r="DS12" s="83" t="n">
        <v>2</v>
      </c>
      <c r="DT12" s="622" t="n">
        <v>0</v>
      </c>
      <c r="DU12" s="2" t="inlineStr">
        <is>
          <t>-</t>
        </is>
      </c>
      <c r="DV12" s="127" t="n"/>
      <c r="DW12" s="128" t="n"/>
      <c r="DX12" s="2" t="inlineStr">
        <is>
          <t>-</t>
        </is>
      </c>
      <c r="DY12" s="127">
        <f>(DN12-DB12)/DB12</f>
        <v/>
      </c>
      <c r="DZ12" s="128">
        <f>(DP12-DD12)/DD12</f>
        <v/>
      </c>
      <c r="EA12" s="129">
        <f>(DR12-DF12)/DF12</f>
        <v/>
      </c>
    </row>
    <row r="13">
      <c r="A13" s="16" t="inlineStr">
        <is>
          <t>viii</t>
        </is>
      </c>
      <c r="B13" s="15" t="inlineStr">
        <is>
          <t>Medium to Long Duration Fund</t>
        </is>
      </c>
      <c r="C13" s="617" t="n">
        <v>11553.68474798</v>
      </c>
      <c r="D13" s="617" t="n">
        <v>11605.29832223</v>
      </c>
      <c r="E13" s="47" t="inlineStr">
        <is>
          <t>-</t>
        </is>
      </c>
      <c r="F13" s="16" t="inlineStr">
        <is>
          <t>viii</t>
        </is>
      </c>
      <c r="G13" s="15" t="inlineStr">
        <is>
          <t>Medium to Long Duration Fund</t>
        </is>
      </c>
      <c r="H13" s="14" t="n">
        <v>13</v>
      </c>
      <c r="I13" s="14" t="n">
        <v>103165</v>
      </c>
      <c r="J13" s="617" t="n">
        <v>310.3820326</v>
      </c>
      <c r="K13" s="617" t="n">
        <v>210.34638044</v>
      </c>
      <c r="L13" s="617" t="n">
        <v>100.03565216</v>
      </c>
      <c r="M13" s="617" t="n">
        <v>11859.04401364</v>
      </c>
      <c r="N13" s="617" t="n">
        <v>11767.79070523</v>
      </c>
      <c r="O13" s="14" t="n">
        <v>0</v>
      </c>
      <c r="P13" s="617" t="n">
        <v>0</v>
      </c>
      <c r="Q13" s="47" t="inlineStr">
        <is>
          <t>-</t>
        </is>
      </c>
      <c r="R13" s="16" t="inlineStr">
        <is>
          <t>viii</t>
        </is>
      </c>
      <c r="S13" s="15" t="inlineStr">
        <is>
          <t>Medium to Long Duration Fund</t>
        </is>
      </c>
      <c r="T13" s="14" t="n">
        <v>13</v>
      </c>
      <c r="U13" s="14" t="n">
        <v>104030</v>
      </c>
      <c r="V13" s="617" t="n">
        <v>155.87825828</v>
      </c>
      <c r="W13" s="617" t="n">
        <v>111.74406523</v>
      </c>
      <c r="X13" s="617" t="n">
        <v>44.13419305</v>
      </c>
      <c r="Y13" s="617" t="n">
        <v>11999.01649909</v>
      </c>
      <c r="Z13" s="617" t="n">
        <v>11934.71040623</v>
      </c>
      <c r="AA13" s="14" t="n">
        <v>0</v>
      </c>
      <c r="AB13" s="617" t="n">
        <v>0</v>
      </c>
      <c r="AC13" s="47" t="inlineStr">
        <is>
          <t>-</t>
        </is>
      </c>
      <c r="AD13" s="16" t="inlineStr">
        <is>
          <t>viii</t>
        </is>
      </c>
      <c r="AE13" s="15" t="inlineStr">
        <is>
          <t>Medium to Long Duration Fund</t>
        </is>
      </c>
      <c r="AF13" s="14" t="n">
        <v>13</v>
      </c>
      <c r="AG13" s="14" t="n">
        <v>104283</v>
      </c>
      <c r="AH13" s="617" t="n">
        <v>162.22431699</v>
      </c>
      <c r="AI13" s="617" t="n">
        <v>227.9931863</v>
      </c>
      <c r="AJ13" s="617" t="n">
        <v>-65.7688693100001</v>
      </c>
      <c r="AK13" s="617" t="n">
        <v>11852.05125145</v>
      </c>
      <c r="AL13" s="617" t="n">
        <v>11934.07255038</v>
      </c>
      <c r="AM13" s="14" t="n">
        <v>0</v>
      </c>
      <c r="AN13" s="617" t="n">
        <v>0</v>
      </c>
      <c r="AO13" s="47" t="inlineStr">
        <is>
          <t>-</t>
        </is>
      </c>
      <c r="AP13" s="16" t="inlineStr">
        <is>
          <t>viii</t>
        </is>
      </c>
      <c r="AQ13" s="15" t="inlineStr">
        <is>
          <t>Medium to Long Duration Fund</t>
        </is>
      </c>
      <c r="AR13" s="14" t="n">
        <v>13</v>
      </c>
      <c r="AS13" s="14" t="n">
        <v>104610</v>
      </c>
      <c r="AT13" s="617" t="n">
        <v>119.44429603</v>
      </c>
      <c r="AU13" s="617" t="n">
        <v>340.89714733</v>
      </c>
      <c r="AV13" s="617" t="n">
        <v>-221.4528513</v>
      </c>
      <c r="AW13" s="617" t="n">
        <v>11687.03010382</v>
      </c>
      <c r="AX13" s="617" t="n">
        <v>11799.95563986</v>
      </c>
      <c r="AY13" s="14" t="n">
        <v>0</v>
      </c>
      <c r="AZ13" s="617" t="n">
        <v>0</v>
      </c>
      <c r="BA13" s="47" t="inlineStr">
        <is>
          <t>-</t>
        </is>
      </c>
      <c r="BB13" s="16" t="inlineStr">
        <is>
          <t>viii</t>
        </is>
      </c>
      <c r="BC13" s="15" t="inlineStr">
        <is>
          <t>Medium to Long Duration Fund</t>
        </is>
      </c>
      <c r="BD13" s="14" t="n">
        <v>13</v>
      </c>
      <c r="BE13" s="14" t="n">
        <v>104533</v>
      </c>
      <c r="BF13" s="617" t="n">
        <v>53.2879014599999</v>
      </c>
      <c r="BG13" s="617" t="n">
        <v>81.17459755</v>
      </c>
      <c r="BH13" s="617" t="n">
        <v>-27.8866960900001</v>
      </c>
      <c r="BI13" s="617" t="n">
        <v>11520.3320989</v>
      </c>
      <c r="BJ13" s="617" t="n">
        <v>11601.78378949</v>
      </c>
      <c r="BK13" s="14" t="n">
        <v>0</v>
      </c>
      <c r="BL13" s="617" t="n">
        <v>0</v>
      </c>
      <c r="BM13" s="47" t="inlineStr">
        <is>
          <t>-</t>
        </is>
      </c>
      <c r="BN13" s="19" t="inlineStr">
        <is>
          <t>viii</t>
        </is>
      </c>
      <c r="BO13" s="15" t="inlineStr">
        <is>
          <t>Medium to Long Duration Fund</t>
        </is>
      </c>
      <c r="BP13" s="14" t="n">
        <v>13</v>
      </c>
      <c r="BQ13" s="14" t="n">
        <v>103999</v>
      </c>
      <c r="BR13" s="617" t="n">
        <v>249.43866316</v>
      </c>
      <c r="BS13" s="617" t="n">
        <v>146.0476088</v>
      </c>
      <c r="BT13" s="617" t="n">
        <v>103.39105436</v>
      </c>
      <c r="BU13" s="617" t="n">
        <v>11734.90085074</v>
      </c>
      <c r="BV13" s="617" t="n">
        <v>11591.96167597</v>
      </c>
      <c r="BW13" s="17" t="n">
        <v>0</v>
      </c>
      <c r="BX13" s="618" t="n">
        <v>0</v>
      </c>
      <c r="BY13" s="47" t="inlineStr">
        <is>
          <t>-</t>
        </is>
      </c>
      <c r="BZ13" s="19" t="inlineStr">
        <is>
          <t>viii</t>
        </is>
      </c>
      <c r="CA13" s="15" t="inlineStr">
        <is>
          <t>Medium to Long Duration Fund</t>
        </is>
      </c>
      <c r="CB13" s="14" t="n">
        <v>13</v>
      </c>
      <c r="CC13" s="14" t="n">
        <v>103489</v>
      </c>
      <c r="CD13" s="617" t="n">
        <v>219.47797973</v>
      </c>
      <c r="CE13" s="617" t="n">
        <v>202.74744324</v>
      </c>
      <c r="CF13" s="617" t="n">
        <v>16.7305364899998</v>
      </c>
      <c r="CG13" s="617" t="n">
        <v>11825.91515568</v>
      </c>
      <c r="CH13" s="617" t="n">
        <v>11845.59817005</v>
      </c>
      <c r="CI13" s="17" t="n">
        <v>0</v>
      </c>
      <c r="CJ13" s="618" t="n">
        <v>0</v>
      </c>
      <c r="CK13" s="47" t="inlineStr">
        <is>
          <t>-</t>
        </is>
      </c>
      <c r="CL13" s="16" t="inlineStr">
        <is>
          <t>viii</t>
        </is>
      </c>
      <c r="CM13" s="15" t="inlineStr">
        <is>
          <t>Medium to Long Duration Fund</t>
        </is>
      </c>
      <c r="CN13" s="14" t="n">
        <v>13</v>
      </c>
      <c r="CO13" s="14" t="n">
        <v>102988</v>
      </c>
      <c r="CP13" s="617" t="n">
        <v>107.98126175</v>
      </c>
      <c r="CQ13" s="617" t="n">
        <v>116.60897934</v>
      </c>
      <c r="CR13" s="617" t="n">
        <v>-8.627717589999749</v>
      </c>
      <c r="CS13" s="617" t="n">
        <v>11855.91101534</v>
      </c>
      <c r="CT13" s="617" t="n">
        <v>11875.31767265</v>
      </c>
      <c r="CU13" s="17" t="n">
        <v>0</v>
      </c>
      <c r="CV13" s="617" t="n">
        <v>0</v>
      </c>
      <c r="CW13" s="47" t="inlineStr">
        <is>
          <t>-</t>
        </is>
      </c>
      <c r="CX13" s="16" t="inlineStr">
        <is>
          <t>viii</t>
        </is>
      </c>
      <c r="CY13" s="15" t="inlineStr">
        <is>
          <t>Medium to Long Duration Fund</t>
        </is>
      </c>
      <c r="CZ13" s="14" t="n">
        <v>13</v>
      </c>
      <c r="DA13" s="14" t="n">
        <v>102111</v>
      </c>
      <c r="DB13" s="617" t="n">
        <v>61.09846057</v>
      </c>
      <c r="DC13" s="617" t="n">
        <v>249.05716311</v>
      </c>
      <c r="DD13" s="617" t="n">
        <v>-187.95870254</v>
      </c>
      <c r="DE13" s="624" t="n">
        <v>11692.1400837</v>
      </c>
      <c r="DF13" s="617" t="n">
        <v>11771.08877059</v>
      </c>
      <c r="DG13" s="14" t="n">
        <v>0</v>
      </c>
      <c r="DH13" s="617" t="n">
        <v>0</v>
      </c>
      <c r="DI13" s="2" t="inlineStr">
        <is>
          <t>-</t>
        </is>
      </c>
      <c r="DJ13" s="620" t="inlineStr">
        <is>
          <t>viii</t>
        </is>
      </c>
      <c r="DK13" s="621" t="inlineStr">
        <is>
          <t>Medium to Long Duration Fund</t>
        </is>
      </c>
      <c r="DL13" s="83" t="n">
        <v>13</v>
      </c>
      <c r="DM13" s="83" t="n">
        <v>101359</v>
      </c>
      <c r="DN13" s="622" t="n">
        <v>41.9562007</v>
      </c>
      <c r="DO13" s="622" t="n">
        <v>216.33057675</v>
      </c>
      <c r="DP13" s="622" t="n">
        <v>-174.37437605</v>
      </c>
      <c r="DQ13" s="625" t="n">
        <v>11512.90157486</v>
      </c>
      <c r="DR13" s="622" t="n">
        <v>11555.98996275</v>
      </c>
      <c r="DS13" s="83" t="n">
        <v>0</v>
      </c>
      <c r="DT13" s="622" t="n">
        <v>0</v>
      </c>
      <c r="DU13" s="2" t="inlineStr">
        <is>
          <t>-</t>
        </is>
      </c>
      <c r="DV13" s="127" t="n"/>
      <c r="DW13" s="128" t="n"/>
      <c r="DX13" s="2" t="inlineStr">
        <is>
          <t>-</t>
        </is>
      </c>
      <c r="DY13" s="127">
        <f>(DN13-DB13)/DB13</f>
        <v/>
      </c>
      <c r="DZ13" s="128">
        <f>(DP13-DD13)/DD13</f>
        <v/>
      </c>
      <c r="EA13" s="129">
        <f>(DR13-DF13)/DF13</f>
        <v/>
      </c>
    </row>
    <row r="14">
      <c r="A14" s="16" t="inlineStr">
        <is>
          <t>ix</t>
        </is>
      </c>
      <c r="B14" s="15" t="inlineStr">
        <is>
          <t>Long Duration Fund</t>
        </is>
      </c>
      <c r="C14" s="617" t="n">
        <v>20344.31995645</v>
      </c>
      <c r="D14" s="617" t="n">
        <v>20342.76439736</v>
      </c>
      <c r="E14" s="47" t="inlineStr">
        <is>
          <t>-</t>
        </is>
      </c>
      <c r="F14" s="16" t="inlineStr">
        <is>
          <t>ix</t>
        </is>
      </c>
      <c r="G14" s="15" t="inlineStr">
        <is>
          <t>Long Duration Fund</t>
        </is>
      </c>
      <c r="H14" s="14" t="n">
        <v>11</v>
      </c>
      <c r="I14" s="14" t="n">
        <v>94353</v>
      </c>
      <c r="J14" s="617" t="n">
        <v>874.43264871</v>
      </c>
      <c r="K14" s="617" t="n">
        <v>792.44603734</v>
      </c>
      <c r="L14" s="617" t="n">
        <v>81.98661137000001</v>
      </c>
      <c r="M14" s="617" t="n">
        <v>20873.89212486</v>
      </c>
      <c r="N14" s="617" t="n">
        <v>20835.25174</v>
      </c>
      <c r="O14" s="14" t="n">
        <v>0</v>
      </c>
      <c r="P14" s="617" t="n">
        <v>0</v>
      </c>
      <c r="Q14" s="47" t="inlineStr">
        <is>
          <t>-</t>
        </is>
      </c>
      <c r="R14" s="16" t="inlineStr">
        <is>
          <t>ix</t>
        </is>
      </c>
      <c r="S14" s="15" t="inlineStr">
        <is>
          <t>Long Duration Fund</t>
        </is>
      </c>
      <c r="T14" s="14" t="n">
        <v>11</v>
      </c>
      <c r="U14" s="14" t="n">
        <v>97786</v>
      </c>
      <c r="V14" s="617" t="n">
        <v>875.20306723</v>
      </c>
      <c r="W14" s="617" t="n">
        <v>409.0686067</v>
      </c>
      <c r="X14" s="617" t="n">
        <v>466.13446053</v>
      </c>
      <c r="Y14" s="617" t="n">
        <v>21415.24944877</v>
      </c>
      <c r="Z14" s="617" t="n">
        <v>21119.18520438</v>
      </c>
      <c r="AA14" s="14" t="n">
        <v>0</v>
      </c>
      <c r="AB14" s="617" t="n">
        <v>0</v>
      </c>
      <c r="AC14" s="47" t="inlineStr">
        <is>
          <t>-</t>
        </is>
      </c>
      <c r="AD14" s="16" t="inlineStr">
        <is>
          <t>ix</t>
        </is>
      </c>
      <c r="AE14" s="15" t="inlineStr">
        <is>
          <t>Long Duration Fund</t>
        </is>
      </c>
      <c r="AF14" s="14" t="n">
        <v>11</v>
      </c>
      <c r="AG14" s="14" t="n">
        <v>96767</v>
      </c>
      <c r="AH14" s="617" t="n">
        <v>594.44027105</v>
      </c>
      <c r="AI14" s="617" t="n">
        <v>1040.32267857</v>
      </c>
      <c r="AJ14" s="617" t="n">
        <v>-445.88240752</v>
      </c>
      <c r="AK14" s="617" t="n">
        <v>20538.5978213</v>
      </c>
      <c r="AL14" s="617" t="n">
        <v>20907.17071553</v>
      </c>
      <c r="AM14" s="14" t="n">
        <v>0</v>
      </c>
      <c r="AN14" s="617" t="n">
        <v>0</v>
      </c>
      <c r="AO14" s="47" t="inlineStr">
        <is>
          <t>-</t>
        </is>
      </c>
      <c r="AP14" s="16" t="inlineStr">
        <is>
          <t>ix</t>
        </is>
      </c>
      <c r="AQ14" s="15" t="inlineStr">
        <is>
          <t>Long Duration Fund</t>
        </is>
      </c>
      <c r="AR14" s="14" t="n">
        <v>11</v>
      </c>
      <c r="AS14" s="14" t="n">
        <v>96032</v>
      </c>
      <c r="AT14" s="617" t="n">
        <v>291.87644555</v>
      </c>
      <c r="AU14" s="617" t="n">
        <v>708.35910209</v>
      </c>
      <c r="AV14" s="617" t="n">
        <v>-416.48265654</v>
      </c>
      <c r="AW14" s="617" t="n">
        <v>20260.14815533</v>
      </c>
      <c r="AX14" s="617" t="n">
        <v>20350.74185182</v>
      </c>
      <c r="AY14" s="14" t="n">
        <v>0</v>
      </c>
      <c r="AZ14" s="617" t="n">
        <v>0</v>
      </c>
      <c r="BA14" s="47" t="inlineStr">
        <is>
          <t>-</t>
        </is>
      </c>
      <c r="BB14" s="16" t="inlineStr">
        <is>
          <t>ix</t>
        </is>
      </c>
      <c r="BC14" s="15" t="inlineStr">
        <is>
          <t>Long Duration Fund</t>
        </is>
      </c>
      <c r="BD14" s="14" t="n">
        <v>11</v>
      </c>
      <c r="BE14" s="14" t="n">
        <v>94316</v>
      </c>
      <c r="BF14" s="617" t="n">
        <v>697.8757114</v>
      </c>
      <c r="BG14" s="617" t="n">
        <v>760.06026198</v>
      </c>
      <c r="BH14" s="617" t="n">
        <v>-62.1845505799997</v>
      </c>
      <c r="BI14" s="617" t="n">
        <v>19719.61377788</v>
      </c>
      <c r="BJ14" s="617" t="n">
        <v>19860.45007966</v>
      </c>
      <c r="BK14" s="14" t="n">
        <v>0</v>
      </c>
      <c r="BL14" s="617" t="n">
        <v>0</v>
      </c>
      <c r="BM14" s="47" t="inlineStr">
        <is>
          <t>-</t>
        </is>
      </c>
      <c r="BN14" s="19" t="inlineStr">
        <is>
          <t>ix</t>
        </is>
      </c>
      <c r="BO14" s="15" t="inlineStr">
        <is>
          <t>Long Duration Fund</t>
        </is>
      </c>
      <c r="BP14" s="14" t="n">
        <v>11</v>
      </c>
      <c r="BQ14" s="14" t="n">
        <v>91968</v>
      </c>
      <c r="BR14" s="617" t="n">
        <v>767.119690500001</v>
      </c>
      <c r="BS14" s="617" t="n">
        <v>705.8262787899999</v>
      </c>
      <c r="BT14" s="617" t="n">
        <v>61.2934117100003</v>
      </c>
      <c r="BU14" s="617" t="n">
        <v>20069.37036197</v>
      </c>
      <c r="BV14" s="617" t="n">
        <v>20076.98018637</v>
      </c>
      <c r="BW14" s="17" t="n">
        <v>0</v>
      </c>
      <c r="BX14" s="618" t="n">
        <v>0</v>
      </c>
      <c r="BY14" s="47" t="inlineStr">
        <is>
          <t>-</t>
        </is>
      </c>
      <c r="BZ14" s="19" t="inlineStr">
        <is>
          <t>ix</t>
        </is>
      </c>
      <c r="CA14" s="15" t="inlineStr">
        <is>
          <t>Long Duration Fund</t>
        </is>
      </c>
      <c r="CB14" s="14" t="n">
        <v>11</v>
      </c>
      <c r="CC14" s="14" t="n">
        <v>89830</v>
      </c>
      <c r="CD14" s="617" t="n">
        <v>99.8458432699999</v>
      </c>
      <c r="CE14" s="617" t="n">
        <v>1042.55717648</v>
      </c>
      <c r="CF14" s="617" t="n">
        <v>-942.71133321</v>
      </c>
      <c r="CG14" s="617" t="n">
        <v>19194.20298243</v>
      </c>
      <c r="CH14" s="617" t="n">
        <v>19723.73881446</v>
      </c>
      <c r="CI14" s="17" t="n">
        <v>0</v>
      </c>
      <c r="CJ14" s="618" t="n">
        <v>0</v>
      </c>
      <c r="CK14" s="47" t="inlineStr">
        <is>
          <t>-</t>
        </is>
      </c>
      <c r="CL14" s="16" t="inlineStr">
        <is>
          <t>ix</t>
        </is>
      </c>
      <c r="CM14" s="15" t="inlineStr">
        <is>
          <t>Long Duration Fund</t>
        </is>
      </c>
      <c r="CN14" s="14" t="n">
        <v>11</v>
      </c>
      <c r="CO14" s="14" t="n">
        <v>87932</v>
      </c>
      <c r="CP14" s="617" t="n">
        <v>232.059315609999</v>
      </c>
      <c r="CQ14" s="617" t="n">
        <v>598.50694574</v>
      </c>
      <c r="CR14" s="617" t="n">
        <v>-366.447630130001</v>
      </c>
      <c r="CS14" s="617" t="n">
        <v>18856.54526252</v>
      </c>
      <c r="CT14" s="617" t="n">
        <v>19028.9312843</v>
      </c>
      <c r="CU14" s="17" t="n">
        <v>0</v>
      </c>
      <c r="CV14" s="617" t="n">
        <v>0</v>
      </c>
      <c r="CW14" s="47" t="inlineStr">
        <is>
          <t>-</t>
        </is>
      </c>
      <c r="CX14" s="16" t="inlineStr">
        <is>
          <t>ix</t>
        </is>
      </c>
      <c r="CY14" s="15" t="inlineStr">
        <is>
          <t>Long Duration Fund</t>
        </is>
      </c>
      <c r="CZ14" s="14" t="n">
        <v>11</v>
      </c>
      <c r="DA14" s="14" t="n">
        <v>85438</v>
      </c>
      <c r="DB14" s="617" t="n">
        <v>70.76227918000041</v>
      </c>
      <c r="DC14" s="617" t="n">
        <v>1373.92930424</v>
      </c>
      <c r="DD14" s="617" t="n">
        <v>-1303.16702506</v>
      </c>
      <c r="DE14" s="624" t="n">
        <v>17608.27058688</v>
      </c>
      <c r="DF14" s="617" t="n">
        <v>17965.20976391</v>
      </c>
      <c r="DG14" s="14" t="n">
        <v>0</v>
      </c>
      <c r="DH14" s="617" t="n">
        <v>0</v>
      </c>
      <c r="DI14" s="2" t="inlineStr">
        <is>
          <t>-</t>
        </is>
      </c>
      <c r="DJ14" s="620" t="inlineStr">
        <is>
          <t>ix</t>
        </is>
      </c>
      <c r="DK14" s="621" t="inlineStr">
        <is>
          <t>Long Duration Fund</t>
        </is>
      </c>
      <c r="DL14" s="83" t="n">
        <v>11</v>
      </c>
      <c r="DM14" s="83" t="n">
        <v>82999</v>
      </c>
      <c r="DN14" s="622" t="n">
        <v>28.9110151300001</v>
      </c>
      <c r="DO14" s="622" t="n">
        <v>1365.240512</v>
      </c>
      <c r="DP14" s="622" t="n">
        <v>-1336.32949687</v>
      </c>
      <c r="DQ14" s="625" t="n">
        <v>16221.17152598</v>
      </c>
      <c r="DR14" s="622" t="n">
        <v>16754.33746791</v>
      </c>
      <c r="DS14" s="83" t="n">
        <v>0</v>
      </c>
      <c r="DT14" s="622" t="n">
        <v>0</v>
      </c>
      <c r="DU14" s="2" t="inlineStr">
        <is>
          <t>-</t>
        </is>
      </c>
      <c r="DV14" s="127" t="n"/>
      <c r="DW14" s="128" t="n"/>
      <c r="DX14" s="2" t="inlineStr">
        <is>
          <t>-</t>
        </is>
      </c>
      <c r="DY14" s="127">
        <f>(DN14-DB14)/DB14</f>
        <v/>
      </c>
      <c r="DZ14" s="128">
        <f>(DP14-DD14)/DD14</f>
        <v/>
      </c>
      <c r="EA14" s="129">
        <f>(DR14-DF14)/DF14</f>
        <v/>
      </c>
    </row>
    <row r="15">
      <c r="A15" s="16" t="inlineStr">
        <is>
          <t>x</t>
        </is>
      </c>
      <c r="B15" s="15" t="inlineStr">
        <is>
          <t>Dynamic Bond Fund</t>
        </is>
      </c>
      <c r="C15" s="617" t="n">
        <v>35591.65309906</v>
      </c>
      <c r="D15" s="617" t="n">
        <v>35527.22445417</v>
      </c>
      <c r="E15" s="47" t="inlineStr">
        <is>
          <t>-</t>
        </is>
      </c>
      <c r="F15" s="16" t="inlineStr">
        <is>
          <t>x</t>
        </is>
      </c>
      <c r="G15" s="15" t="inlineStr">
        <is>
          <t>Dynamic Bond Fund</t>
        </is>
      </c>
      <c r="H15" s="14" t="n">
        <v>22</v>
      </c>
      <c r="I15" s="14" t="n">
        <v>230028</v>
      </c>
      <c r="J15" s="617" t="n">
        <v>943.76910244</v>
      </c>
      <c r="K15" s="617" t="n">
        <v>953.99735949</v>
      </c>
      <c r="L15" s="617" t="n">
        <v>-10.22825705</v>
      </c>
      <c r="M15" s="617" t="n">
        <v>36231.28848032</v>
      </c>
      <c r="N15" s="617" t="n">
        <v>35961.97448186</v>
      </c>
      <c r="O15" s="14" t="n">
        <v>0</v>
      </c>
      <c r="P15" s="617" t="n">
        <v>0</v>
      </c>
      <c r="Q15" s="47" t="inlineStr">
        <is>
          <t>-</t>
        </is>
      </c>
      <c r="R15" s="16" t="inlineStr">
        <is>
          <t>x</t>
        </is>
      </c>
      <c r="S15" s="15" t="inlineStr">
        <is>
          <t>Dynamic Bond Fund</t>
        </is>
      </c>
      <c r="T15" s="14" t="n">
        <v>22</v>
      </c>
      <c r="U15" s="14" t="n">
        <v>234872</v>
      </c>
      <c r="V15" s="617" t="n">
        <v>1256.23980786</v>
      </c>
      <c r="W15" s="617" t="n">
        <v>689.5046966800001</v>
      </c>
      <c r="X15" s="617" t="n">
        <v>566.73511118</v>
      </c>
      <c r="Y15" s="617" t="n">
        <v>37087.94598151</v>
      </c>
      <c r="Z15" s="617" t="n">
        <v>36676.61097202</v>
      </c>
      <c r="AA15" s="14" t="n">
        <v>0</v>
      </c>
      <c r="AB15" s="617" t="n">
        <v>0</v>
      </c>
      <c r="AC15" s="47" t="inlineStr">
        <is>
          <t>-</t>
        </is>
      </c>
      <c r="AD15" s="16" t="inlineStr">
        <is>
          <t>x</t>
        </is>
      </c>
      <c r="AE15" s="15" t="inlineStr">
        <is>
          <t>Dynamic Bond Fund</t>
        </is>
      </c>
      <c r="AF15" s="14" t="n">
        <v>22</v>
      </c>
      <c r="AG15" s="14" t="n">
        <v>236833</v>
      </c>
      <c r="AH15" s="617" t="n">
        <v>741.05260604</v>
      </c>
      <c r="AI15" s="617" t="n">
        <v>697.02166413</v>
      </c>
      <c r="AJ15" s="617" t="n">
        <v>44.0309419099997</v>
      </c>
      <c r="AK15" s="617" t="n">
        <v>36912.2963087</v>
      </c>
      <c r="AL15" s="617" t="n">
        <v>37020.31427987</v>
      </c>
      <c r="AM15" s="14" t="n">
        <v>0</v>
      </c>
      <c r="AN15" s="617" t="n">
        <v>0</v>
      </c>
      <c r="AO15" s="47" t="inlineStr">
        <is>
          <t>-</t>
        </is>
      </c>
      <c r="AP15" s="16" t="inlineStr">
        <is>
          <t>x</t>
        </is>
      </c>
      <c r="AQ15" s="15" t="inlineStr">
        <is>
          <t>Dynamic Bond Fund</t>
        </is>
      </c>
      <c r="AR15" s="14" t="n">
        <v>22</v>
      </c>
      <c r="AS15" s="14" t="n">
        <v>239570</v>
      </c>
      <c r="AT15" s="617" t="n">
        <v>729.20336167</v>
      </c>
      <c r="AU15" s="617" t="n">
        <v>666.6572714</v>
      </c>
      <c r="AV15" s="617" t="n">
        <v>62.5460902700002</v>
      </c>
      <c r="AW15" s="617" t="n">
        <v>37174.04119474</v>
      </c>
      <c r="AX15" s="617" t="n">
        <v>37095.50251039</v>
      </c>
      <c r="AY15" s="14" t="n">
        <v>0</v>
      </c>
      <c r="AZ15" s="617" t="n">
        <v>0</v>
      </c>
      <c r="BA15" s="47" t="inlineStr">
        <is>
          <t>-</t>
        </is>
      </c>
      <c r="BB15" s="16" t="inlineStr">
        <is>
          <t>x</t>
        </is>
      </c>
      <c r="BC15" s="15" t="inlineStr">
        <is>
          <t>Dynamic Bond Fund</t>
        </is>
      </c>
      <c r="BD15" s="14" t="n">
        <v>22</v>
      </c>
      <c r="BE15" s="14" t="n">
        <v>240006</v>
      </c>
      <c r="BF15" s="617" t="n">
        <v>547.09510411</v>
      </c>
      <c r="BG15" s="617" t="n">
        <v>941.7501221700001</v>
      </c>
      <c r="BH15" s="617" t="n">
        <v>-394.65501806</v>
      </c>
      <c r="BI15" s="617" t="n">
        <v>36424.15500006</v>
      </c>
      <c r="BJ15" s="617" t="n">
        <v>36872.25271226</v>
      </c>
      <c r="BK15" s="14" t="n">
        <v>0</v>
      </c>
      <c r="BL15" s="617" t="n">
        <v>0</v>
      </c>
      <c r="BM15" s="47" t="inlineStr">
        <is>
          <t>-</t>
        </is>
      </c>
      <c r="BN15" s="19" t="inlineStr">
        <is>
          <t>x</t>
        </is>
      </c>
      <c r="BO15" s="15" t="inlineStr">
        <is>
          <t>Dynamic Bond Fund</t>
        </is>
      </c>
      <c r="BP15" s="14" t="n">
        <v>22</v>
      </c>
      <c r="BQ15" s="14" t="n">
        <v>239543</v>
      </c>
      <c r="BR15" s="617" t="n">
        <v>1364.27190786</v>
      </c>
      <c r="BS15" s="617" t="n">
        <v>844.85944598</v>
      </c>
      <c r="BT15" s="617" t="n">
        <v>519.41246188</v>
      </c>
      <c r="BU15" s="617" t="n">
        <v>37322.66733367</v>
      </c>
      <c r="BV15" s="617" t="n">
        <v>36649.0872591</v>
      </c>
      <c r="BW15" s="17" t="n">
        <v>0</v>
      </c>
      <c r="BX15" s="618" t="n">
        <v>0</v>
      </c>
      <c r="BY15" s="47" t="inlineStr">
        <is>
          <t>-</t>
        </is>
      </c>
      <c r="BZ15" s="19" t="inlineStr">
        <is>
          <t>x</t>
        </is>
      </c>
      <c r="CA15" s="15" t="inlineStr">
        <is>
          <t>Dynamic Bond Fund</t>
        </is>
      </c>
      <c r="CB15" s="14" t="n">
        <v>22</v>
      </c>
      <c r="CC15" s="14" t="n">
        <v>237849</v>
      </c>
      <c r="CD15" s="617" t="n">
        <v>686.53433994</v>
      </c>
      <c r="CE15" s="617" t="n">
        <v>919.22148077</v>
      </c>
      <c r="CF15" s="617" t="n">
        <v>-232.68714083</v>
      </c>
      <c r="CG15" s="617" t="n">
        <v>37333.95936108</v>
      </c>
      <c r="CH15" s="617" t="n">
        <v>37527.7464101</v>
      </c>
      <c r="CI15" s="17" t="n">
        <v>0</v>
      </c>
      <c r="CJ15" s="618" t="n">
        <v>0</v>
      </c>
      <c r="CK15" s="47" t="inlineStr">
        <is>
          <t>-</t>
        </is>
      </c>
      <c r="CL15" s="16" t="inlineStr">
        <is>
          <t>x</t>
        </is>
      </c>
      <c r="CM15" s="15" t="inlineStr">
        <is>
          <t>Dynamic Bond Fund</t>
        </is>
      </c>
      <c r="CN15" s="14" t="n">
        <v>22</v>
      </c>
      <c r="CO15" s="14" t="n">
        <v>235965</v>
      </c>
      <c r="CP15" s="617" t="n">
        <v>328.9269678</v>
      </c>
      <c r="CQ15" s="617" t="n">
        <v>935.48769576</v>
      </c>
      <c r="CR15" s="617" t="n">
        <v>-606.56072796</v>
      </c>
      <c r="CS15" s="617" t="n">
        <v>36857.41631324</v>
      </c>
      <c r="CT15" s="617" t="n">
        <v>37067.95935616</v>
      </c>
      <c r="CU15" s="17" t="n">
        <v>0</v>
      </c>
      <c r="CV15" s="617" t="n">
        <v>0</v>
      </c>
      <c r="CW15" s="47" t="inlineStr">
        <is>
          <t>-</t>
        </is>
      </c>
      <c r="CX15" s="16" t="inlineStr">
        <is>
          <t>x</t>
        </is>
      </c>
      <c r="CY15" s="15" t="inlineStr">
        <is>
          <t>Dynamic Bond Fund</t>
        </is>
      </c>
      <c r="CZ15" s="14" t="n">
        <v>22</v>
      </c>
      <c r="DA15" s="14" t="n">
        <v>232827</v>
      </c>
      <c r="DB15" s="617" t="n">
        <v>440.37437006</v>
      </c>
      <c r="DC15" s="617" t="n">
        <v>1283.45087166</v>
      </c>
      <c r="DD15" s="617" t="n">
        <v>-843.0765016</v>
      </c>
      <c r="DE15" s="624" t="n">
        <v>36108.33526384</v>
      </c>
      <c r="DF15" s="617" t="n">
        <v>36540.31186927</v>
      </c>
      <c r="DG15" s="14" t="n">
        <v>0</v>
      </c>
      <c r="DH15" s="617" t="n">
        <v>0</v>
      </c>
      <c r="DI15" s="2" t="inlineStr">
        <is>
          <t>-</t>
        </is>
      </c>
      <c r="DJ15" s="620" t="inlineStr">
        <is>
          <t>x</t>
        </is>
      </c>
      <c r="DK15" s="621" t="inlineStr">
        <is>
          <t>Dynamic Bond Fund</t>
        </is>
      </c>
      <c r="DL15" s="83" t="n">
        <v>22</v>
      </c>
      <c r="DM15" s="83" t="n">
        <v>229369</v>
      </c>
      <c r="DN15" s="622" t="n">
        <v>202.80745061</v>
      </c>
      <c r="DO15" s="622" t="n">
        <v>1637.76074839</v>
      </c>
      <c r="DP15" s="622" t="n">
        <v>-1434.95329778</v>
      </c>
      <c r="DQ15" s="625" t="n">
        <v>34718.25826871</v>
      </c>
      <c r="DR15" s="622" t="n">
        <v>35462.8739543</v>
      </c>
      <c r="DS15" s="83" t="n">
        <v>0</v>
      </c>
      <c r="DT15" s="622" t="n">
        <v>0</v>
      </c>
      <c r="DU15" s="2" t="inlineStr">
        <is>
          <t>-</t>
        </is>
      </c>
      <c r="DV15" s="127" t="n"/>
      <c r="DW15" s="128" t="n"/>
      <c r="DX15" s="2" t="inlineStr">
        <is>
          <t>-</t>
        </is>
      </c>
      <c r="DY15" s="127">
        <f>(DN15-DB15)/DB15</f>
        <v/>
      </c>
      <c r="DZ15" s="128">
        <f>(DP15-DD15)/DD15</f>
        <v/>
      </c>
      <c r="EA15" s="129">
        <f>(DR15-DF15)/DF15</f>
        <v/>
      </c>
    </row>
    <row r="16">
      <c r="A16" s="16" t="inlineStr">
        <is>
          <t>xi</t>
        </is>
      </c>
      <c r="B16" s="15" t="inlineStr">
        <is>
          <t>Corporate Bond Fund</t>
        </is>
      </c>
      <c r="C16" s="617" t="n">
        <v>175800.18152363</v>
      </c>
      <c r="D16" s="617" t="n">
        <v>172372.73506713</v>
      </c>
      <c r="E16" s="47" t="inlineStr">
        <is>
          <t>-</t>
        </is>
      </c>
      <c r="F16" s="16" t="inlineStr">
        <is>
          <t>xi</t>
        </is>
      </c>
      <c r="G16" s="15" t="inlineStr">
        <is>
          <t>Corporate Bond Fund</t>
        </is>
      </c>
      <c r="H16" s="14" t="n">
        <v>21</v>
      </c>
      <c r="I16" s="14" t="n">
        <v>534052</v>
      </c>
      <c r="J16" s="617" t="n">
        <v>12529.9635385</v>
      </c>
      <c r="K16" s="617" t="n">
        <v>9071.546719190001</v>
      </c>
      <c r="L16" s="617" t="n">
        <v>3458.41681931</v>
      </c>
      <c r="M16" s="617" t="n">
        <v>181953.76370177</v>
      </c>
      <c r="N16" s="617" t="n">
        <v>181608.56058097</v>
      </c>
      <c r="O16" s="14" t="n">
        <v>0</v>
      </c>
      <c r="P16" s="617" t="n">
        <v>0</v>
      </c>
      <c r="Q16" s="47" t="inlineStr">
        <is>
          <t>-</t>
        </is>
      </c>
      <c r="R16" s="16" t="inlineStr">
        <is>
          <t>xi</t>
        </is>
      </c>
      <c r="S16" s="15" t="inlineStr">
        <is>
          <t>Corporate Bond Fund</t>
        </is>
      </c>
      <c r="T16" s="14" t="n">
        <v>21</v>
      </c>
      <c r="U16" s="14" t="n">
        <v>541227</v>
      </c>
      <c r="V16" s="617" t="n">
        <v>15313.76702472</v>
      </c>
      <c r="W16" s="617" t="n">
        <v>3330.41260458</v>
      </c>
      <c r="X16" s="617" t="n">
        <v>11983.35442014</v>
      </c>
      <c r="Y16" s="617" t="n">
        <v>195987.38581591</v>
      </c>
      <c r="Z16" s="617" t="n">
        <v>188971.46605395</v>
      </c>
      <c r="AA16" s="14" t="n">
        <v>0</v>
      </c>
      <c r="AB16" s="617" t="n">
        <v>0</v>
      </c>
      <c r="AC16" s="47" t="inlineStr">
        <is>
          <t>-</t>
        </is>
      </c>
      <c r="AD16" s="16" t="inlineStr">
        <is>
          <t>xi</t>
        </is>
      </c>
      <c r="AE16" s="15" t="inlineStr">
        <is>
          <t>Corporate Bond Fund</t>
        </is>
      </c>
      <c r="AF16" s="14" t="n">
        <v>21</v>
      </c>
      <c r="AG16" s="14" t="n">
        <v>546232</v>
      </c>
      <c r="AH16" s="617" t="n">
        <v>13196.20892516</v>
      </c>
      <c r="AI16" s="617" t="n">
        <v>6071.72728707</v>
      </c>
      <c r="AJ16" s="617" t="n">
        <v>7124.48163809</v>
      </c>
      <c r="AK16" s="617" t="n">
        <v>203199.04055811</v>
      </c>
      <c r="AL16" s="617" t="n">
        <v>201197.78849591</v>
      </c>
      <c r="AM16" s="14" t="n">
        <v>0</v>
      </c>
      <c r="AN16" s="617" t="n">
        <v>0</v>
      </c>
      <c r="AO16" s="47" t="inlineStr">
        <is>
          <t>-</t>
        </is>
      </c>
      <c r="AP16" s="16" t="inlineStr">
        <is>
          <t>xi</t>
        </is>
      </c>
      <c r="AQ16" s="15" t="inlineStr">
        <is>
          <t>Corporate Bond Fund</t>
        </is>
      </c>
      <c r="AR16" s="14" t="n">
        <v>21</v>
      </c>
      <c r="AS16" s="14" t="n">
        <v>560211</v>
      </c>
      <c r="AT16" s="617" t="n">
        <v>8478.36968199</v>
      </c>
      <c r="AU16" s="617" t="n">
        <v>7056.80268779</v>
      </c>
      <c r="AV16" s="617" t="n">
        <v>1421.5669942</v>
      </c>
      <c r="AW16" s="617" t="n">
        <v>205891.35673839</v>
      </c>
      <c r="AX16" s="617" t="n">
        <v>205113.73942273</v>
      </c>
      <c r="AY16" s="14" t="n">
        <v>0</v>
      </c>
      <c r="AZ16" s="617" t="n">
        <v>0</v>
      </c>
      <c r="BA16" s="47" t="inlineStr">
        <is>
          <t>-</t>
        </is>
      </c>
      <c r="BB16" s="16" t="inlineStr">
        <is>
          <t>xi</t>
        </is>
      </c>
      <c r="BC16" s="15" t="inlineStr">
        <is>
          <t>Corporate Bond Fund</t>
        </is>
      </c>
      <c r="BD16" s="14" t="n">
        <v>21</v>
      </c>
      <c r="BE16" s="14" t="n">
        <v>565827</v>
      </c>
      <c r="BF16" s="617" t="n">
        <v>4102.5744515</v>
      </c>
      <c r="BG16" s="617" t="n">
        <v>4927.57285506</v>
      </c>
      <c r="BH16" s="617" t="n">
        <v>-824.9984035599959</v>
      </c>
      <c r="BI16" s="617" t="n">
        <v>204712.23180295</v>
      </c>
      <c r="BJ16" s="617" t="n">
        <v>205196.620084</v>
      </c>
      <c r="BK16" s="14" t="n">
        <v>0</v>
      </c>
      <c r="BL16" s="617" t="n">
        <v>0</v>
      </c>
      <c r="BM16" s="47" t="inlineStr">
        <is>
          <t>-</t>
        </is>
      </c>
      <c r="BN16" s="19" t="inlineStr">
        <is>
          <t>xi</t>
        </is>
      </c>
      <c r="BO16" s="15" t="inlineStr">
        <is>
          <t>Corporate Bond Fund</t>
        </is>
      </c>
      <c r="BP16" s="14" t="n">
        <v>21</v>
      </c>
      <c r="BQ16" s="14" t="n">
        <v>567992</v>
      </c>
      <c r="BR16" s="617" t="n">
        <v>5884.58041703</v>
      </c>
      <c r="BS16" s="617" t="n">
        <v>7328.18798428</v>
      </c>
      <c r="BT16" s="617" t="n">
        <v>-1443.60756725</v>
      </c>
      <c r="BU16" s="617" t="n">
        <v>204656.55086479</v>
      </c>
      <c r="BV16" s="617" t="n">
        <v>204969.01838108</v>
      </c>
      <c r="BW16" s="17" t="n">
        <v>0</v>
      </c>
      <c r="BX16" s="618" t="n">
        <v>0</v>
      </c>
      <c r="BY16" s="47" t="inlineStr">
        <is>
          <t>-</t>
        </is>
      </c>
      <c r="BZ16" s="19" t="inlineStr">
        <is>
          <t>xi</t>
        </is>
      </c>
      <c r="CA16" s="15" t="inlineStr">
        <is>
          <t>Corporate Bond Fund</t>
        </is>
      </c>
      <c r="CB16" s="14" t="n">
        <v>21</v>
      </c>
      <c r="CC16" s="14" t="n">
        <v>573717</v>
      </c>
      <c r="CD16" s="617" t="n">
        <v>9118.146573120001</v>
      </c>
      <c r="CE16" s="617" t="n">
        <v>3996.2351529</v>
      </c>
      <c r="CF16" s="617" t="n">
        <v>5121.91142022</v>
      </c>
      <c r="CG16" s="617" t="n">
        <v>211442.32500574</v>
      </c>
      <c r="CH16" s="617" t="n">
        <v>208944.82320764</v>
      </c>
      <c r="CI16" s="17" t="n">
        <v>0</v>
      </c>
      <c r="CJ16" s="618" t="n">
        <v>0</v>
      </c>
      <c r="CK16" s="47" t="inlineStr">
        <is>
          <t>-</t>
        </is>
      </c>
      <c r="CL16" s="16" t="inlineStr">
        <is>
          <t>xi</t>
        </is>
      </c>
      <c r="CM16" s="15" t="inlineStr">
        <is>
          <t>Corporate Bond Fund</t>
        </is>
      </c>
      <c r="CN16" s="14" t="n">
        <v>21</v>
      </c>
      <c r="CO16" s="14" t="n">
        <v>579465</v>
      </c>
      <c r="CP16" s="617" t="n">
        <v>4128.72311941</v>
      </c>
      <c r="CQ16" s="617" t="n">
        <v>2603.58132223001</v>
      </c>
      <c r="CR16" s="617" t="n">
        <v>1525.14179718</v>
      </c>
      <c r="CS16" s="617" t="n">
        <v>214156.40079624</v>
      </c>
      <c r="CT16" s="617" t="n">
        <v>212838.71248725</v>
      </c>
      <c r="CU16" s="17" t="n">
        <v>0</v>
      </c>
      <c r="CV16" s="617" t="n">
        <v>0</v>
      </c>
      <c r="CW16" s="47" t="inlineStr">
        <is>
          <t>-</t>
        </is>
      </c>
      <c r="CX16" s="16" t="inlineStr">
        <is>
          <t>xi</t>
        </is>
      </c>
      <c r="CY16" s="15" t="inlineStr">
        <is>
          <t>Corporate Bond Fund</t>
        </is>
      </c>
      <c r="CZ16" s="14" t="n">
        <v>21</v>
      </c>
      <c r="DA16" s="14" t="n">
        <v>580979</v>
      </c>
      <c r="DB16" s="617" t="n">
        <v>3723.58611672001</v>
      </c>
      <c r="DC16" s="617" t="n">
        <v>11143.09127583</v>
      </c>
      <c r="DD16" s="617" t="n">
        <v>-7419.50515910999</v>
      </c>
      <c r="DE16" s="617" t="n">
        <v>207005.94555655</v>
      </c>
      <c r="DF16" s="617" t="n">
        <v>209245.39989184</v>
      </c>
      <c r="DG16" s="14" t="n">
        <v>0</v>
      </c>
      <c r="DH16" s="617" t="n">
        <v>0</v>
      </c>
      <c r="DI16" s="2" t="inlineStr">
        <is>
          <t>-</t>
        </is>
      </c>
      <c r="DJ16" s="620" t="inlineStr">
        <is>
          <t>xi</t>
        </is>
      </c>
      <c r="DK16" s="621" t="inlineStr">
        <is>
          <t>Corporate Bond Fund</t>
        </is>
      </c>
      <c r="DL16" s="83" t="n">
        <v>21</v>
      </c>
      <c r="DM16" s="83" t="n">
        <v>577039</v>
      </c>
      <c r="DN16" s="622" t="n">
        <v>1626.59835187999</v>
      </c>
      <c r="DO16" s="622" t="n">
        <v>13099.38999656</v>
      </c>
      <c r="DP16" s="622" t="n">
        <v>-11472.79164468</v>
      </c>
      <c r="DQ16" s="622" t="n">
        <v>195400.06888728</v>
      </c>
      <c r="DR16" s="622" t="n">
        <v>201314.95437845</v>
      </c>
      <c r="DS16" s="83" t="n">
        <v>0</v>
      </c>
      <c r="DT16" s="622" t="n">
        <v>0</v>
      </c>
      <c r="DU16" s="2" t="inlineStr">
        <is>
          <t>-</t>
        </is>
      </c>
      <c r="DV16" s="127" t="n"/>
      <c r="DW16" s="128" t="n"/>
      <c r="DX16" s="2" t="inlineStr">
        <is>
          <t>-</t>
        </is>
      </c>
      <c r="DY16" s="127">
        <f>(DN16-DB16)/DB16</f>
        <v/>
      </c>
      <c r="DZ16" s="128">
        <f>(DP16-DD16)/DD16</f>
        <v/>
      </c>
      <c r="EA16" s="129">
        <f>(DR16-DF16)/DF16</f>
        <v/>
      </c>
    </row>
    <row r="17">
      <c r="A17" s="16" t="inlineStr">
        <is>
          <t>xii</t>
        </is>
      </c>
      <c r="B17" s="15" t="inlineStr">
        <is>
          <t>Credit Risk Fund</t>
        </is>
      </c>
      <c r="C17" s="617" t="n">
        <v>20462.72708445</v>
      </c>
      <c r="D17" s="617" t="n">
        <v>20507.46970306</v>
      </c>
      <c r="E17" s="47" t="inlineStr">
        <is>
          <t>-</t>
        </is>
      </c>
      <c r="F17" s="16" t="inlineStr">
        <is>
          <t>xii</t>
        </is>
      </c>
      <c r="G17" s="15" t="inlineStr">
        <is>
          <t>Credit Risk Fund</t>
        </is>
      </c>
      <c r="H17" s="14" t="n">
        <v>14</v>
      </c>
      <c r="I17" s="14" t="n">
        <v>181652</v>
      </c>
      <c r="J17" s="617" t="n">
        <v>71.22838061</v>
      </c>
      <c r="K17" s="617" t="n">
        <v>372.91809213</v>
      </c>
      <c r="L17" s="617" t="n">
        <v>-301.68971152</v>
      </c>
      <c r="M17" s="617" t="n">
        <v>20485.35501038</v>
      </c>
      <c r="N17" s="617" t="n">
        <v>20475.68391026</v>
      </c>
      <c r="O17" s="14" t="n">
        <v>4</v>
      </c>
      <c r="P17" s="617" t="n">
        <v>0</v>
      </c>
      <c r="Q17" s="47" t="inlineStr">
        <is>
          <t>-</t>
        </is>
      </c>
      <c r="R17" s="16" t="inlineStr">
        <is>
          <t>xii</t>
        </is>
      </c>
      <c r="S17" s="15" t="inlineStr">
        <is>
          <t>Credit Risk Fund</t>
        </is>
      </c>
      <c r="T17" s="14" t="n">
        <v>14</v>
      </c>
      <c r="U17" s="14" t="n">
        <v>182494</v>
      </c>
      <c r="V17" s="617" t="n">
        <v>59.35996394</v>
      </c>
      <c r="W17" s="617" t="n">
        <v>307.29461653</v>
      </c>
      <c r="X17" s="617" t="n">
        <v>-247.93465259</v>
      </c>
      <c r="Y17" s="617" t="n">
        <v>20437.00065867</v>
      </c>
      <c r="Z17" s="617" t="n">
        <v>20457.26921808</v>
      </c>
      <c r="AA17" s="14" t="n">
        <v>4</v>
      </c>
      <c r="AB17" s="617" t="n">
        <v>0</v>
      </c>
      <c r="AC17" s="47" t="inlineStr">
        <is>
          <t>-</t>
        </is>
      </c>
      <c r="AD17" s="16" t="inlineStr">
        <is>
          <t>xii</t>
        </is>
      </c>
      <c r="AE17" s="15" t="inlineStr">
        <is>
          <t>Credit Risk Fund</t>
        </is>
      </c>
      <c r="AF17" s="14" t="n">
        <v>14</v>
      </c>
      <c r="AG17" s="14" t="n">
        <v>183524</v>
      </c>
      <c r="AH17" s="617" t="n">
        <v>103.10758285</v>
      </c>
      <c r="AI17" s="617" t="n">
        <v>271.28980701</v>
      </c>
      <c r="AJ17" s="617" t="n">
        <v>-168.18222416</v>
      </c>
      <c r="AK17" s="617" t="n">
        <v>20349.88953361</v>
      </c>
      <c r="AL17" s="617" t="n">
        <v>20396.08565939</v>
      </c>
      <c r="AM17" s="14" t="n">
        <v>4</v>
      </c>
      <c r="AN17" s="617" t="n">
        <v>0</v>
      </c>
      <c r="AO17" s="47" t="inlineStr">
        <is>
          <t>-</t>
        </is>
      </c>
      <c r="AP17" s="16" t="inlineStr">
        <is>
          <t>xii</t>
        </is>
      </c>
      <c r="AQ17" s="15" t="inlineStr">
        <is>
          <t>Credit Risk Fund</t>
        </is>
      </c>
      <c r="AR17" s="14" t="n">
        <v>14</v>
      </c>
      <c r="AS17" s="14" t="n">
        <v>185095</v>
      </c>
      <c r="AT17" s="617" t="n">
        <v>81.48746828</v>
      </c>
      <c r="AU17" s="617" t="n">
        <v>353.00244541</v>
      </c>
      <c r="AV17" s="617" t="n">
        <v>-271.51497713</v>
      </c>
      <c r="AW17" s="617" t="n">
        <v>20229.41342454</v>
      </c>
      <c r="AX17" s="617" t="n">
        <v>20304.90826599</v>
      </c>
      <c r="AY17" s="14" t="n">
        <v>4</v>
      </c>
      <c r="AZ17" s="617" t="n">
        <v>0</v>
      </c>
      <c r="BA17" s="47" t="inlineStr">
        <is>
          <t>-</t>
        </is>
      </c>
      <c r="BB17" s="16" t="inlineStr">
        <is>
          <t>Equity Savings Fund</t>
        </is>
      </c>
      <c r="BC17" s="15" t="inlineStr">
        <is>
          <t>Credit Risk Fund</t>
        </is>
      </c>
      <c r="BD17" s="14" t="n">
        <v>14</v>
      </c>
      <c r="BE17" s="14" t="n">
        <v>186961</v>
      </c>
      <c r="BF17" s="617" t="n">
        <v>86.34382106</v>
      </c>
      <c r="BG17" s="617" t="n">
        <v>329.91117425</v>
      </c>
      <c r="BH17" s="617" t="n">
        <v>-243.56735319</v>
      </c>
      <c r="BI17" s="617" t="n">
        <v>20028.42642128</v>
      </c>
      <c r="BJ17" s="617" t="n">
        <v>20110.69219149</v>
      </c>
      <c r="BK17" s="14" t="n">
        <v>4</v>
      </c>
      <c r="BL17" s="617" t="n">
        <v>0</v>
      </c>
      <c r="BM17" s="47" t="inlineStr">
        <is>
          <t>-</t>
        </is>
      </c>
      <c r="BN17" s="19" t="inlineStr">
        <is>
          <t>xii</t>
        </is>
      </c>
      <c r="BO17" s="15" t="inlineStr">
        <is>
          <t>Credit Risk Fund</t>
        </is>
      </c>
      <c r="BP17" s="14" t="n">
        <v>14</v>
      </c>
      <c r="BQ17" s="14" t="n">
        <v>188983</v>
      </c>
      <c r="BR17" s="617" t="n">
        <v>95.33744052999999</v>
      </c>
      <c r="BS17" s="617" t="n">
        <v>350.9937802</v>
      </c>
      <c r="BT17" s="617" t="n">
        <v>-255.65633967</v>
      </c>
      <c r="BU17" s="617" t="n">
        <v>19949.78024023</v>
      </c>
      <c r="BV17" s="617" t="n">
        <v>20018.72699925</v>
      </c>
      <c r="BW17" s="17" t="n">
        <v>4</v>
      </c>
      <c r="BX17" s="618" t="n">
        <v>0</v>
      </c>
      <c r="BY17" s="47" t="inlineStr">
        <is>
          <t>-</t>
        </is>
      </c>
      <c r="BZ17" s="19" t="inlineStr">
        <is>
          <t>xii</t>
        </is>
      </c>
      <c r="CA17" s="15" t="inlineStr">
        <is>
          <t>Credit Risk Fund</t>
        </is>
      </c>
      <c r="CB17" s="14" t="n">
        <v>14</v>
      </c>
      <c r="CC17" s="14" t="n">
        <v>191121</v>
      </c>
      <c r="CD17" s="617" t="n">
        <v>254.11933129</v>
      </c>
      <c r="CE17" s="617" t="n">
        <v>337.90036295</v>
      </c>
      <c r="CF17" s="617" t="n">
        <v>-83.7810316599999</v>
      </c>
      <c r="CG17" s="617" t="n">
        <v>20018.42710518</v>
      </c>
      <c r="CH17" s="617" t="n">
        <v>20050.95903829</v>
      </c>
      <c r="CI17" s="17" t="n">
        <v>4</v>
      </c>
      <c r="CJ17" s="618" t="n">
        <v>0</v>
      </c>
      <c r="CK17" s="47" t="inlineStr">
        <is>
          <t>-</t>
        </is>
      </c>
      <c r="CL17" s="16" t="inlineStr">
        <is>
          <t>xii</t>
        </is>
      </c>
      <c r="CM17" s="15" t="inlineStr">
        <is>
          <t>Credit Risk Fund</t>
        </is>
      </c>
      <c r="CN17" s="14" t="n">
        <v>14</v>
      </c>
      <c r="CO17" s="14" t="n">
        <v>193115</v>
      </c>
      <c r="CP17" s="617" t="n">
        <v>118.46635634</v>
      </c>
      <c r="CQ17" s="617" t="n">
        <v>236.33669675</v>
      </c>
      <c r="CR17" s="617" t="n">
        <v>-117.87034041</v>
      </c>
      <c r="CS17" s="617" t="n">
        <v>20028.14874541</v>
      </c>
      <c r="CT17" s="617" t="n">
        <v>20016.61488678</v>
      </c>
      <c r="CU17" s="17" t="n">
        <v>4</v>
      </c>
      <c r="CV17" s="617" t="n">
        <v>0</v>
      </c>
      <c r="CW17" s="47" t="inlineStr">
        <is>
          <t>-</t>
        </is>
      </c>
      <c r="CX17" s="16" t="inlineStr">
        <is>
          <t>xii</t>
        </is>
      </c>
      <c r="CY17" s="15" t="inlineStr">
        <is>
          <t>Credit Risk Fund</t>
        </is>
      </c>
      <c r="CZ17" s="14" t="n">
        <v>14</v>
      </c>
      <c r="DA17" s="14" t="n">
        <v>194207</v>
      </c>
      <c r="DB17" s="617" t="n">
        <v>130.15949038</v>
      </c>
      <c r="DC17" s="617" t="n">
        <v>302.77148824</v>
      </c>
      <c r="DD17" s="617" t="n">
        <v>-172.61199786</v>
      </c>
      <c r="DE17" s="617" t="n">
        <v>19929.94486506</v>
      </c>
      <c r="DF17" s="617" t="n">
        <v>19965.05877096</v>
      </c>
      <c r="DG17" s="14" t="n">
        <v>4</v>
      </c>
      <c r="DH17" s="617" t="n">
        <v>0</v>
      </c>
      <c r="DI17" s="2" t="inlineStr">
        <is>
          <t>-</t>
        </is>
      </c>
      <c r="DJ17" s="620" t="inlineStr">
        <is>
          <t>xii</t>
        </is>
      </c>
      <c r="DK17" s="621" t="inlineStr">
        <is>
          <t>Credit Risk Fund</t>
        </is>
      </c>
      <c r="DL17" s="83" t="n">
        <v>14</v>
      </c>
      <c r="DM17" s="83" t="n">
        <v>196410</v>
      </c>
      <c r="DN17" s="622" t="n">
        <v>172.69281473</v>
      </c>
      <c r="DO17" s="622" t="n">
        <v>298.54252325</v>
      </c>
      <c r="DP17" s="622" t="n">
        <v>-125.84970852</v>
      </c>
      <c r="DQ17" s="622" t="n">
        <v>19893.2254098</v>
      </c>
      <c r="DR17" s="622" t="n">
        <v>19933.05925865</v>
      </c>
      <c r="DS17" s="83" t="n">
        <v>4</v>
      </c>
      <c r="DT17" s="622" t="n">
        <v>0</v>
      </c>
      <c r="DU17" s="2" t="inlineStr">
        <is>
          <t>-</t>
        </is>
      </c>
      <c r="DV17" s="127" t="n"/>
      <c r="DW17" s="128" t="n"/>
      <c r="DX17" s="2" t="inlineStr">
        <is>
          <t>-</t>
        </is>
      </c>
      <c r="DY17" s="127">
        <f>(DN17-DB17)/DB17</f>
        <v/>
      </c>
      <c r="DZ17" s="128">
        <f>(DP17-DD17)/DD17</f>
        <v/>
      </c>
      <c r="EA17" s="129">
        <f>(DR17-DF17)/DF17</f>
        <v/>
      </c>
    </row>
    <row r="18">
      <c r="A18" s="16" t="inlineStr">
        <is>
          <t>xiii</t>
        </is>
      </c>
      <c r="B18" s="15" t="inlineStr">
        <is>
          <t>Banking and PSU Fund</t>
        </is>
      </c>
      <c r="C18" s="617" t="n">
        <v>78850.09761763</v>
      </c>
      <c r="D18" s="617" t="n">
        <v>78721.83389485</v>
      </c>
      <c r="E18" s="47" t="inlineStr">
        <is>
          <t>-</t>
        </is>
      </c>
      <c r="F18" s="16" t="inlineStr">
        <is>
          <t>xiii</t>
        </is>
      </c>
      <c r="G18" s="15" t="inlineStr">
        <is>
          <t>Banking and PSU Fund</t>
        </is>
      </c>
      <c r="H18" s="14" t="n">
        <v>22</v>
      </c>
      <c r="I18" s="14" t="n">
        <v>237042</v>
      </c>
      <c r="J18" s="617" t="n">
        <v>2069.19231338</v>
      </c>
      <c r="K18" s="617" t="n">
        <v>1433.30494587</v>
      </c>
      <c r="L18" s="617" t="n">
        <v>635.88736751</v>
      </c>
      <c r="M18" s="617" t="n">
        <v>80597.86235503999</v>
      </c>
      <c r="N18" s="617" t="n">
        <v>79692.99716550999</v>
      </c>
      <c r="O18" s="14" t="n">
        <v>0</v>
      </c>
      <c r="P18" s="617" t="n">
        <v>0</v>
      </c>
      <c r="Q18" s="47" t="inlineStr">
        <is>
          <t>-</t>
        </is>
      </c>
      <c r="R18" s="16" t="inlineStr">
        <is>
          <t>xiii</t>
        </is>
      </c>
      <c r="S18" s="15" t="inlineStr">
        <is>
          <t>Banking and PSU Fund</t>
        </is>
      </c>
      <c r="T18" s="14" t="n">
        <v>22</v>
      </c>
      <c r="U18" s="14" t="n">
        <v>238455</v>
      </c>
      <c r="V18" s="617" t="n">
        <v>1608.12674015</v>
      </c>
      <c r="W18" s="617" t="n">
        <v>1123.99304065</v>
      </c>
      <c r="X18" s="617" t="n">
        <v>484.1336995</v>
      </c>
      <c r="Y18" s="617" t="n">
        <v>81949.60272014</v>
      </c>
      <c r="Z18" s="617" t="n">
        <v>81268.73108472</v>
      </c>
      <c r="AA18" s="14" t="n">
        <v>0</v>
      </c>
      <c r="AB18" s="617" t="n">
        <v>0</v>
      </c>
      <c r="AC18" s="47" t="inlineStr">
        <is>
          <t>-</t>
        </is>
      </c>
      <c r="AD18" s="16" t="inlineStr">
        <is>
          <t>xiii</t>
        </is>
      </c>
      <c r="AE18" s="15" t="inlineStr">
        <is>
          <t>Banking and PSU Fund</t>
        </is>
      </c>
      <c r="AF18" s="14" t="n">
        <v>22</v>
      </c>
      <c r="AG18" s="14" t="n">
        <v>239295</v>
      </c>
      <c r="AH18" s="617" t="n">
        <v>1969.78490349</v>
      </c>
      <c r="AI18" s="617" t="n">
        <v>1731.18655668</v>
      </c>
      <c r="AJ18" s="617" t="n">
        <v>238.59834681</v>
      </c>
      <c r="AK18" s="617" t="n">
        <v>82228.63629058001</v>
      </c>
      <c r="AL18" s="617" t="n">
        <v>82588.26998726001</v>
      </c>
      <c r="AM18" s="14" t="n">
        <v>0</v>
      </c>
      <c r="AN18" s="617" t="n">
        <v>0</v>
      </c>
      <c r="AO18" s="47" t="inlineStr">
        <is>
          <t>-</t>
        </is>
      </c>
      <c r="AP18" s="16" t="inlineStr">
        <is>
          <t>xiii</t>
        </is>
      </c>
      <c r="AQ18" s="15" t="inlineStr">
        <is>
          <t>Banking and PSU Fund</t>
        </is>
      </c>
      <c r="AR18" s="14" t="n">
        <v>22</v>
      </c>
      <c r="AS18" s="14" t="n">
        <v>240020</v>
      </c>
      <c r="AT18" s="617" t="n">
        <v>1295.24290088</v>
      </c>
      <c r="AU18" s="617" t="n">
        <v>1956.97304561</v>
      </c>
      <c r="AV18" s="617" t="n">
        <v>-661.73014473</v>
      </c>
      <c r="AW18" s="617" t="n">
        <v>82041.63578811</v>
      </c>
      <c r="AX18" s="617" t="n">
        <v>81868.29421536</v>
      </c>
      <c r="AY18" s="14" t="n">
        <v>0</v>
      </c>
      <c r="AZ18" s="617" t="n">
        <v>0</v>
      </c>
      <c r="BA18" s="47" t="inlineStr">
        <is>
          <t>-</t>
        </is>
      </c>
      <c r="BB18" s="16" t="inlineStr">
        <is>
          <t>xiii</t>
        </is>
      </c>
      <c r="BC18" s="15" t="inlineStr">
        <is>
          <t>Banking and PSU Fund</t>
        </is>
      </c>
      <c r="BD18" s="14" t="n">
        <v>22</v>
      </c>
      <c r="BE18" s="14" t="n">
        <v>240524</v>
      </c>
      <c r="BF18" s="617" t="n">
        <v>947.25648395</v>
      </c>
      <c r="BG18" s="617" t="n">
        <v>1747.70556384</v>
      </c>
      <c r="BH18" s="617" t="n">
        <v>-800.44907989</v>
      </c>
      <c r="BI18" s="617" t="n">
        <v>81161.20400409</v>
      </c>
      <c r="BJ18" s="617" t="n">
        <v>81717.48502982</v>
      </c>
      <c r="BK18" s="14" t="n">
        <v>0</v>
      </c>
      <c r="BL18" s="617" t="n">
        <v>0</v>
      </c>
      <c r="BM18" s="47" t="inlineStr">
        <is>
          <t>-</t>
        </is>
      </c>
      <c r="BN18" s="19" t="inlineStr">
        <is>
          <t>xiii</t>
        </is>
      </c>
      <c r="BO18" s="15" t="inlineStr">
        <is>
          <t>Banking and PSU Fund</t>
        </is>
      </c>
      <c r="BP18" s="14" t="n">
        <v>22</v>
      </c>
      <c r="BQ18" s="14" t="n">
        <v>239947</v>
      </c>
      <c r="BR18" s="617" t="n">
        <v>742.078487039999</v>
      </c>
      <c r="BS18" s="617" t="n">
        <v>2709.38802295</v>
      </c>
      <c r="BT18" s="617" t="n">
        <v>-1967.30953591</v>
      </c>
      <c r="BU18" s="617" t="n">
        <v>79724.0980694</v>
      </c>
      <c r="BV18" s="617" t="n">
        <v>80533.19329220999</v>
      </c>
      <c r="BW18" s="17" t="n">
        <v>0</v>
      </c>
      <c r="BX18" s="618" t="n">
        <v>0</v>
      </c>
      <c r="BY18" s="47" t="inlineStr">
        <is>
          <t>-</t>
        </is>
      </c>
      <c r="BZ18" s="19" t="inlineStr">
        <is>
          <t>xiii</t>
        </is>
      </c>
      <c r="CA18" s="15" t="inlineStr">
        <is>
          <t>Banking and PSU Fund</t>
        </is>
      </c>
      <c r="CB18" s="14" t="n">
        <v>21</v>
      </c>
      <c r="CC18" s="14" t="n">
        <v>239409</v>
      </c>
      <c r="CD18" s="617" t="n">
        <v>1534.79323874</v>
      </c>
      <c r="CE18" s="617" t="n">
        <v>1322.52045698</v>
      </c>
      <c r="CF18" s="617" t="n">
        <v>212.272781759999</v>
      </c>
      <c r="CG18" s="617" t="n">
        <v>80699.62600705</v>
      </c>
      <c r="CH18" s="617" t="n">
        <v>79815.88695742001</v>
      </c>
      <c r="CI18" s="17" t="n">
        <v>0</v>
      </c>
      <c r="CJ18" s="618" t="n">
        <v>0</v>
      </c>
      <c r="CK18" s="47" t="inlineStr">
        <is>
          <t>-</t>
        </is>
      </c>
      <c r="CL18" s="16" t="inlineStr">
        <is>
          <t>xiii</t>
        </is>
      </c>
      <c r="CM18" s="15" t="inlineStr">
        <is>
          <t>Banking and PSU Fund</t>
        </is>
      </c>
      <c r="CN18" s="14" t="n">
        <v>21</v>
      </c>
      <c r="CO18" s="14" t="n">
        <v>240003</v>
      </c>
      <c r="CP18" s="617" t="n">
        <v>509.090941160001</v>
      </c>
      <c r="CQ18" s="617" t="n">
        <v>1361.18724795</v>
      </c>
      <c r="CR18" s="617" t="n">
        <v>-852.0963067899989</v>
      </c>
      <c r="CS18" s="617" t="n">
        <v>80299.52019316</v>
      </c>
      <c r="CT18" s="617" t="n">
        <v>80543.60613494</v>
      </c>
      <c r="CU18" s="17" t="n">
        <v>0</v>
      </c>
      <c r="CV18" s="617" t="n">
        <v>0</v>
      </c>
      <c r="CW18" s="47" t="inlineStr">
        <is>
          <t>-</t>
        </is>
      </c>
      <c r="CX18" s="16" t="inlineStr">
        <is>
          <t>xiii</t>
        </is>
      </c>
      <c r="CY18" s="15" t="inlineStr">
        <is>
          <t>Banking and PSU Fund</t>
        </is>
      </c>
      <c r="CZ18" s="14" t="n">
        <v>21</v>
      </c>
      <c r="DA18" s="14" t="n">
        <v>239818</v>
      </c>
      <c r="DB18" s="617" t="n">
        <v>769.56581256</v>
      </c>
      <c r="DC18" s="617" t="n">
        <v>1745.66025281</v>
      </c>
      <c r="DD18" s="617" t="n">
        <v>-976.094440249999</v>
      </c>
      <c r="DE18" s="624" t="n">
        <v>79417.25882279999</v>
      </c>
      <c r="DF18" s="617" t="n">
        <v>79512.4165257</v>
      </c>
      <c r="DG18" s="14" t="n">
        <v>0</v>
      </c>
      <c r="DH18" s="617" t="n">
        <v>0</v>
      </c>
      <c r="DI18" s="2" t="inlineStr">
        <is>
          <t>-</t>
        </is>
      </c>
      <c r="DJ18" s="620" t="inlineStr">
        <is>
          <t>xiii</t>
        </is>
      </c>
      <c r="DK18" s="621" t="inlineStr">
        <is>
          <t>Banking and PSU Fund</t>
        </is>
      </c>
      <c r="DL18" s="83" t="n">
        <v>21</v>
      </c>
      <c r="DM18" s="83" t="n">
        <v>239116</v>
      </c>
      <c r="DN18" s="622" t="n">
        <v>514.3541242400011</v>
      </c>
      <c r="DO18" s="622" t="n">
        <v>1733.234838</v>
      </c>
      <c r="DP18" s="622" t="n">
        <v>-1218.88071376</v>
      </c>
      <c r="DQ18" s="625" t="n">
        <v>78169.94395751</v>
      </c>
      <c r="DR18" s="622" t="n">
        <v>78906.71779806</v>
      </c>
      <c r="DS18" s="83" t="n">
        <v>0</v>
      </c>
      <c r="DT18" s="622" t="n">
        <v>0</v>
      </c>
      <c r="DU18" s="2" t="inlineStr">
        <is>
          <t>-</t>
        </is>
      </c>
      <c r="DV18" s="127" t="n"/>
      <c r="DW18" s="128" t="n"/>
      <c r="DX18" s="2" t="inlineStr">
        <is>
          <t>-</t>
        </is>
      </c>
      <c r="DY18" s="127">
        <f>(DN18-DB18)/DB18</f>
        <v/>
      </c>
      <c r="DZ18" s="128">
        <f>(DP18-DD18)/DD18</f>
        <v/>
      </c>
      <c r="EA18" s="129">
        <f>(DR18-DF18)/DF18</f>
        <v/>
      </c>
    </row>
    <row r="19">
      <c r="A19" s="16" t="inlineStr">
        <is>
          <t>xiv</t>
        </is>
      </c>
      <c r="B19" s="15" t="inlineStr">
        <is>
          <t>Gilt Fund</t>
        </is>
      </c>
      <c r="C19" s="617" t="n">
        <v>40989.93632448</v>
      </c>
      <c r="D19" s="617" t="n">
        <v>40630.62789034</v>
      </c>
      <c r="E19" s="47" t="inlineStr">
        <is>
          <t>-</t>
        </is>
      </c>
      <c r="F19" s="16" t="inlineStr">
        <is>
          <t>xiv</t>
        </is>
      </c>
      <c r="G19" s="15" t="inlineStr">
        <is>
          <t>Gilt Fund</t>
        </is>
      </c>
      <c r="H19" s="14" t="n">
        <v>22</v>
      </c>
      <c r="I19" s="14" t="n">
        <v>223026</v>
      </c>
      <c r="J19" s="617" t="n">
        <v>2544.97328798</v>
      </c>
      <c r="K19" s="617" t="n">
        <v>2970.02299793</v>
      </c>
      <c r="L19" s="617" t="n">
        <v>-425.04970995</v>
      </c>
      <c r="M19" s="617" t="n">
        <v>41428.66182559</v>
      </c>
      <c r="N19" s="617" t="n">
        <v>41038.38403138</v>
      </c>
      <c r="O19" s="14" t="n">
        <v>0</v>
      </c>
      <c r="P19" s="617" t="n">
        <v>0</v>
      </c>
      <c r="Q19" s="47" t="inlineStr">
        <is>
          <t>-</t>
        </is>
      </c>
      <c r="R19" s="16" t="inlineStr">
        <is>
          <t>xiv</t>
        </is>
      </c>
      <c r="S19" s="15" t="inlineStr">
        <is>
          <t>Gilt Fund</t>
        </is>
      </c>
      <c r="T19" s="14" t="n">
        <v>23</v>
      </c>
      <c r="U19" s="14" t="n">
        <v>232237</v>
      </c>
      <c r="V19" s="617" t="n">
        <v>2738.66115282</v>
      </c>
      <c r="W19" s="617" t="n">
        <v>1352.73214477</v>
      </c>
      <c r="X19" s="617" t="n">
        <v>1385.92900805</v>
      </c>
      <c r="Y19" s="617" t="n">
        <v>43000.1411363</v>
      </c>
      <c r="Z19" s="617" t="n">
        <v>42256.26381576</v>
      </c>
      <c r="AA19" s="14" t="n">
        <v>0</v>
      </c>
      <c r="AB19" s="617" t="n">
        <v>0</v>
      </c>
      <c r="AC19" s="47" t="inlineStr">
        <is>
          <t>-</t>
        </is>
      </c>
      <c r="AD19" s="16" t="inlineStr">
        <is>
          <t>xiv</t>
        </is>
      </c>
      <c r="AE19" s="15" t="inlineStr">
        <is>
          <t>Gilt Fund</t>
        </is>
      </c>
      <c r="AF19" s="14" t="n">
        <v>23</v>
      </c>
      <c r="AG19" s="14" t="n">
        <v>232057</v>
      </c>
      <c r="AH19" s="617" t="n">
        <v>1562.00740132</v>
      </c>
      <c r="AI19" s="617" t="n">
        <v>2519.33050236</v>
      </c>
      <c r="AJ19" s="617" t="n">
        <v>-957.323101040001</v>
      </c>
      <c r="AK19" s="617" t="n">
        <v>41449.72321421</v>
      </c>
      <c r="AL19" s="617" t="n">
        <v>42294.94425795</v>
      </c>
      <c r="AM19" s="14" t="n">
        <v>0</v>
      </c>
      <c r="AN19" s="617" t="n">
        <v>0</v>
      </c>
      <c r="AO19" s="47" t="inlineStr">
        <is>
          <t>-</t>
        </is>
      </c>
      <c r="AP19" s="16" t="inlineStr">
        <is>
          <t>xiv</t>
        </is>
      </c>
      <c r="AQ19" s="15" t="inlineStr">
        <is>
          <t>Gilt Fund</t>
        </is>
      </c>
      <c r="AR19" s="14" t="n">
        <v>23</v>
      </c>
      <c r="AS19" s="14" t="n">
        <v>232098</v>
      </c>
      <c r="AT19" s="617" t="n">
        <v>1929.85257079</v>
      </c>
      <c r="AU19" s="617" t="n">
        <v>1769.80230155</v>
      </c>
      <c r="AV19" s="617" t="n">
        <v>160.05026924</v>
      </c>
      <c r="AW19" s="617" t="n">
        <v>41789.56312769</v>
      </c>
      <c r="AX19" s="617" t="n">
        <v>42149.90263359</v>
      </c>
      <c r="AY19" s="14" t="n">
        <v>0</v>
      </c>
      <c r="AZ19" s="617" t="n">
        <v>0</v>
      </c>
      <c r="BA19" s="47" t="inlineStr">
        <is>
          <t>-</t>
        </is>
      </c>
      <c r="BB19" s="16" t="inlineStr">
        <is>
          <t>xiv</t>
        </is>
      </c>
      <c r="BC19" s="15" t="inlineStr">
        <is>
          <t>Gilt Fund</t>
        </is>
      </c>
      <c r="BD19" s="14" t="n">
        <v>23</v>
      </c>
      <c r="BE19" s="14" t="n">
        <v>229584</v>
      </c>
      <c r="BF19" s="617" t="n">
        <v>2330.75497849</v>
      </c>
      <c r="BG19" s="617" t="n">
        <v>3259.17590615</v>
      </c>
      <c r="BH19" s="617" t="n">
        <v>-928.42092766</v>
      </c>
      <c r="BI19" s="617" t="n">
        <v>40089.9709945</v>
      </c>
      <c r="BJ19" s="617" t="n">
        <v>40439.25730103</v>
      </c>
      <c r="BK19" s="14" t="n">
        <v>0</v>
      </c>
      <c r="BL19" s="617" t="n">
        <v>0</v>
      </c>
      <c r="BM19" s="47" t="inlineStr">
        <is>
          <t>-</t>
        </is>
      </c>
      <c r="BN19" s="19" t="inlineStr">
        <is>
          <t>xiv</t>
        </is>
      </c>
      <c r="BO19" s="15" t="inlineStr">
        <is>
          <t>Gilt Fund</t>
        </is>
      </c>
      <c r="BP19" s="14" t="n">
        <v>23</v>
      </c>
      <c r="BQ19" s="14" t="n">
        <v>225769</v>
      </c>
      <c r="BR19" s="617" t="n">
        <v>2178.0677479</v>
      </c>
      <c r="BS19" s="617" t="n">
        <v>2793.05710308</v>
      </c>
      <c r="BT19" s="617" t="n">
        <v>-614.989355180001</v>
      </c>
      <c r="BU19" s="617" t="n">
        <v>40055.16841898</v>
      </c>
      <c r="BV19" s="617" t="n">
        <v>40635.104293</v>
      </c>
      <c r="BW19" s="17" t="n">
        <v>0</v>
      </c>
      <c r="BX19" s="618" t="n">
        <v>0</v>
      </c>
      <c r="BY19" s="47" t="inlineStr">
        <is>
          <t>-</t>
        </is>
      </c>
      <c r="BZ19" s="19" t="inlineStr">
        <is>
          <t>xiv</t>
        </is>
      </c>
      <c r="CA19" s="15" t="inlineStr">
        <is>
          <t>Gilt Fund</t>
        </is>
      </c>
      <c r="CB19" s="14" t="n">
        <v>23</v>
      </c>
      <c r="CC19" s="14" t="n">
        <v>222590</v>
      </c>
      <c r="CD19" s="617" t="n">
        <v>507.683404230002</v>
      </c>
      <c r="CE19" s="617" t="n">
        <v>1438.67098671</v>
      </c>
      <c r="CF19" s="617" t="n">
        <v>-930.987582479998</v>
      </c>
      <c r="CG19" s="617" t="n">
        <v>39325.01749218</v>
      </c>
      <c r="CH19" s="617" t="n">
        <v>39916.6849432</v>
      </c>
      <c r="CI19" s="17" t="n">
        <v>0</v>
      </c>
      <c r="CJ19" s="618" t="n">
        <v>0</v>
      </c>
      <c r="CK19" s="47" t="inlineStr">
        <is>
          <t>-</t>
        </is>
      </c>
      <c r="CL19" s="16" t="inlineStr">
        <is>
          <t>xiv</t>
        </is>
      </c>
      <c r="CM19" s="15" t="inlineStr">
        <is>
          <t>Gilt Fund</t>
        </is>
      </c>
      <c r="CN19" s="14" t="n">
        <v>23</v>
      </c>
      <c r="CO19" s="14" t="n">
        <v>219637</v>
      </c>
      <c r="CP19" s="617" t="n">
        <v>499.729126709999</v>
      </c>
      <c r="CQ19" s="617" t="n">
        <v>676.275530859999</v>
      </c>
      <c r="CR19" s="617" t="n">
        <v>-176.54640415</v>
      </c>
      <c r="CS19" s="617" t="n">
        <v>39160.96274248</v>
      </c>
      <c r="CT19" s="617" t="n">
        <v>39290.82877819</v>
      </c>
      <c r="CU19" s="17" t="n">
        <v>0</v>
      </c>
      <c r="CV19" s="617" t="n">
        <v>0</v>
      </c>
      <c r="CW19" s="47" t="inlineStr">
        <is>
          <t>-</t>
        </is>
      </c>
      <c r="CX19" s="16" t="inlineStr">
        <is>
          <t>xiv</t>
        </is>
      </c>
      <c r="CY19" s="15" t="inlineStr">
        <is>
          <t>Gilt Fund</t>
        </is>
      </c>
      <c r="CZ19" s="14" t="n">
        <v>23</v>
      </c>
      <c r="DA19" s="14" t="n">
        <v>215424</v>
      </c>
      <c r="DB19" s="617" t="n">
        <v>516.58775363</v>
      </c>
      <c r="DC19" s="617" t="n">
        <v>1312.78189638</v>
      </c>
      <c r="DD19" s="617" t="n">
        <v>-796.194142750002</v>
      </c>
      <c r="DE19" s="624" t="n">
        <v>38514.72459571</v>
      </c>
      <c r="DF19" s="617" t="n">
        <v>38808.92500285</v>
      </c>
      <c r="DG19" s="14" t="n">
        <v>0</v>
      </c>
      <c r="DH19" s="617" t="n">
        <v>0</v>
      </c>
      <c r="DI19" s="2" t="inlineStr">
        <is>
          <t>-</t>
        </is>
      </c>
      <c r="DJ19" s="620" t="inlineStr">
        <is>
          <t>xiv</t>
        </is>
      </c>
      <c r="DK19" s="621" t="inlineStr">
        <is>
          <t>Gilt Fund</t>
        </is>
      </c>
      <c r="DL19" s="83" t="n">
        <v>23</v>
      </c>
      <c r="DM19" s="83" t="n">
        <v>211129</v>
      </c>
      <c r="DN19" s="622" t="n">
        <v>459.22893424</v>
      </c>
      <c r="DO19" s="622" t="n">
        <v>1887.72175606</v>
      </c>
      <c r="DP19" s="622" t="n">
        <v>-1428.49282182</v>
      </c>
      <c r="DQ19" s="625" t="n">
        <v>37115.92701992</v>
      </c>
      <c r="DR19" s="622" t="n">
        <v>37810.51296359</v>
      </c>
      <c r="DS19" s="83" t="n">
        <v>0</v>
      </c>
      <c r="DT19" s="622" t="n">
        <v>0</v>
      </c>
      <c r="DU19" s="2" t="inlineStr">
        <is>
          <t>-</t>
        </is>
      </c>
      <c r="DV19" s="127" t="n"/>
      <c r="DW19" s="128" t="n"/>
      <c r="DX19" s="2" t="inlineStr">
        <is>
          <t>-</t>
        </is>
      </c>
      <c r="DY19" s="127">
        <f>(DN19-DB19)/DB19</f>
        <v/>
      </c>
      <c r="DZ19" s="128">
        <f>(DP19-DD19)/DD19</f>
        <v/>
      </c>
      <c r="EA19" s="129">
        <f>(DR19-DF19)/DF19</f>
        <v/>
      </c>
    </row>
    <row r="20">
      <c r="A20" s="16" t="inlineStr">
        <is>
          <t>xv</t>
        </is>
      </c>
      <c r="B20" s="15" t="inlineStr">
        <is>
          <t>Gilt Fund with 10 year constant duration</t>
        </is>
      </c>
      <c r="C20" s="617" t="n">
        <v>4938.44157853</v>
      </c>
      <c r="D20" s="617" t="n">
        <v>4936.34015663</v>
      </c>
      <c r="E20" s="47" t="inlineStr">
        <is>
          <t>-</t>
        </is>
      </c>
      <c r="F20" s="16" t="inlineStr">
        <is>
          <t>xv</t>
        </is>
      </c>
      <c r="G20" s="15" t="inlineStr">
        <is>
          <t>Gilt Fund with 10 year constant duration</t>
        </is>
      </c>
      <c r="H20" s="14" t="n">
        <v>5</v>
      </c>
      <c r="I20" s="14" t="n">
        <v>36986</v>
      </c>
      <c r="J20" s="617" t="n">
        <v>102.20557955</v>
      </c>
      <c r="K20" s="617" t="n">
        <v>140.94136865</v>
      </c>
      <c r="L20" s="617" t="n">
        <v>-38.7357891</v>
      </c>
      <c r="M20" s="617" t="n">
        <v>5006.88848656</v>
      </c>
      <c r="N20" s="617" t="n">
        <v>4972.32516766</v>
      </c>
      <c r="O20" s="14" t="n">
        <v>0</v>
      </c>
      <c r="P20" s="617" t="n">
        <v>0</v>
      </c>
      <c r="Q20" s="47" t="inlineStr">
        <is>
          <t>-</t>
        </is>
      </c>
      <c r="R20" s="16" t="inlineStr">
        <is>
          <t>xv</t>
        </is>
      </c>
      <c r="S20" s="15" t="inlineStr">
        <is>
          <t>Gilt Fund with 10 year constant duration</t>
        </is>
      </c>
      <c r="T20" s="14" t="n">
        <v>5</v>
      </c>
      <c r="U20" s="14" t="n">
        <v>37854</v>
      </c>
      <c r="V20" s="617" t="n">
        <v>118.43985324</v>
      </c>
      <c r="W20" s="617" t="n">
        <v>76.89524093999999</v>
      </c>
      <c r="X20" s="617" t="n">
        <v>41.5446123</v>
      </c>
      <c r="Y20" s="617" t="n">
        <v>5101.47585535</v>
      </c>
      <c r="Z20" s="617" t="n">
        <v>5056.95679215</v>
      </c>
      <c r="AA20" s="14" t="n">
        <v>0</v>
      </c>
      <c r="AB20" s="617" t="n">
        <v>0</v>
      </c>
      <c r="AC20" s="47" t="inlineStr">
        <is>
          <t>-</t>
        </is>
      </c>
      <c r="AD20" s="16" t="inlineStr">
        <is>
          <t>xv</t>
        </is>
      </c>
      <c r="AE20" s="15" t="inlineStr">
        <is>
          <t>Gilt Fund with 10 year constant duration</t>
        </is>
      </c>
      <c r="AF20" s="14" t="n">
        <v>5</v>
      </c>
      <c r="AG20" s="14" t="n">
        <v>38371</v>
      </c>
      <c r="AH20" s="617" t="n">
        <v>50.87260074</v>
      </c>
      <c r="AI20" s="617" t="n">
        <v>192.66065418</v>
      </c>
      <c r="AJ20" s="617" t="n">
        <v>-141.78805344</v>
      </c>
      <c r="AK20" s="617" t="n">
        <v>4935.09282277</v>
      </c>
      <c r="AL20" s="617" t="n">
        <v>5024.91662407</v>
      </c>
      <c r="AM20" s="14" t="n">
        <v>0</v>
      </c>
      <c r="AN20" s="617" t="n">
        <v>0</v>
      </c>
      <c r="AO20" s="47" t="inlineStr">
        <is>
          <t>-</t>
        </is>
      </c>
      <c r="AP20" s="16" t="inlineStr">
        <is>
          <t>xv</t>
        </is>
      </c>
      <c r="AQ20" s="15" t="inlineStr">
        <is>
          <t>Gilt Fund with 10 year constant duration</t>
        </is>
      </c>
      <c r="AR20" s="14" t="n">
        <v>5</v>
      </c>
      <c r="AS20" s="14" t="n">
        <v>39036</v>
      </c>
      <c r="AT20" s="617" t="n">
        <v>88.13189319</v>
      </c>
      <c r="AU20" s="617" t="n">
        <v>214.33523399</v>
      </c>
      <c r="AV20" s="617" t="n">
        <v>-126.2033408</v>
      </c>
      <c r="AW20" s="617" t="n">
        <v>4821.7917415</v>
      </c>
      <c r="AX20" s="617" t="n">
        <v>4856.63457867</v>
      </c>
      <c r="AY20" s="14" t="n">
        <v>0</v>
      </c>
      <c r="AZ20" s="617" t="n">
        <v>0</v>
      </c>
      <c r="BA20" s="47" t="inlineStr">
        <is>
          <t>-</t>
        </is>
      </c>
      <c r="BB20" s="16" t="inlineStr">
        <is>
          <t>xv</t>
        </is>
      </c>
      <c r="BC20" s="15" t="inlineStr">
        <is>
          <t>Gilt Fund with 10 year constant duration</t>
        </is>
      </c>
      <c r="BD20" s="14" t="n">
        <v>5</v>
      </c>
      <c r="BE20" s="14" t="n">
        <v>39073</v>
      </c>
      <c r="BF20" s="617" t="n">
        <v>328.06058707</v>
      </c>
      <c r="BG20" s="617" t="n">
        <v>159.88854596</v>
      </c>
      <c r="BH20" s="617" t="n">
        <v>168.17204111</v>
      </c>
      <c r="BI20" s="617" t="n">
        <v>4934.72612968</v>
      </c>
      <c r="BJ20" s="617" t="n">
        <v>4746.76382733</v>
      </c>
      <c r="BK20" s="14" t="n">
        <v>0</v>
      </c>
      <c r="BL20" s="617" t="n">
        <v>0</v>
      </c>
      <c r="BM20" s="47" t="inlineStr">
        <is>
          <t>-</t>
        </is>
      </c>
      <c r="BN20" s="19" t="inlineStr">
        <is>
          <t>xv</t>
        </is>
      </c>
      <c r="BO20" s="15" t="inlineStr">
        <is>
          <t>Gilt Fund with 10 year constant duration</t>
        </is>
      </c>
      <c r="BP20" s="14" t="n">
        <v>5</v>
      </c>
      <c r="BQ20" s="14" t="n">
        <v>38766</v>
      </c>
      <c r="BR20" s="617" t="n">
        <v>124.37166674</v>
      </c>
      <c r="BS20" s="617" t="n">
        <v>125.89467361</v>
      </c>
      <c r="BT20" s="617" t="n">
        <v>-1.52300687000013</v>
      </c>
      <c r="BU20" s="617" t="n">
        <v>4977.93832586</v>
      </c>
      <c r="BV20" s="617" t="n">
        <v>5007.89808253</v>
      </c>
      <c r="BW20" s="17" t="n">
        <v>0</v>
      </c>
      <c r="BX20" s="618" t="n">
        <v>0</v>
      </c>
      <c r="BY20" s="47" t="inlineStr">
        <is>
          <t>-</t>
        </is>
      </c>
      <c r="BZ20" s="19" t="inlineStr">
        <is>
          <t>xv</t>
        </is>
      </c>
      <c r="CA20" s="15" t="inlineStr">
        <is>
          <t>Gilt Fund with 10 year constant duration</t>
        </is>
      </c>
      <c r="CB20" s="14" t="n">
        <v>5</v>
      </c>
      <c r="CC20" s="14" t="n">
        <v>38270</v>
      </c>
      <c r="CD20" s="617" t="n">
        <v>38.57955166</v>
      </c>
      <c r="CE20" s="617" t="n">
        <v>63.19369291</v>
      </c>
      <c r="CF20" s="617" t="n">
        <v>-24.61414125</v>
      </c>
      <c r="CG20" s="617" t="n">
        <v>4986.56257969</v>
      </c>
      <c r="CH20" s="617" t="n">
        <v>4999.73341286</v>
      </c>
      <c r="CI20" s="17" t="n">
        <v>0</v>
      </c>
      <c r="CJ20" s="618" t="n">
        <v>0</v>
      </c>
      <c r="CK20" s="47" t="inlineStr">
        <is>
          <t>-</t>
        </is>
      </c>
      <c r="CL20" s="16" t="inlineStr">
        <is>
          <t>xv</t>
        </is>
      </c>
      <c r="CM20" s="15" t="inlineStr">
        <is>
          <t>Gilt Fund with 10 year constant duration</t>
        </is>
      </c>
      <c r="CN20" s="14" t="n">
        <v>5</v>
      </c>
      <c r="CO20" s="14" t="n">
        <v>38070</v>
      </c>
      <c r="CP20" s="617" t="n">
        <v>41.8860671800001</v>
      </c>
      <c r="CQ20" s="617" t="n">
        <v>86.0817634699999</v>
      </c>
      <c r="CR20" s="617" t="n">
        <v>-44.1956962899999</v>
      </c>
      <c r="CS20" s="617" t="n">
        <v>4973.68615755</v>
      </c>
      <c r="CT20" s="617" t="n">
        <v>4981.37761046</v>
      </c>
      <c r="CU20" s="17" t="n">
        <v>0</v>
      </c>
      <c r="CV20" s="617" t="n">
        <v>0</v>
      </c>
      <c r="CW20" s="47" t="inlineStr">
        <is>
          <t>-</t>
        </is>
      </c>
      <c r="CX20" s="16" t="inlineStr">
        <is>
          <t>xv</t>
        </is>
      </c>
      <c r="CY20" s="15" t="inlineStr">
        <is>
          <t>Gilt Fund with 10 year constant duration</t>
        </is>
      </c>
      <c r="CZ20" s="14" t="n">
        <v>5</v>
      </c>
      <c r="DA20" s="14" t="n">
        <v>37606</v>
      </c>
      <c r="DB20" s="617" t="n">
        <v>43.5632849</v>
      </c>
      <c r="DC20" s="617" t="n">
        <v>146.63695235</v>
      </c>
      <c r="DD20" s="617" t="n">
        <v>-103.07366745</v>
      </c>
      <c r="DE20" s="617" t="n">
        <v>4877.10610722</v>
      </c>
      <c r="DF20" s="617" t="n">
        <v>4929.84943519</v>
      </c>
      <c r="DG20" s="14" t="n">
        <v>0</v>
      </c>
      <c r="DH20" s="617" t="n">
        <v>0</v>
      </c>
      <c r="DI20" s="2" t="inlineStr">
        <is>
          <t>-</t>
        </is>
      </c>
      <c r="DJ20" s="620" t="inlineStr">
        <is>
          <t>xv</t>
        </is>
      </c>
      <c r="DK20" s="621" t="inlineStr">
        <is>
          <t>Gilt Fund with 10 year constant duration</t>
        </is>
      </c>
      <c r="DL20" s="83" t="n">
        <v>5</v>
      </c>
      <c r="DM20" s="83" t="n">
        <v>37098</v>
      </c>
      <c r="DN20" s="622" t="n">
        <v>67.39247174</v>
      </c>
      <c r="DO20" s="622" t="n">
        <v>80.44791087</v>
      </c>
      <c r="DP20" s="622" t="n">
        <v>-13.05543913</v>
      </c>
      <c r="DQ20" s="622" t="n">
        <v>4865.29402175</v>
      </c>
      <c r="DR20" s="622" t="n">
        <v>4889.26948935</v>
      </c>
      <c r="DS20" s="83" t="n">
        <v>0</v>
      </c>
      <c r="DT20" s="622" t="n">
        <v>0</v>
      </c>
      <c r="DU20" s="2" t="inlineStr">
        <is>
          <t>-</t>
        </is>
      </c>
      <c r="DV20" s="127" t="n"/>
      <c r="DW20" s="128" t="n"/>
      <c r="DX20" s="2" t="inlineStr">
        <is>
          <t>-</t>
        </is>
      </c>
      <c r="DY20" s="127">
        <f>(DN20-DB20)/DB20</f>
        <v/>
      </c>
      <c r="DZ20" s="128">
        <f>(DP20-DD20)/DD20</f>
        <v/>
      </c>
      <c r="EA20" s="129">
        <f>(DR20-DF20)/DF20</f>
        <v/>
      </c>
    </row>
    <row r="21">
      <c r="A21" s="16" t="inlineStr">
        <is>
          <t>xvi</t>
        </is>
      </c>
      <c r="B21" s="15" t="inlineStr">
        <is>
          <t>Floater Fund</t>
        </is>
      </c>
      <c r="C21" s="617" t="n">
        <v>49822.03896239</v>
      </c>
      <c r="D21" s="617" t="n">
        <v>50232.15050281</v>
      </c>
      <c r="E21" s="47" t="inlineStr">
        <is>
          <t>-</t>
        </is>
      </c>
      <c r="F21" s="16" t="inlineStr">
        <is>
          <t>xvi</t>
        </is>
      </c>
      <c r="G21" s="15" t="inlineStr">
        <is>
          <t>Floater Fund</t>
        </is>
      </c>
      <c r="H21" s="14" t="n">
        <v>12</v>
      </c>
      <c r="I21" s="14" t="n">
        <v>197464</v>
      </c>
      <c r="J21" s="617" t="n">
        <v>2171.36770275</v>
      </c>
      <c r="K21" s="617" t="n">
        <v>1600.95956053</v>
      </c>
      <c r="L21" s="617" t="n">
        <v>570.4081422199999</v>
      </c>
      <c r="M21" s="617" t="n">
        <v>50979.75102918</v>
      </c>
      <c r="N21" s="617" t="n">
        <v>50844.96619053</v>
      </c>
      <c r="O21" s="14" t="n">
        <v>0</v>
      </c>
      <c r="P21" s="617" t="n">
        <v>0</v>
      </c>
      <c r="Q21" s="47" t="inlineStr">
        <is>
          <t>-</t>
        </is>
      </c>
      <c r="R21" s="16" t="inlineStr">
        <is>
          <t>xvi</t>
        </is>
      </c>
      <c r="S21" s="15" t="inlineStr">
        <is>
          <t>Floater Fund</t>
        </is>
      </c>
      <c r="T21" s="14" t="n">
        <v>12</v>
      </c>
      <c r="U21" s="14" t="n">
        <v>198875</v>
      </c>
      <c r="V21" s="617" t="n">
        <v>1315.7081737</v>
      </c>
      <c r="W21" s="617" t="n">
        <v>1569.77028835</v>
      </c>
      <c r="X21" s="617" t="n">
        <v>-254.06211465</v>
      </c>
      <c r="Y21" s="617" t="n">
        <v>51205.42255656</v>
      </c>
      <c r="Z21" s="617" t="n">
        <v>51047.24080124</v>
      </c>
      <c r="AA21" s="14" t="n">
        <v>0</v>
      </c>
      <c r="AB21" s="617" t="n">
        <v>0</v>
      </c>
      <c r="AC21" s="47" t="inlineStr">
        <is>
          <t>-</t>
        </is>
      </c>
      <c r="AD21" s="16" t="inlineStr">
        <is>
          <t>xvi</t>
        </is>
      </c>
      <c r="AE21" s="15" t="inlineStr">
        <is>
          <t>Floater Fund</t>
        </is>
      </c>
      <c r="AF21" s="14" t="n">
        <v>12</v>
      </c>
      <c r="AG21" s="14" t="n">
        <v>199600</v>
      </c>
      <c r="AH21" s="617" t="n">
        <v>2667.56245866</v>
      </c>
      <c r="AI21" s="617" t="n">
        <v>2436.83799484</v>
      </c>
      <c r="AJ21" s="617" t="n">
        <v>230.72446382</v>
      </c>
      <c r="AK21" s="617" t="n">
        <v>51668.08151021</v>
      </c>
      <c r="AL21" s="617" t="n">
        <v>51830.59839279</v>
      </c>
      <c r="AM21" s="14" t="n">
        <v>0</v>
      </c>
      <c r="AN21" s="617" t="n">
        <v>0</v>
      </c>
      <c r="AO21" s="47" t="inlineStr">
        <is>
          <t>-</t>
        </is>
      </c>
      <c r="AP21" s="16" t="inlineStr">
        <is>
          <t>xvi</t>
        </is>
      </c>
      <c r="AQ21" s="15" t="inlineStr">
        <is>
          <t>Floater Fund</t>
        </is>
      </c>
      <c r="AR21" s="14" t="n">
        <v>12</v>
      </c>
      <c r="AS21" s="14" t="n">
        <v>199862</v>
      </c>
      <c r="AT21" s="617" t="n">
        <v>2042.59891491</v>
      </c>
      <c r="AU21" s="617" t="n">
        <v>1878.43459027</v>
      </c>
      <c r="AV21" s="617" t="n">
        <v>164.16432464</v>
      </c>
      <c r="AW21" s="617" t="n">
        <v>52161.95667985</v>
      </c>
      <c r="AX21" s="617" t="n">
        <v>51992.37571113</v>
      </c>
      <c r="AY21" s="14" t="n">
        <v>0</v>
      </c>
      <c r="AZ21" s="617" t="n">
        <v>0</v>
      </c>
      <c r="BA21" s="47" t="inlineStr">
        <is>
          <t>-</t>
        </is>
      </c>
      <c r="BB21" s="16" t="inlineStr">
        <is>
          <t>xvi</t>
        </is>
      </c>
      <c r="BC21" s="15" t="inlineStr">
        <is>
          <t>Floater Fund</t>
        </is>
      </c>
      <c r="BD21" s="14" t="n">
        <v>12</v>
      </c>
      <c r="BE21" s="14" t="n">
        <v>200291</v>
      </c>
      <c r="BF21" s="617" t="n">
        <v>1737.82386427</v>
      </c>
      <c r="BG21" s="617" t="n">
        <v>1942.53926939</v>
      </c>
      <c r="BH21" s="617" t="n">
        <v>-204.71540512</v>
      </c>
      <c r="BI21" s="617" t="n">
        <v>52030.54587641</v>
      </c>
      <c r="BJ21" s="617" t="n">
        <v>52456.25413208</v>
      </c>
      <c r="BK21" s="14" t="n">
        <v>0</v>
      </c>
      <c r="BL21" s="617" t="n">
        <v>0</v>
      </c>
      <c r="BM21" s="47" t="inlineStr">
        <is>
          <t>-</t>
        </is>
      </c>
      <c r="BN21" s="19" t="inlineStr">
        <is>
          <t>xvi</t>
        </is>
      </c>
      <c r="BO21" s="15" t="inlineStr">
        <is>
          <t>Floater Fund</t>
        </is>
      </c>
      <c r="BP21" s="14" t="n">
        <v>12</v>
      </c>
      <c r="BQ21" s="14" t="n">
        <v>199240</v>
      </c>
      <c r="BR21" s="617" t="n">
        <v>984.69171366</v>
      </c>
      <c r="BS21" s="617" t="n">
        <v>2510.77598842</v>
      </c>
      <c r="BT21" s="617" t="n">
        <v>-1526.08427476</v>
      </c>
      <c r="BU21" s="617" t="n">
        <v>50821.35458711</v>
      </c>
      <c r="BV21" s="617" t="n">
        <v>51615.00512882</v>
      </c>
      <c r="BW21" s="17" t="n">
        <v>0</v>
      </c>
      <c r="BX21" s="618" t="n">
        <v>0</v>
      </c>
      <c r="BY21" s="47" t="inlineStr">
        <is>
          <t>-</t>
        </is>
      </c>
      <c r="BZ21" s="19" t="inlineStr">
        <is>
          <t>xvi</t>
        </is>
      </c>
      <c r="CA21" s="15" t="inlineStr">
        <is>
          <t>Floater Fund</t>
        </is>
      </c>
      <c r="CB21" s="14" t="n">
        <v>12</v>
      </c>
      <c r="CC21" s="14" t="n">
        <v>198921</v>
      </c>
      <c r="CD21" s="617" t="n">
        <v>1266.32282526</v>
      </c>
      <c r="CE21" s="617" t="n">
        <v>1528.86459787</v>
      </c>
      <c r="CF21" s="617" t="n">
        <v>-262.541772609999</v>
      </c>
      <c r="CG21" s="617" t="n">
        <v>50931.09573452</v>
      </c>
      <c r="CH21" s="617" t="n">
        <v>50918.40432293</v>
      </c>
      <c r="CI21" s="17" t="n">
        <v>0</v>
      </c>
      <c r="CJ21" s="618" t="n">
        <v>0</v>
      </c>
      <c r="CK21" s="47" t="inlineStr">
        <is>
          <t>-</t>
        </is>
      </c>
      <c r="CL21" s="16" t="inlineStr">
        <is>
          <t>xvi</t>
        </is>
      </c>
      <c r="CM21" s="15" t="inlineStr">
        <is>
          <t>Floater Fund</t>
        </is>
      </c>
      <c r="CN21" s="14" t="n">
        <v>12</v>
      </c>
      <c r="CO21" s="14" t="n">
        <v>199167</v>
      </c>
      <c r="CP21" s="617" t="n">
        <v>1477.71350636</v>
      </c>
      <c r="CQ21" s="617" t="n">
        <v>1385.8313671</v>
      </c>
      <c r="CR21" s="617" t="n">
        <v>91.8821392600003</v>
      </c>
      <c r="CS21" s="617" t="n">
        <v>51333.57900838</v>
      </c>
      <c r="CT21" s="617" t="n">
        <v>51199.96124988</v>
      </c>
      <c r="CU21" s="17" t="n">
        <v>0</v>
      </c>
      <c r="CV21" s="617" t="n">
        <v>0</v>
      </c>
      <c r="CW21" s="47" t="inlineStr">
        <is>
          <t>-</t>
        </is>
      </c>
      <c r="CX21" s="16" t="inlineStr">
        <is>
          <t>xvi</t>
        </is>
      </c>
      <c r="CY21" s="15" t="inlineStr">
        <is>
          <t>Floater Fund</t>
        </is>
      </c>
      <c r="CZ21" s="14" t="n">
        <v>12</v>
      </c>
      <c r="DA21" s="14" t="n">
        <v>198710</v>
      </c>
      <c r="DB21" s="617" t="n">
        <v>2723.2887854</v>
      </c>
      <c r="DC21" s="617" t="n">
        <v>2000.85302674</v>
      </c>
      <c r="DD21" s="617" t="n">
        <v>722.4357586599961</v>
      </c>
      <c r="DE21" s="617" t="n">
        <v>52217.24224579</v>
      </c>
      <c r="DF21" s="617" t="n">
        <v>51726.61275063</v>
      </c>
      <c r="DG21" s="14" t="n">
        <v>0</v>
      </c>
      <c r="DH21" s="617" t="n">
        <v>0</v>
      </c>
      <c r="DI21" s="2" t="inlineStr">
        <is>
          <t>-</t>
        </is>
      </c>
      <c r="DJ21" s="620" t="inlineStr">
        <is>
          <t>xvi</t>
        </is>
      </c>
      <c r="DK21" s="621" t="inlineStr">
        <is>
          <t>Floater Fund</t>
        </is>
      </c>
      <c r="DL21" s="83" t="n">
        <v>12</v>
      </c>
      <c r="DM21" s="83" t="n">
        <v>197564</v>
      </c>
      <c r="DN21" s="622" t="n">
        <v>1890.39548709</v>
      </c>
      <c r="DO21" s="622" t="n">
        <v>1621.98018883</v>
      </c>
      <c r="DP21" s="622" t="n">
        <v>268.415298260003</v>
      </c>
      <c r="DQ21" s="622" t="n">
        <v>52573.19235636</v>
      </c>
      <c r="DR21" s="622" t="n">
        <v>52680.26484447</v>
      </c>
      <c r="DS21" s="83" t="n">
        <v>0</v>
      </c>
      <c r="DT21" s="622" t="n">
        <v>0</v>
      </c>
      <c r="DU21" s="2" t="inlineStr">
        <is>
          <t>-</t>
        </is>
      </c>
      <c r="DV21" s="127" t="n"/>
      <c r="DW21" s="128" t="n"/>
      <c r="DX21" s="2" t="inlineStr">
        <is>
          <t>-</t>
        </is>
      </c>
      <c r="DY21" s="127">
        <f>(DN21-DB21)/DB21</f>
        <v/>
      </c>
      <c r="DZ21" s="128">
        <f>(DP21-DD21)/DD21</f>
        <v/>
      </c>
      <c r="EA21" s="129">
        <f>(DR21-DF21)/DF21</f>
        <v/>
      </c>
    </row>
    <row r="22">
      <c r="A22" s="25" t="n"/>
      <c r="B22" s="25" t="inlineStr">
        <is>
          <t>Sub Total - I (i+ii+iii+iv+v+vi+vii+viii+ix+x+xi+xii+xiii+xiv+xv+xvi)</t>
        </is>
      </c>
      <c r="C22" s="24">
        <f>SUM(C6:C21)</f>
        <v/>
      </c>
      <c r="D22" s="24">
        <f>SUM(D6:D21)</f>
        <v/>
      </c>
      <c r="E22" s="47" t="inlineStr">
        <is>
          <t>-</t>
        </is>
      </c>
      <c r="F22" s="25" t="n"/>
      <c r="G22" s="25" t="inlineStr">
        <is>
          <t>Sub Total - I (i+ii+iii+iv+v+vi+vii+viii+ix+x+xi+xii+xiii+xiv+xv+xvi)</t>
        </is>
      </c>
      <c r="H22" s="24">
        <f>SUM(H6:H21)</f>
        <v/>
      </c>
      <c r="I22" s="24">
        <f>SUM(I6:I21)</f>
        <v/>
      </c>
      <c r="J22" s="24">
        <f>SUM(J6:J21)</f>
        <v/>
      </c>
      <c r="K22" s="24">
        <f>SUM(K6:K21)</f>
        <v/>
      </c>
      <c r="L22" s="24">
        <f>SUM(L6:L21)</f>
        <v/>
      </c>
      <c r="M22" s="24">
        <f>SUM(M6:M21)</f>
        <v/>
      </c>
      <c r="N22" s="24">
        <f>SUM(N6:N21)</f>
        <v/>
      </c>
      <c r="O22" s="24">
        <f>SUM(O6:O21)</f>
        <v/>
      </c>
      <c r="P22" s="626">
        <f>SUM(P6:P21)</f>
        <v/>
      </c>
      <c r="Q22" s="47" t="inlineStr">
        <is>
          <t>-</t>
        </is>
      </c>
      <c r="R22" s="25" t="n"/>
      <c r="S22" s="25" t="inlineStr">
        <is>
          <t>Sub Total - I (i+ii+iii+iv+v+vi+vii+viii+ix+x+xi+xii+xiii+xiv+xv+xvi)</t>
        </is>
      </c>
      <c r="T22" s="24">
        <f>SUM(T6:T21)</f>
        <v/>
      </c>
      <c r="U22" s="24">
        <f>SUM(U6:U21)</f>
        <v/>
      </c>
      <c r="V22" s="24">
        <f>SUM(V6:V21)</f>
        <v/>
      </c>
      <c r="W22" s="24">
        <f>SUM(W6:W21)</f>
        <v/>
      </c>
      <c r="X22" s="24">
        <f>SUM(X6:X21)</f>
        <v/>
      </c>
      <c r="Y22" s="24">
        <f>SUM(Y6:Y21)</f>
        <v/>
      </c>
      <c r="Z22" s="24">
        <f>SUM(Z6:Z21)</f>
        <v/>
      </c>
      <c r="AA22" s="24">
        <f>SUM(AA6:AA21)</f>
        <v/>
      </c>
      <c r="AB22" s="626">
        <f>SUM(AB6:AB21)</f>
        <v/>
      </c>
      <c r="AC22" s="47" t="inlineStr">
        <is>
          <t>-</t>
        </is>
      </c>
      <c r="AD22" s="25" t="n"/>
      <c r="AE22" s="25" t="inlineStr">
        <is>
          <t>Sub Total - I (i+ii+iii+iv+v+vi+vii+viii+ix+x+xi+xii+xiii+xiv+xv+xvi)</t>
        </is>
      </c>
      <c r="AF22" s="24">
        <f>SUM(AF6:AF21)</f>
        <v/>
      </c>
      <c r="AG22" s="24">
        <f>SUM(AG6:AG21)</f>
        <v/>
      </c>
      <c r="AH22" s="24">
        <f>SUM(AH6:AH21)</f>
        <v/>
      </c>
      <c r="AI22" s="24">
        <f>SUM(AI6:AI21)</f>
        <v/>
      </c>
      <c r="AJ22" s="24">
        <f>SUM(AJ6:AJ21)</f>
        <v/>
      </c>
      <c r="AK22" s="24">
        <f>SUM(AK6:AK21)</f>
        <v/>
      </c>
      <c r="AL22" s="24">
        <f>SUM(AL6:AL21)</f>
        <v/>
      </c>
      <c r="AM22" s="24">
        <f>SUM(AM6:AM21)</f>
        <v/>
      </c>
      <c r="AN22" s="626">
        <f>SUM(AN6:AN21)</f>
        <v/>
      </c>
      <c r="AO22" s="47" t="inlineStr">
        <is>
          <t>-</t>
        </is>
      </c>
      <c r="AP22" s="25" t="n"/>
      <c r="AQ22" s="25" t="inlineStr">
        <is>
          <t>Sub Total - I (i+ii+iii+iv+v+vi+vii+viii+ix+x+xi+xii+xiii+xiv+xv+xvi)</t>
        </is>
      </c>
      <c r="AR22" s="24">
        <f>SUM(AR6:AR21)</f>
        <v/>
      </c>
      <c r="AS22" s="24">
        <f>SUM(AS6:AS21)</f>
        <v/>
      </c>
      <c r="AT22" s="24">
        <f>SUM(AT6:AT21)</f>
        <v/>
      </c>
      <c r="AU22" s="24">
        <f>SUM(AU6:AU21)</f>
        <v/>
      </c>
      <c r="AV22" s="24">
        <f>SUM(AV6:AV21)</f>
        <v/>
      </c>
      <c r="AW22" s="24">
        <f>SUM(AW6:AW21)</f>
        <v/>
      </c>
      <c r="AX22" s="24">
        <f>SUM(AX6:AX21)</f>
        <v/>
      </c>
      <c r="AY22" s="24">
        <f>SUM(AY6:AY21)</f>
        <v/>
      </c>
      <c r="AZ22" s="626">
        <f>SUM(AZ6:AZ21)</f>
        <v/>
      </c>
      <c r="BA22" s="47" t="inlineStr">
        <is>
          <t>-</t>
        </is>
      </c>
      <c r="BB22" s="25" t="n"/>
      <c r="BC22" s="25" t="inlineStr">
        <is>
          <t>Sub Total - I (i+ii+iii+iv+v+vi+vii+viii+ix+x+xi+xii+xiii+xiv+xv+xvi)</t>
        </is>
      </c>
      <c r="BD22" s="24">
        <f>SUM(BD6:BD21)</f>
        <v/>
      </c>
      <c r="BE22" s="24">
        <f>SUM(BE6:BE21)</f>
        <v/>
      </c>
      <c r="BF22" s="24">
        <f>SUM(BF6:BF21)</f>
        <v/>
      </c>
      <c r="BG22" s="24">
        <f>SUM(BG6:BG21)</f>
        <v/>
      </c>
      <c r="BH22" s="24">
        <f>SUM(BH6:BH21)</f>
        <v/>
      </c>
      <c r="BI22" s="24">
        <f>SUM(BI6:BI21)</f>
        <v/>
      </c>
      <c r="BJ22" s="24">
        <f>SUM(BJ6:BJ21)</f>
        <v/>
      </c>
      <c r="BK22" s="24">
        <f>SUM(BK6:BK21)</f>
        <v/>
      </c>
      <c r="BL22" s="626">
        <f>SUM(BL6:BL21)</f>
        <v/>
      </c>
      <c r="BM22" s="47" t="inlineStr">
        <is>
          <t>-</t>
        </is>
      </c>
      <c r="BN22" s="25" t="n"/>
      <c r="BO22" s="25" t="inlineStr">
        <is>
          <t>Sub Total - I (i+ii+iii+iv+v+vi+vii+viii+ix+x+xi+xii+xiii+xiv+xv+xvi)</t>
        </is>
      </c>
      <c r="BP22" s="24">
        <f>SUM(BP6:BP21)</f>
        <v/>
      </c>
      <c r="BQ22" s="24">
        <f>SUM(BQ6:BQ21)</f>
        <v/>
      </c>
      <c r="BR22" s="24">
        <f>SUM(BR6:BR21)</f>
        <v/>
      </c>
      <c r="BS22" s="24">
        <f>SUM(BS6:BS21)</f>
        <v/>
      </c>
      <c r="BT22" s="24">
        <f>SUM(BT6:BT21)</f>
        <v/>
      </c>
      <c r="BU22" s="24">
        <f>SUM(BU6:BU21)</f>
        <v/>
      </c>
      <c r="BV22" s="24">
        <f>SUM(BV6:BV21)</f>
        <v/>
      </c>
      <c r="BW22" s="24">
        <f>SUM(BW6:BW21)</f>
        <v/>
      </c>
      <c r="BX22" s="626">
        <f>SUM(BX6:BX21)</f>
        <v/>
      </c>
      <c r="BY22" s="47" t="inlineStr">
        <is>
          <t>-</t>
        </is>
      </c>
      <c r="BZ22" s="25" t="n"/>
      <c r="CA22" s="25" t="inlineStr">
        <is>
          <t>Sub Total - I (i+ii+iii+iv+v+vi+vii+viii+ix+x+xi+xii+xiii+xiv+xv+xvi)</t>
        </is>
      </c>
      <c r="CB22" s="24">
        <f>SUM(CB6:CB21)</f>
        <v/>
      </c>
      <c r="CC22" s="24">
        <f>SUM(CC6:CC21)</f>
        <v/>
      </c>
      <c r="CD22" s="24">
        <f>SUM(CD6:CD21)</f>
        <v/>
      </c>
      <c r="CE22" s="24">
        <f>SUM(CE6:CE21)</f>
        <v/>
      </c>
      <c r="CF22" s="24">
        <f>SUM(CF6:CF21)</f>
        <v/>
      </c>
      <c r="CG22" s="24">
        <f>SUM(CG6:CG21)</f>
        <v/>
      </c>
      <c r="CH22" s="24">
        <f>SUM(CH6:CH21)</f>
        <v/>
      </c>
      <c r="CI22" s="24">
        <f>SUM(CI6:CI21)</f>
        <v/>
      </c>
      <c r="CJ22" s="626">
        <f>SUM(CJ6:CJ21)</f>
        <v/>
      </c>
      <c r="CK22" s="47" t="inlineStr">
        <is>
          <t>-</t>
        </is>
      </c>
      <c r="CL22" s="25" t="n"/>
      <c r="CM22" s="25" t="inlineStr">
        <is>
          <t>Sub Total - I (i+ii+iii+iv+v+vi+vii+viii+ix+x+xi+xii+xiii+xiv+xv+xvi)</t>
        </is>
      </c>
      <c r="CN22" s="24">
        <f>SUM(CN6:CN21)</f>
        <v/>
      </c>
      <c r="CO22" s="24">
        <f>SUM(CO6:CO21)</f>
        <v/>
      </c>
      <c r="CP22" s="24">
        <f>SUM(CP6:CP21)</f>
        <v/>
      </c>
      <c r="CQ22" s="24">
        <f>SUM(CQ6:CQ21)</f>
        <v/>
      </c>
      <c r="CR22" s="24">
        <f>SUM(CR6:CR21)</f>
        <v/>
      </c>
      <c r="CS22" s="24">
        <f>SUM(CS6:CS21)</f>
        <v/>
      </c>
      <c r="CT22" s="24">
        <f>SUM(CT6:CT21)</f>
        <v/>
      </c>
      <c r="CU22" s="24">
        <f>SUM(CU6:CU21)</f>
        <v/>
      </c>
      <c r="CV22" s="626">
        <f>SUM(CV6:CV21)</f>
        <v/>
      </c>
      <c r="CW22" s="47" t="inlineStr">
        <is>
          <t>-</t>
        </is>
      </c>
      <c r="CX22" s="25" t="n"/>
      <c r="CY22" s="25" t="inlineStr">
        <is>
          <t>Sub Total - I (i+ii+iii+iv+v+vi+vii+viii+ix+x+xi+xii+xiii+xiv+xv+xvi)</t>
        </is>
      </c>
      <c r="CZ22" s="24">
        <f>SUM(CZ6:CZ21)</f>
        <v/>
      </c>
      <c r="DA22" s="24">
        <f>SUM(DA6:DA21)</f>
        <v/>
      </c>
      <c r="DB22" s="24">
        <f>SUM(DB6:DB21)</f>
        <v/>
      </c>
      <c r="DC22" s="24">
        <f>SUM(DC6:DC21)</f>
        <v/>
      </c>
      <c r="DD22" s="74">
        <f>SUM(DD6:DD21)</f>
        <v/>
      </c>
      <c r="DE22" s="108">
        <f>SUM(DE6:DE21)</f>
        <v/>
      </c>
      <c r="DF22" s="24">
        <f>SUM(DF6:DF21)</f>
        <v/>
      </c>
      <c r="DG22" s="24">
        <f>SUM(DG6:DG21)</f>
        <v/>
      </c>
      <c r="DH22" s="626">
        <f>SUM(DH6:DH21)</f>
        <v/>
      </c>
      <c r="DI22" s="47" t="inlineStr">
        <is>
          <t>-</t>
        </is>
      </c>
      <c r="DJ22" s="627" t="n"/>
      <c r="DK22" s="627" t="inlineStr">
        <is>
          <t>Sub Total - I (i+ii+iii+iv+v+vi+vii+viii+ix+x+xi+xii+xiii+xiv+xv+xvi)</t>
        </is>
      </c>
      <c r="DL22" s="24">
        <f>SUM(DL6:DL21)</f>
        <v/>
      </c>
      <c r="DM22" s="24">
        <f>SUM(DM6:DM21)</f>
        <v/>
      </c>
      <c r="DN22" s="24">
        <f>SUM(DN6:DN21)</f>
        <v/>
      </c>
      <c r="DO22" s="24">
        <f>SUM(DO6:DO21)</f>
        <v/>
      </c>
      <c r="DP22" s="74">
        <f>SUM(DP6:DP21)</f>
        <v/>
      </c>
      <c r="DQ22" s="108">
        <f>SUM(DQ6:DQ21)</f>
        <v/>
      </c>
      <c r="DR22" s="24">
        <f>SUM(DR6:DR21)</f>
        <v/>
      </c>
      <c r="DS22" s="24">
        <f>SUM(DS6:DS21)</f>
        <v/>
      </c>
      <c r="DT22" s="626">
        <f>SUM(DT6:DT21)</f>
        <v/>
      </c>
      <c r="DU22" s="47" t="inlineStr">
        <is>
          <t>-</t>
        </is>
      </c>
      <c r="DV22" s="127" t="n"/>
      <c r="DW22" s="128" t="n"/>
      <c r="DX22" s="47" t="inlineStr">
        <is>
          <t>-</t>
        </is>
      </c>
      <c r="DY22" s="127">
        <f>(DN22-DB22)/DB22</f>
        <v/>
      </c>
      <c r="DZ22" s="128">
        <f>(DP22-DD22)/DD22</f>
        <v/>
      </c>
      <c r="EA22" s="129">
        <f>(DR22-DF22)/DF22</f>
        <v/>
      </c>
    </row>
    <row r="23">
      <c r="A23" s="504" t="n"/>
      <c r="B23" s="7" t="n"/>
      <c r="C23" s="628" t="n"/>
      <c r="D23" s="628" t="n"/>
      <c r="E23" s="47" t="inlineStr">
        <is>
          <t>-</t>
        </is>
      </c>
      <c r="F23" s="504" t="n"/>
      <c r="G23" s="7" t="n"/>
      <c r="H23" s="53" t="n"/>
      <c r="I23" s="53" t="n"/>
      <c r="J23" s="628" t="n"/>
      <c r="K23" s="628" t="n"/>
      <c r="L23" s="628" t="n"/>
      <c r="M23" s="628" t="n"/>
      <c r="N23" s="628" t="n"/>
      <c r="O23" s="53" t="n"/>
      <c r="P23" s="628" t="n"/>
      <c r="Q23" s="47" t="inlineStr">
        <is>
          <t>-</t>
        </is>
      </c>
      <c r="R23" s="504" t="n"/>
      <c r="S23" s="7" t="n"/>
      <c r="T23" s="53" t="n"/>
      <c r="U23" s="53" t="n"/>
      <c r="V23" s="628" t="n"/>
      <c r="W23" s="628" t="n"/>
      <c r="X23" s="628" t="n"/>
      <c r="Y23" s="628" t="n"/>
      <c r="Z23" s="628" t="n"/>
      <c r="AA23" s="53" t="n"/>
      <c r="AB23" s="628" t="n"/>
      <c r="AC23" s="47" t="inlineStr">
        <is>
          <t>-</t>
        </is>
      </c>
      <c r="AD23" s="504" t="n"/>
      <c r="AE23" s="7" t="n"/>
      <c r="AF23" s="53" t="n"/>
      <c r="AG23" s="53" t="n"/>
      <c r="AH23" s="628" t="n"/>
      <c r="AI23" s="628" t="n"/>
      <c r="AJ23" s="628" t="n"/>
      <c r="AK23" s="628" t="n"/>
      <c r="AL23" s="628" t="n"/>
      <c r="AM23" s="53" t="n"/>
      <c r="AN23" s="628" t="n"/>
      <c r="AO23" s="47" t="inlineStr">
        <is>
          <t>-</t>
        </is>
      </c>
      <c r="AP23" s="504" t="n"/>
      <c r="AQ23" s="7" t="n"/>
      <c r="AR23" s="53" t="n"/>
      <c r="AS23" s="53" t="n"/>
      <c r="AT23" s="628" t="n"/>
      <c r="AU23" s="628" t="n"/>
      <c r="AV23" s="628" t="n"/>
      <c r="AW23" s="628" t="n"/>
      <c r="AX23" s="628" t="n"/>
      <c r="AY23" s="53" t="n"/>
      <c r="AZ23" s="628" t="n"/>
      <c r="BA23" s="47" t="inlineStr">
        <is>
          <t>-</t>
        </is>
      </c>
      <c r="BB23" s="504" t="n"/>
      <c r="BC23" s="7" t="n"/>
      <c r="BD23" s="53" t="n"/>
      <c r="BE23" s="53" t="n"/>
      <c r="BF23" s="628" t="n"/>
      <c r="BG23" s="628" t="n"/>
      <c r="BH23" s="628" t="n"/>
      <c r="BI23" s="628" t="n"/>
      <c r="BJ23" s="628" t="n"/>
      <c r="BK23" s="53" t="n"/>
      <c r="BL23" s="628" t="n"/>
      <c r="BM23" s="47" t="inlineStr">
        <is>
          <t>-</t>
        </is>
      </c>
      <c r="BN23" s="55" t="n"/>
      <c r="BO23" s="7" t="n"/>
      <c r="BP23" s="53" t="n"/>
      <c r="BQ23" s="53" t="n"/>
      <c r="BR23" s="628" t="n"/>
      <c r="BS23" s="628" t="n"/>
      <c r="BT23" s="628" t="n"/>
      <c r="BU23" s="628" t="n"/>
      <c r="BV23" s="628" t="n"/>
      <c r="BW23" s="56" t="n"/>
      <c r="BX23" s="629" t="n"/>
      <c r="BY23" s="47" t="inlineStr">
        <is>
          <t>-</t>
        </is>
      </c>
      <c r="BZ23" s="55" t="n"/>
      <c r="CA23" s="7" t="n"/>
      <c r="CB23" s="53" t="n"/>
      <c r="CC23" s="53" t="n"/>
      <c r="CD23" s="628" t="n"/>
      <c r="CE23" s="628" t="n"/>
      <c r="CF23" s="628" t="n"/>
      <c r="CG23" s="628" t="n"/>
      <c r="CH23" s="628" t="n"/>
      <c r="CI23" s="56" t="n"/>
      <c r="CJ23" s="629" t="n"/>
      <c r="CK23" s="47" t="inlineStr">
        <is>
          <t>-</t>
        </is>
      </c>
      <c r="CL23" s="504" t="n"/>
      <c r="CM23" s="7" t="n"/>
      <c r="CN23" s="53" t="n"/>
      <c r="CO23" s="53" t="n"/>
      <c r="CP23" s="628" t="n"/>
      <c r="CQ23" s="628" t="n"/>
      <c r="CR23" s="628" t="n"/>
      <c r="CS23" s="628" t="n"/>
      <c r="CT23" s="628" t="n"/>
      <c r="CU23" s="56" t="n"/>
      <c r="CV23" s="628" t="n"/>
      <c r="CW23" s="47" t="inlineStr">
        <is>
          <t>-</t>
        </is>
      </c>
      <c r="CX23" s="504" t="n"/>
      <c r="CY23" s="7" t="n"/>
      <c r="CZ23" s="53" t="n"/>
      <c r="DA23" s="53" t="n"/>
      <c r="DB23" s="628" t="n"/>
      <c r="DC23" s="628" t="n"/>
      <c r="DD23" s="628" t="n"/>
      <c r="DE23" s="628" t="n"/>
      <c r="DF23" s="628" t="n"/>
      <c r="DG23" s="53" t="n"/>
      <c r="DH23" s="628" t="n"/>
      <c r="DI23" s="2" t="inlineStr">
        <is>
          <t>-</t>
        </is>
      </c>
      <c r="DJ23" s="616" t="n"/>
      <c r="DK23" s="630" t="n"/>
      <c r="DL23" s="79" t="n"/>
      <c r="DM23" s="79" t="n"/>
      <c r="DN23" s="616" t="n"/>
      <c r="DO23" s="616" t="n"/>
      <c r="DP23" s="616" t="n"/>
      <c r="DQ23" s="616" t="n"/>
      <c r="DR23" s="616" t="n"/>
      <c r="DS23" s="79" t="n"/>
      <c r="DT23" s="616" t="n"/>
      <c r="DU23" s="2" t="inlineStr">
        <is>
          <t>-</t>
        </is>
      </c>
      <c r="DV23" s="103" t="n"/>
      <c r="DW23" s="103" t="n"/>
      <c r="DX23" s="2" t="inlineStr">
        <is>
          <t>-</t>
        </is>
      </c>
      <c r="DY23" s="103" t="inlineStr">
        <is>
          <t>-</t>
        </is>
      </c>
      <c r="DZ23" s="103" t="inlineStr">
        <is>
          <t>-</t>
        </is>
      </c>
      <c r="EA23" s="103" t="inlineStr">
        <is>
          <t>-</t>
        </is>
      </c>
    </row>
    <row r="24">
      <c r="A24" s="503" t="inlineStr">
        <is>
          <t>II</t>
        </is>
      </c>
      <c r="B24" s="20" t="inlineStr">
        <is>
          <t>Growth/Equity Oriented Schemes</t>
        </is>
      </c>
      <c r="C24" s="628" t="n"/>
      <c r="D24" s="628" t="n"/>
      <c r="E24" s="47" t="inlineStr">
        <is>
          <t>-</t>
        </is>
      </c>
      <c r="F24" s="503" t="inlineStr">
        <is>
          <t>II</t>
        </is>
      </c>
      <c r="G24" s="20" t="inlineStr">
        <is>
          <t>Growth/Equity Oriented Schemes</t>
        </is>
      </c>
      <c r="H24" s="53" t="n"/>
      <c r="I24" s="53" t="n"/>
      <c r="J24" s="628" t="n"/>
      <c r="K24" s="628" t="n"/>
      <c r="L24" s="628" t="n"/>
      <c r="M24" s="628" t="n"/>
      <c r="N24" s="628" t="n"/>
      <c r="O24" s="53" t="n"/>
      <c r="P24" s="628" t="n"/>
      <c r="Q24" s="47" t="inlineStr">
        <is>
          <t>-</t>
        </is>
      </c>
      <c r="R24" s="503" t="inlineStr">
        <is>
          <t>II</t>
        </is>
      </c>
      <c r="S24" s="20" t="inlineStr">
        <is>
          <t>Growth/Equity Oriented Schemes</t>
        </is>
      </c>
      <c r="T24" s="53" t="n"/>
      <c r="U24" s="53" t="n"/>
      <c r="V24" s="628" t="n"/>
      <c r="W24" s="628" t="n"/>
      <c r="X24" s="628" t="n"/>
      <c r="Y24" s="628" t="n"/>
      <c r="Z24" s="628" t="n"/>
      <c r="AA24" s="53" t="n"/>
      <c r="AB24" s="628" t="n"/>
      <c r="AC24" s="47" t="inlineStr">
        <is>
          <t>-</t>
        </is>
      </c>
      <c r="AD24" s="503" t="inlineStr">
        <is>
          <t>II</t>
        </is>
      </c>
      <c r="AE24" s="20" t="inlineStr">
        <is>
          <t>Growth/Equity Oriented Schemes</t>
        </is>
      </c>
      <c r="AF24" s="53" t="n"/>
      <c r="AG24" s="53" t="n"/>
      <c r="AH24" s="628" t="n"/>
      <c r="AI24" s="628" t="n"/>
      <c r="AJ24" s="628" t="n"/>
      <c r="AK24" s="628" t="n"/>
      <c r="AL24" s="628" t="n"/>
      <c r="AM24" s="53" t="n"/>
      <c r="AN24" s="628" t="n"/>
      <c r="AO24" s="47" t="inlineStr">
        <is>
          <t>-</t>
        </is>
      </c>
      <c r="AP24" s="503" t="inlineStr">
        <is>
          <t>II</t>
        </is>
      </c>
      <c r="AQ24" s="20" t="inlineStr">
        <is>
          <t>Growth/Equity Oriented Schemes</t>
        </is>
      </c>
      <c r="AR24" s="53" t="n"/>
      <c r="AS24" s="53" t="n"/>
      <c r="AT24" s="628" t="n"/>
      <c r="AU24" s="628" t="n"/>
      <c r="AV24" s="628" t="n"/>
      <c r="AW24" s="628" t="n"/>
      <c r="AX24" s="628" t="n"/>
      <c r="AY24" s="53" t="n"/>
      <c r="AZ24" s="628" t="n"/>
      <c r="BA24" s="47" t="inlineStr">
        <is>
          <t>-</t>
        </is>
      </c>
      <c r="BB24" s="503" t="inlineStr">
        <is>
          <t>II</t>
        </is>
      </c>
      <c r="BC24" s="20" t="inlineStr">
        <is>
          <t>Growth/Equity Oriented Schemes</t>
        </is>
      </c>
      <c r="BD24" s="53" t="n"/>
      <c r="BE24" s="53" t="n"/>
      <c r="BF24" s="628" t="n"/>
      <c r="BG24" s="628" t="n"/>
      <c r="BH24" s="628" t="n"/>
      <c r="BI24" s="628" t="n"/>
      <c r="BJ24" s="628" t="n"/>
      <c r="BK24" s="53" t="n"/>
      <c r="BL24" s="628" t="n"/>
      <c r="BM24" s="47" t="inlineStr">
        <is>
          <t>-</t>
        </is>
      </c>
      <c r="BN24" s="514" t="inlineStr">
        <is>
          <t>II</t>
        </is>
      </c>
      <c r="BO24" s="20" t="inlineStr">
        <is>
          <t>Growth/Equity Oriented Schemes</t>
        </is>
      </c>
      <c r="BP24" s="53" t="n"/>
      <c r="BQ24" s="53" t="n"/>
      <c r="BR24" s="628" t="n"/>
      <c r="BS24" s="628" t="n"/>
      <c r="BT24" s="628" t="n"/>
      <c r="BU24" s="628" t="n"/>
      <c r="BV24" s="628" t="n"/>
      <c r="BW24" s="56" t="n"/>
      <c r="BX24" s="629" t="n"/>
      <c r="BY24" s="47" t="inlineStr">
        <is>
          <t>-</t>
        </is>
      </c>
      <c r="BZ24" s="514" t="inlineStr">
        <is>
          <t>II</t>
        </is>
      </c>
      <c r="CA24" s="20" t="inlineStr">
        <is>
          <t>Growth/Equity Oriented Schemes</t>
        </is>
      </c>
      <c r="CB24" s="53" t="n"/>
      <c r="CC24" s="53" t="n"/>
      <c r="CD24" s="628" t="n"/>
      <c r="CE24" s="628" t="n"/>
      <c r="CF24" s="628" t="n"/>
      <c r="CG24" s="628" t="n"/>
      <c r="CH24" s="628" t="n"/>
      <c r="CI24" s="56" t="n"/>
      <c r="CJ24" s="629" t="n"/>
      <c r="CK24" s="47" t="inlineStr">
        <is>
          <t>-</t>
        </is>
      </c>
      <c r="CL24" s="503" t="inlineStr">
        <is>
          <t>II</t>
        </is>
      </c>
      <c r="CM24" s="20" t="inlineStr">
        <is>
          <t>Growth/Equity Oriented Schemes</t>
        </is>
      </c>
      <c r="CN24" s="53" t="n"/>
      <c r="CO24" s="53" t="n"/>
      <c r="CP24" s="628" t="n"/>
      <c r="CQ24" s="628" t="n"/>
      <c r="CR24" s="628" t="n"/>
      <c r="CS24" s="628" t="n"/>
      <c r="CT24" s="628" t="n"/>
      <c r="CU24" s="56" t="n"/>
      <c r="CV24" s="628" t="n"/>
      <c r="CW24" s="47" t="inlineStr">
        <is>
          <t>-</t>
        </is>
      </c>
      <c r="CX24" s="503" t="inlineStr">
        <is>
          <t>II</t>
        </is>
      </c>
      <c r="CY24" s="20" t="inlineStr">
        <is>
          <t>Growth/Equity Oriented Schemes</t>
        </is>
      </c>
      <c r="CZ24" s="53" t="n"/>
      <c r="DA24" s="53" t="n"/>
      <c r="DB24" s="628" t="n"/>
      <c r="DC24" s="628" t="n"/>
      <c r="DD24" s="628" t="n"/>
      <c r="DE24" s="628" t="n"/>
      <c r="DF24" s="628" t="n"/>
      <c r="DG24" s="53" t="n"/>
      <c r="DH24" s="628" t="n"/>
      <c r="DI24" s="2" t="inlineStr">
        <is>
          <t>-</t>
        </is>
      </c>
      <c r="DJ24" s="612" t="inlineStr">
        <is>
          <t>II</t>
        </is>
      </c>
      <c r="DK24" s="615" t="inlineStr">
        <is>
          <t>Growth/Equity Oriented Schemes</t>
        </is>
      </c>
      <c r="DL24" s="79" t="n"/>
      <c r="DM24" s="79" t="n"/>
      <c r="DN24" s="616" t="n"/>
      <c r="DO24" s="616" t="n"/>
      <c r="DP24" s="616" t="n"/>
      <c r="DQ24" s="616" t="n"/>
      <c r="DR24" s="616" t="n"/>
      <c r="DS24" s="79" t="n"/>
      <c r="DT24" s="616" t="n"/>
      <c r="DU24" s="2" t="inlineStr">
        <is>
          <t>-</t>
        </is>
      </c>
      <c r="DV24" s="103" t="n"/>
      <c r="DW24" s="103" t="n"/>
      <c r="DX24" s="2" t="inlineStr">
        <is>
          <t>-</t>
        </is>
      </c>
      <c r="DY24" s="103" t="inlineStr">
        <is>
          <t>-</t>
        </is>
      </c>
      <c r="DZ24" s="103" t="inlineStr">
        <is>
          <t>-</t>
        </is>
      </c>
      <c r="EA24" s="103" t="inlineStr">
        <is>
          <t>-</t>
        </is>
      </c>
    </row>
    <row r="25">
      <c r="A25" s="16" t="inlineStr">
        <is>
          <t>i</t>
        </is>
      </c>
      <c r="B25" s="15" t="inlineStr">
        <is>
          <t>Multi Cap Fund</t>
        </is>
      </c>
      <c r="C25" s="617" t="n">
        <v>175724.35047094</v>
      </c>
      <c r="D25" s="617" t="n">
        <v>169398.90249618</v>
      </c>
      <c r="E25" s="47" t="inlineStr">
        <is>
          <t>-</t>
        </is>
      </c>
      <c r="F25" s="16" t="inlineStr">
        <is>
          <t>i</t>
        </is>
      </c>
      <c r="G25" s="15" t="inlineStr">
        <is>
          <t>Multi Cap Fund</t>
        </is>
      </c>
      <c r="H25" s="14" t="n">
        <v>30</v>
      </c>
      <c r="I25" s="14" t="n">
        <v>9635087</v>
      </c>
      <c r="J25" s="617" t="n">
        <v>4377.96261201</v>
      </c>
      <c r="K25" s="617" t="n">
        <v>1826.25458725</v>
      </c>
      <c r="L25" s="617" t="n">
        <v>2551.70802476</v>
      </c>
      <c r="M25" s="617" t="n">
        <v>183132.80950848</v>
      </c>
      <c r="N25" s="617" t="n">
        <v>177702.64316186</v>
      </c>
      <c r="O25" s="14" t="n">
        <v>0</v>
      </c>
      <c r="P25" s="617" t="n">
        <v>0</v>
      </c>
      <c r="Q25" s="47" t="inlineStr">
        <is>
          <t>-</t>
        </is>
      </c>
      <c r="R25" s="16" t="inlineStr">
        <is>
          <t>i</t>
        </is>
      </c>
      <c r="S25" s="15" t="inlineStr">
        <is>
          <t>Multi Cap Fund</t>
        </is>
      </c>
      <c r="T25" s="14" t="n">
        <v>31</v>
      </c>
      <c r="U25" s="14" t="n">
        <v>9826483</v>
      </c>
      <c r="V25" s="617" t="n">
        <v>5240.15895517</v>
      </c>
      <c r="W25" s="617" t="n">
        <v>2240.87310144</v>
      </c>
      <c r="X25" s="617" t="n">
        <v>2999.28585373</v>
      </c>
      <c r="Y25" s="617" t="n">
        <v>195159.76381128</v>
      </c>
      <c r="Z25" s="617" t="n">
        <v>188891.16962398</v>
      </c>
      <c r="AA25" s="14" t="n">
        <v>0</v>
      </c>
      <c r="AB25" s="617" t="n">
        <v>0</v>
      </c>
      <c r="AC25" s="47" t="inlineStr">
        <is>
          <t>-</t>
        </is>
      </c>
      <c r="AD25" s="16" t="inlineStr">
        <is>
          <t>i</t>
        </is>
      </c>
      <c r="AE25" s="15" t="inlineStr">
        <is>
          <t>Multi Cap Fund</t>
        </is>
      </c>
      <c r="AF25" s="14" t="n">
        <v>31</v>
      </c>
      <c r="AG25" s="14" t="n">
        <v>10058599</v>
      </c>
      <c r="AH25" s="617" t="n">
        <v>4717.89814996</v>
      </c>
      <c r="AI25" s="617" t="n">
        <v>1923.69634386</v>
      </c>
      <c r="AJ25" s="617" t="n">
        <v>2794.2018061</v>
      </c>
      <c r="AK25" s="617" t="n">
        <v>204689.93958085</v>
      </c>
      <c r="AL25" s="617" t="n">
        <v>199461.03524393</v>
      </c>
      <c r="AM25" s="14" t="n">
        <v>0</v>
      </c>
      <c r="AN25" s="617" t="n">
        <v>0</v>
      </c>
      <c r="AO25" s="47" t="inlineStr">
        <is>
          <t>-</t>
        </is>
      </c>
      <c r="AP25" s="16" t="inlineStr">
        <is>
          <t>i</t>
        </is>
      </c>
      <c r="AQ25" s="15" t="inlineStr">
        <is>
          <t>Multi Cap Fund</t>
        </is>
      </c>
      <c r="AR25" s="14" t="n">
        <v>32</v>
      </c>
      <c r="AS25" s="14" t="n">
        <v>10357646</v>
      </c>
      <c r="AT25" s="617" t="n">
        <v>5961.12869999</v>
      </c>
      <c r="AU25" s="617" t="n">
        <v>1970.2899973</v>
      </c>
      <c r="AV25" s="617" t="n">
        <v>3990.83870269</v>
      </c>
      <c r="AW25" s="617" t="n">
        <v>205281.88905943</v>
      </c>
      <c r="AX25" s="617" t="n">
        <v>205917.39326473</v>
      </c>
      <c r="AY25" s="14" t="n">
        <v>0</v>
      </c>
      <c r="AZ25" s="617" t="n">
        <v>0</v>
      </c>
      <c r="BA25" s="47" t="inlineStr">
        <is>
          <t>-</t>
        </is>
      </c>
      <c r="BB25" s="16" t="inlineStr">
        <is>
          <t>i</t>
        </is>
      </c>
      <c r="BC25" s="15" t="inlineStr">
        <is>
          <t>Multi Cap Fund</t>
        </is>
      </c>
      <c r="BD25" s="14" t="n">
        <v>32</v>
      </c>
      <c r="BE25" s="14" t="n">
        <v>10582438</v>
      </c>
      <c r="BF25" s="617" t="n">
        <v>4812.78170375</v>
      </c>
      <c r="BG25" s="617" t="n">
        <v>1619.72674704</v>
      </c>
      <c r="BH25" s="617" t="n">
        <v>3193.05495671</v>
      </c>
      <c r="BI25" s="617" t="n">
        <v>205141.4845769</v>
      </c>
      <c r="BJ25" s="617" t="n">
        <v>205535.8131713</v>
      </c>
      <c r="BK25" s="14" t="n">
        <v>0</v>
      </c>
      <c r="BL25" s="617" t="n">
        <v>0</v>
      </c>
      <c r="BM25" s="47" t="inlineStr">
        <is>
          <t>-</t>
        </is>
      </c>
      <c r="BN25" s="19" t="inlineStr">
        <is>
          <t>i</t>
        </is>
      </c>
      <c r="BO25" s="15" t="inlineStr">
        <is>
          <t>Multi Cap Fund</t>
        </is>
      </c>
      <c r="BP25" s="14" t="n">
        <v>32</v>
      </c>
      <c r="BQ25" s="14" t="n">
        <v>10786468</v>
      </c>
      <c r="BR25" s="617" t="n">
        <v>5783.80144413</v>
      </c>
      <c r="BS25" s="617" t="n">
        <v>2224.23574369</v>
      </c>
      <c r="BT25" s="617" t="n">
        <v>3559.56570044</v>
      </c>
      <c r="BU25" s="617" t="n">
        <v>210368.98546469</v>
      </c>
      <c r="BV25" s="617" t="n">
        <v>212137.46837497</v>
      </c>
      <c r="BW25" s="17" t="n">
        <v>0</v>
      </c>
      <c r="BX25" s="618" t="n">
        <v>0</v>
      </c>
      <c r="BY25" s="47" t="inlineStr">
        <is>
          <t>-</t>
        </is>
      </c>
      <c r="BZ25" s="19" t="inlineStr">
        <is>
          <t>i</t>
        </is>
      </c>
      <c r="CA25" s="15" t="inlineStr">
        <is>
          <t>Multi Cap Fund</t>
        </is>
      </c>
      <c r="CB25" s="14" t="n">
        <v>32</v>
      </c>
      <c r="CC25" s="14" t="n">
        <v>10912552</v>
      </c>
      <c r="CD25" s="617" t="n">
        <v>4903.94117614</v>
      </c>
      <c r="CE25" s="617" t="n">
        <v>2403.50842212</v>
      </c>
      <c r="CF25" s="617" t="n">
        <v>2500.43275402</v>
      </c>
      <c r="CG25" s="617" t="n">
        <v>220254.62921996</v>
      </c>
      <c r="CH25" s="617" t="n">
        <v>217508.31871895</v>
      </c>
      <c r="CI25" s="17" t="n">
        <v>0</v>
      </c>
      <c r="CJ25" s="618" t="n">
        <v>0</v>
      </c>
      <c r="CK25" s="47" t="inlineStr">
        <is>
          <t>-</t>
        </is>
      </c>
      <c r="CL25" s="16" t="inlineStr">
        <is>
          <t>i</t>
        </is>
      </c>
      <c r="CM25" s="15" t="inlineStr">
        <is>
          <t>Multi Cap Fund</t>
        </is>
      </c>
      <c r="CN25" s="14" t="n">
        <v>32</v>
      </c>
      <c r="CO25" s="14" t="n">
        <v>11066021</v>
      </c>
      <c r="CP25" s="617" t="n">
        <v>5011.85378116999</v>
      </c>
      <c r="CQ25" s="617" t="n">
        <v>2549.008811</v>
      </c>
      <c r="CR25" s="617" t="n">
        <v>2462.84497016999</v>
      </c>
      <c r="CS25" s="617" t="n">
        <v>222749.02802933</v>
      </c>
      <c r="CT25" s="617" t="n">
        <v>221497.61697059</v>
      </c>
      <c r="CU25" s="17" t="n">
        <v>0</v>
      </c>
      <c r="CV25" s="617" t="n">
        <v>0</v>
      </c>
      <c r="CW25" s="47" t="inlineStr">
        <is>
          <t>-</t>
        </is>
      </c>
      <c r="CX25" s="16" t="inlineStr">
        <is>
          <t>i</t>
        </is>
      </c>
      <c r="CY25" s="15" t="inlineStr">
        <is>
          <t>Multi Cap Fund</t>
        </is>
      </c>
      <c r="CZ25" s="14" t="n">
        <v>32</v>
      </c>
      <c r="DA25" s="14" t="n">
        <v>11173881</v>
      </c>
      <c r="DB25" s="617" t="n">
        <v>5163.28365373</v>
      </c>
      <c r="DC25" s="617" t="n">
        <v>2908.33033369</v>
      </c>
      <c r="DD25" s="617" t="n">
        <v>2254.95332004</v>
      </c>
      <c r="DE25" s="624" t="n">
        <v>223101.78758391</v>
      </c>
      <c r="DF25" s="617" t="n">
        <v>221480.11918885</v>
      </c>
      <c r="DG25" s="14" t="n">
        <v>0</v>
      </c>
      <c r="DH25" s="617" t="n">
        <v>0</v>
      </c>
      <c r="DI25" s="2" t="inlineStr">
        <is>
          <t>-</t>
        </is>
      </c>
      <c r="DJ25" s="620" t="inlineStr">
        <is>
          <t>i</t>
        </is>
      </c>
      <c r="DK25" s="621" t="inlineStr">
        <is>
          <t>Multi Cap Fund</t>
        </is>
      </c>
      <c r="DL25" s="83" t="n">
        <v>32</v>
      </c>
      <c r="DM25" s="83" t="n">
        <v>11272944</v>
      </c>
      <c r="DN25" s="622" t="n">
        <v>5043.04526273</v>
      </c>
      <c r="DO25" s="622" t="n">
        <v>3047.81317405</v>
      </c>
      <c r="DP25" s="622" t="n">
        <v>1995.23208868</v>
      </c>
      <c r="DQ25" s="625" t="n">
        <v>216445.38892108</v>
      </c>
      <c r="DR25" s="622" t="n">
        <v>218817.57505425</v>
      </c>
      <c r="DS25" s="83" t="n">
        <v>0</v>
      </c>
      <c r="DT25" s="622" t="n">
        <v>0</v>
      </c>
      <c r="DU25" s="2" t="inlineStr">
        <is>
          <t>-</t>
        </is>
      </c>
      <c r="DV25" s="127" t="n"/>
      <c r="DW25" s="128" t="n"/>
      <c r="DX25" s="2" t="inlineStr">
        <is>
          <t>-</t>
        </is>
      </c>
      <c r="DY25" s="127">
        <f>(DN25-DB25)/DB25</f>
        <v/>
      </c>
      <c r="DZ25" s="128">
        <f>(DP25-DD25)/DD25</f>
        <v/>
      </c>
      <c r="EA25" s="129">
        <f>(DR25-DF25)/DF25</f>
        <v/>
      </c>
    </row>
    <row r="26">
      <c r="A26" s="16" t="inlineStr">
        <is>
          <t>ii</t>
        </is>
      </c>
      <c r="B26" s="15" t="inlineStr">
        <is>
          <t>Large Cap Fund</t>
        </is>
      </c>
      <c r="C26" s="617" t="n">
        <v>359775.39060436</v>
      </c>
      <c r="D26" s="617" t="n">
        <v>348889.451102</v>
      </c>
      <c r="E26" s="47" t="inlineStr">
        <is>
          <t>-</t>
        </is>
      </c>
      <c r="F26" s="16" t="inlineStr">
        <is>
          <t>ii</t>
        </is>
      </c>
      <c r="G26" s="15" t="inlineStr">
        <is>
          <t>Large Cap Fund</t>
        </is>
      </c>
      <c r="H26" s="14" t="n">
        <v>33</v>
      </c>
      <c r="I26" s="14" t="n">
        <v>16090916</v>
      </c>
      <c r="J26" s="617" t="n">
        <v>5891.4497738</v>
      </c>
      <c r="K26" s="617" t="n">
        <v>3219.98613495</v>
      </c>
      <c r="L26" s="617" t="n">
        <v>2671.46363885</v>
      </c>
      <c r="M26" s="617" t="n">
        <v>374519.71010756</v>
      </c>
      <c r="N26" s="617" t="n">
        <v>361853.45959419</v>
      </c>
      <c r="O26" s="14" t="n">
        <v>0</v>
      </c>
      <c r="P26" s="617" t="n">
        <v>0</v>
      </c>
      <c r="Q26" s="47" t="inlineStr">
        <is>
          <t>-</t>
        </is>
      </c>
      <c r="R26" s="16" t="inlineStr">
        <is>
          <t>ii</t>
        </is>
      </c>
      <c r="S26" s="15" t="inlineStr">
        <is>
          <t>Large Cap Fund</t>
        </is>
      </c>
      <c r="T26" s="14" t="n">
        <v>33</v>
      </c>
      <c r="U26" s="14" t="n">
        <v>16175181</v>
      </c>
      <c r="V26" s="617" t="n">
        <v>5240.69904301</v>
      </c>
      <c r="W26" s="617" t="n">
        <v>3990.22480503</v>
      </c>
      <c r="X26" s="617" t="n">
        <v>1250.47423798</v>
      </c>
      <c r="Y26" s="617" t="n">
        <v>383666.58564228</v>
      </c>
      <c r="Z26" s="617" t="n">
        <v>380250.63119731</v>
      </c>
      <c r="AA26" s="14" t="n">
        <v>0</v>
      </c>
      <c r="AB26" s="617" t="n">
        <v>0</v>
      </c>
      <c r="AC26" s="47" t="inlineStr">
        <is>
          <t>-</t>
        </is>
      </c>
      <c r="AD26" s="16" t="inlineStr">
        <is>
          <t>ii</t>
        </is>
      </c>
      <c r="AE26" s="15" t="inlineStr">
        <is>
          <t>Large Cap Fund</t>
        </is>
      </c>
      <c r="AF26" s="14" t="n">
        <v>33</v>
      </c>
      <c r="AG26" s="14" t="n">
        <v>16304538</v>
      </c>
      <c r="AH26" s="617" t="n">
        <v>5171.34071952</v>
      </c>
      <c r="AI26" s="617" t="n">
        <v>3477.00887533</v>
      </c>
      <c r="AJ26" s="617" t="n">
        <v>1694.33184419</v>
      </c>
      <c r="AK26" s="617" t="n">
        <v>397470.46665678</v>
      </c>
      <c r="AL26" s="617" t="n">
        <v>389566.40510031</v>
      </c>
      <c r="AM26" s="14" t="n">
        <v>0</v>
      </c>
      <c r="AN26" s="617" t="n">
        <v>0</v>
      </c>
      <c r="AO26" s="47" t="inlineStr">
        <is>
          <t>-</t>
        </is>
      </c>
      <c r="AP26" s="16" t="inlineStr">
        <is>
          <t>ii</t>
        </is>
      </c>
      <c r="AQ26" s="15" t="inlineStr">
        <is>
          <t>Large Cap Fund</t>
        </is>
      </c>
      <c r="AR26" s="14" t="n">
        <v>33</v>
      </c>
      <c r="AS26" s="14" t="n">
        <v>16444374</v>
      </c>
      <c r="AT26" s="617" t="n">
        <v>5503.66657595</v>
      </c>
      <c r="AU26" s="617" t="n">
        <v>3378.57631349</v>
      </c>
      <c r="AV26" s="617" t="n">
        <v>2125.09026246</v>
      </c>
      <c r="AW26" s="617" t="n">
        <v>391762.72899624</v>
      </c>
      <c r="AX26" s="617" t="n">
        <v>394905.26883144</v>
      </c>
      <c r="AY26" s="14" t="n">
        <v>0</v>
      </c>
      <c r="AZ26" s="617" t="n">
        <v>0</v>
      </c>
      <c r="BA26" s="47" t="inlineStr">
        <is>
          <t>-</t>
        </is>
      </c>
      <c r="BB26" s="16" t="inlineStr">
        <is>
          <t>ii</t>
        </is>
      </c>
      <c r="BC26" s="15" t="inlineStr">
        <is>
          <t>Large Cap Fund</t>
        </is>
      </c>
      <c r="BD26" s="14" t="n">
        <v>33</v>
      </c>
      <c r="BE26" s="14" t="n">
        <v>16539476</v>
      </c>
      <c r="BF26" s="617" t="n">
        <v>5475.39808437</v>
      </c>
      <c r="BG26" s="617" t="n">
        <v>2640.51660592</v>
      </c>
      <c r="BH26" s="617" t="n">
        <v>2834.88147845</v>
      </c>
      <c r="BI26" s="617" t="n">
        <v>389982.59098833</v>
      </c>
      <c r="BJ26" s="617" t="n">
        <v>392379.0641337</v>
      </c>
      <c r="BK26" s="14" t="n">
        <v>0</v>
      </c>
      <c r="BL26" s="617" t="n">
        <v>0</v>
      </c>
      <c r="BM26" s="47" t="inlineStr">
        <is>
          <t>-</t>
        </is>
      </c>
      <c r="BN26" s="19" t="inlineStr">
        <is>
          <t>ii</t>
        </is>
      </c>
      <c r="BO26" s="15" t="inlineStr">
        <is>
          <t>Large Cap Fund</t>
        </is>
      </c>
      <c r="BP26" s="14" t="n">
        <v>33</v>
      </c>
      <c r="BQ26" s="14" t="n">
        <v>16625122</v>
      </c>
      <c r="BR26" s="617" t="n">
        <v>5576.81873951</v>
      </c>
      <c r="BS26" s="617" t="n">
        <v>3257.77714462</v>
      </c>
      <c r="BT26" s="617" t="n">
        <v>2319.04159489</v>
      </c>
      <c r="BU26" s="617" t="n">
        <v>395093.32180022</v>
      </c>
      <c r="BV26" s="617" t="n">
        <v>399779.69459429</v>
      </c>
      <c r="BW26" s="17" t="n">
        <v>0</v>
      </c>
      <c r="BX26" s="618" t="n">
        <v>0</v>
      </c>
      <c r="BY26" s="47" t="inlineStr">
        <is>
          <t>-</t>
        </is>
      </c>
      <c r="BZ26" s="19" t="inlineStr">
        <is>
          <t>ii</t>
        </is>
      </c>
      <c r="CA26" s="15" t="inlineStr">
        <is>
          <t>Large Cap Fund</t>
        </is>
      </c>
      <c r="CB26" s="14" t="n">
        <v>33</v>
      </c>
      <c r="CC26" s="14" t="n">
        <v>16696893</v>
      </c>
      <c r="CD26" s="617" t="n">
        <v>5293.26800171</v>
      </c>
      <c r="CE26" s="617" t="n">
        <v>4321.29601526</v>
      </c>
      <c r="CF26" s="617" t="n">
        <v>971.97198645</v>
      </c>
      <c r="CG26" s="617" t="n">
        <v>410156.51085413</v>
      </c>
      <c r="CH26" s="617" t="n">
        <v>407307.68494173</v>
      </c>
      <c r="CI26" s="17" t="n">
        <v>0</v>
      </c>
      <c r="CJ26" s="618" t="n">
        <v>0</v>
      </c>
      <c r="CK26" s="47" t="inlineStr">
        <is>
          <t>-</t>
        </is>
      </c>
      <c r="CL26" s="16" t="inlineStr">
        <is>
          <t>ii</t>
        </is>
      </c>
      <c r="CM26" s="15" t="inlineStr">
        <is>
          <t>Large Cap Fund</t>
        </is>
      </c>
      <c r="CN26" s="14" t="n">
        <v>33</v>
      </c>
      <c r="CO26" s="14" t="n">
        <v>16796845</v>
      </c>
      <c r="CP26" s="617" t="n">
        <v>4942.35690729001</v>
      </c>
      <c r="CQ26" s="617" t="n">
        <v>3302.55225693</v>
      </c>
      <c r="CR26" s="617" t="n">
        <v>1639.80465036001</v>
      </c>
      <c r="CS26" s="617" t="n">
        <v>418524.97741656</v>
      </c>
      <c r="CT26" s="617" t="n">
        <v>413988.87952448</v>
      </c>
      <c r="CU26" s="17" t="n">
        <v>0</v>
      </c>
      <c r="CV26" s="617" t="n">
        <v>0</v>
      </c>
      <c r="CW26" s="47" t="inlineStr">
        <is>
          <t>-</t>
        </is>
      </c>
      <c r="CX26" s="16" t="inlineStr">
        <is>
          <t>ii</t>
        </is>
      </c>
      <c r="CY26" s="15" t="inlineStr">
        <is>
          <t>Large Cap Fund</t>
        </is>
      </c>
      <c r="CZ26" s="14" t="n">
        <v>33</v>
      </c>
      <c r="DA26" s="14" t="n">
        <v>16870064</v>
      </c>
      <c r="DB26" s="617" t="n">
        <v>5499.60241941</v>
      </c>
      <c r="DC26" s="617" t="n">
        <v>3932.17962294</v>
      </c>
      <c r="DD26" s="617" t="n">
        <v>1567.42279647</v>
      </c>
      <c r="DE26" s="624" t="n">
        <v>418726.65441258</v>
      </c>
      <c r="DF26" s="617" t="n">
        <v>417491.5769211</v>
      </c>
      <c r="DG26" s="14" t="n">
        <v>0</v>
      </c>
      <c r="DH26" s="617" t="n">
        <v>0</v>
      </c>
      <c r="DI26" s="2" t="inlineStr">
        <is>
          <t>-</t>
        </is>
      </c>
      <c r="DJ26" s="620" t="inlineStr">
        <is>
          <t>ii</t>
        </is>
      </c>
      <c r="DK26" s="621" t="inlineStr">
        <is>
          <t>Large Cap Fund</t>
        </is>
      </c>
      <c r="DL26" s="83" t="n">
        <v>33</v>
      </c>
      <c r="DM26" s="83" t="n">
        <v>16949451</v>
      </c>
      <c r="DN26" s="622" t="n">
        <v>5523.62901217</v>
      </c>
      <c r="DO26" s="622" t="n">
        <v>3518.65182964</v>
      </c>
      <c r="DP26" s="622" t="n">
        <v>2004.97718253</v>
      </c>
      <c r="DQ26" s="625" t="n">
        <v>408303.50130638</v>
      </c>
      <c r="DR26" s="622" t="n">
        <v>413609.66550237</v>
      </c>
      <c r="DS26" s="83" t="n">
        <v>0</v>
      </c>
      <c r="DT26" s="622" t="n">
        <v>0</v>
      </c>
      <c r="DU26" s="2" t="inlineStr">
        <is>
          <t>-</t>
        </is>
      </c>
      <c r="DV26" s="127" t="n"/>
      <c r="DW26" s="128" t="n"/>
      <c r="DX26" s="2" t="inlineStr">
        <is>
          <t>-</t>
        </is>
      </c>
      <c r="DY26" s="127">
        <f>(DN26-DB26)/DB26</f>
        <v/>
      </c>
      <c r="DZ26" s="128">
        <f>(DP26-DD26)/DD26</f>
        <v/>
      </c>
      <c r="EA26" s="129">
        <f>(DR26-DF26)/DF26</f>
        <v/>
      </c>
    </row>
    <row r="27">
      <c r="A27" s="16" t="inlineStr">
        <is>
          <t>iii</t>
        </is>
      </c>
      <c r="B27" s="15" t="inlineStr">
        <is>
          <t>Large &amp; Mid Cap Fund</t>
        </is>
      </c>
      <c r="C27" s="617" t="n">
        <v>263206.56330922</v>
      </c>
      <c r="D27" s="617" t="n">
        <v>254637.14921192</v>
      </c>
      <c r="E27" s="47" t="inlineStr">
        <is>
          <t>-</t>
        </is>
      </c>
      <c r="F27" s="16" t="inlineStr">
        <is>
          <t>iii</t>
        </is>
      </c>
      <c r="G27" s="15" t="inlineStr">
        <is>
          <t>Large &amp; Mid Cap Fund</t>
        </is>
      </c>
      <c r="H27" s="14" t="n">
        <v>31</v>
      </c>
      <c r="I27" s="14" t="n">
        <v>11957644</v>
      </c>
      <c r="J27" s="617" t="n">
        <v>5485.43275916</v>
      </c>
      <c r="K27" s="617" t="n">
        <v>2933.376566</v>
      </c>
      <c r="L27" s="617" t="n">
        <v>2552.05619316</v>
      </c>
      <c r="M27" s="617" t="n">
        <v>273258.42166549</v>
      </c>
      <c r="N27" s="617" t="n">
        <v>265202.48406459</v>
      </c>
      <c r="O27" s="14" t="n">
        <v>0</v>
      </c>
      <c r="P27" s="617" t="n">
        <v>0</v>
      </c>
      <c r="Q27" s="47" t="inlineStr">
        <is>
          <t>-</t>
        </is>
      </c>
      <c r="R27" s="16" t="inlineStr">
        <is>
          <t>iii</t>
        </is>
      </c>
      <c r="S27" s="15" t="inlineStr">
        <is>
          <t>Large &amp; Mid Cap Fund</t>
        </is>
      </c>
      <c r="T27" s="14" t="n">
        <v>31</v>
      </c>
      <c r="U27" s="14" t="n">
        <v>12069826</v>
      </c>
      <c r="V27" s="617" t="n">
        <v>5352.71747704</v>
      </c>
      <c r="W27" s="617" t="n">
        <v>2662.03010565</v>
      </c>
      <c r="X27" s="617" t="n">
        <v>2690.68737139</v>
      </c>
      <c r="Y27" s="617" t="n">
        <v>287392.49950508</v>
      </c>
      <c r="Z27" s="617" t="n">
        <v>280686.22047332</v>
      </c>
      <c r="AA27" s="14" t="n">
        <v>0</v>
      </c>
      <c r="AB27" s="617" t="n">
        <v>0</v>
      </c>
      <c r="AC27" s="47" t="inlineStr">
        <is>
          <t>-</t>
        </is>
      </c>
      <c r="AD27" s="16" t="inlineStr">
        <is>
          <t>iii</t>
        </is>
      </c>
      <c r="AE27" s="15" t="inlineStr">
        <is>
          <t>Large &amp; Mid Cap Fund</t>
        </is>
      </c>
      <c r="AF27" s="14" t="n">
        <v>32</v>
      </c>
      <c r="AG27" s="14" t="n">
        <v>12262237</v>
      </c>
      <c r="AH27" s="617" t="n">
        <v>5847.93548336</v>
      </c>
      <c r="AI27" s="617" t="n">
        <v>2351.0241513</v>
      </c>
      <c r="AJ27" s="617" t="n">
        <v>3496.91133206</v>
      </c>
      <c r="AK27" s="617" t="n">
        <v>302139.03351577</v>
      </c>
      <c r="AL27" s="617" t="n">
        <v>294474.57736616</v>
      </c>
      <c r="AM27" s="14" t="n">
        <v>0</v>
      </c>
      <c r="AN27" s="617" t="n">
        <v>0</v>
      </c>
      <c r="AO27" s="47" t="inlineStr">
        <is>
          <t>-</t>
        </is>
      </c>
      <c r="AP27" s="16" t="inlineStr">
        <is>
          <t>iii</t>
        </is>
      </c>
      <c r="AQ27" s="15" t="inlineStr">
        <is>
          <t>Large &amp; Mid Cap Fund</t>
        </is>
      </c>
      <c r="AR27" s="14" t="n">
        <v>33</v>
      </c>
      <c r="AS27" s="14" t="n">
        <v>12511660</v>
      </c>
      <c r="AT27" s="617" t="n">
        <v>7399.65698574</v>
      </c>
      <c r="AU27" s="617" t="n">
        <v>2364.94341885</v>
      </c>
      <c r="AV27" s="617" t="n">
        <v>5034.71356689</v>
      </c>
      <c r="AW27" s="617" t="n">
        <v>300972.11446238</v>
      </c>
      <c r="AX27" s="617" t="n">
        <v>302807.7796291</v>
      </c>
      <c r="AY27" s="14" t="n">
        <v>0</v>
      </c>
      <c r="AZ27" s="617" t="n">
        <v>0</v>
      </c>
      <c r="BA27" s="47" t="inlineStr">
        <is>
          <t>-</t>
        </is>
      </c>
      <c r="BB27" s="16" t="inlineStr">
        <is>
          <t>iii</t>
        </is>
      </c>
      <c r="BC27" s="15" t="inlineStr">
        <is>
          <t>Large &amp; Mid Cap Fund</t>
        </is>
      </c>
      <c r="BD27" s="14" t="n">
        <v>33</v>
      </c>
      <c r="BE27" s="14" t="n">
        <v>12691674</v>
      </c>
      <c r="BF27" s="617" t="n">
        <v>5501.95244344</v>
      </c>
      <c r="BG27" s="617" t="n">
        <v>2176.29501869</v>
      </c>
      <c r="BH27" s="617" t="n">
        <v>3325.65742475</v>
      </c>
      <c r="BI27" s="617" t="n">
        <v>299335.04848411</v>
      </c>
      <c r="BJ27" s="617" t="n">
        <v>301161.32598047</v>
      </c>
      <c r="BK27" s="14" t="n">
        <v>0</v>
      </c>
      <c r="BL27" s="617" t="n">
        <v>0</v>
      </c>
      <c r="BM27" s="47" t="inlineStr">
        <is>
          <t>-</t>
        </is>
      </c>
      <c r="BN27" s="19" t="inlineStr">
        <is>
          <t>iii</t>
        </is>
      </c>
      <c r="BO27" s="15" t="inlineStr">
        <is>
          <t>Large &amp; Mid Cap Fund</t>
        </is>
      </c>
      <c r="BP27" s="14" t="n">
        <v>33</v>
      </c>
      <c r="BQ27" s="14" t="n">
        <v>12853471</v>
      </c>
      <c r="BR27" s="617" t="n">
        <v>6769.39971983</v>
      </c>
      <c r="BS27" s="617" t="n">
        <v>2964.23461781</v>
      </c>
      <c r="BT27" s="617" t="n">
        <v>3805.16510202</v>
      </c>
      <c r="BU27" s="617" t="n">
        <v>306903.34852113</v>
      </c>
      <c r="BV27" s="617" t="n">
        <v>309862.40085752</v>
      </c>
      <c r="BW27" s="17" t="n">
        <v>0</v>
      </c>
      <c r="BX27" s="618" t="n">
        <v>0</v>
      </c>
      <c r="BY27" s="47" t="inlineStr">
        <is>
          <t>-</t>
        </is>
      </c>
      <c r="BZ27" s="19" t="inlineStr">
        <is>
          <t>iii</t>
        </is>
      </c>
      <c r="CA27" s="15" t="inlineStr">
        <is>
          <t>Large &amp; Mid Cap Fund</t>
        </is>
      </c>
      <c r="CB27" s="14" t="n">
        <v>33</v>
      </c>
      <c r="CC27" s="14" t="n">
        <v>12989734</v>
      </c>
      <c r="CD27" s="617" t="n">
        <v>6037.21915241</v>
      </c>
      <c r="CE27" s="617" t="n">
        <v>2860.15063497</v>
      </c>
      <c r="CF27" s="617" t="n">
        <v>3177.06851744</v>
      </c>
      <c r="CG27" s="617" t="n">
        <v>322158.20918876</v>
      </c>
      <c r="CH27" s="617" t="n">
        <v>317917.72289514</v>
      </c>
      <c r="CI27" s="17" t="n">
        <v>0</v>
      </c>
      <c r="CJ27" s="618" t="n">
        <v>0</v>
      </c>
      <c r="CK27" s="47" t="inlineStr">
        <is>
          <t>-</t>
        </is>
      </c>
      <c r="CL27" s="16" t="inlineStr">
        <is>
          <t>iii</t>
        </is>
      </c>
      <c r="CM27" s="15" t="inlineStr">
        <is>
          <t>Large &amp; Mid Cap Fund</t>
        </is>
      </c>
      <c r="CN27" s="14" t="n">
        <v>33</v>
      </c>
      <c r="CO27" s="14" t="n">
        <v>13165462</v>
      </c>
      <c r="CP27" s="617" t="n">
        <v>6979.01644581</v>
      </c>
      <c r="CQ27" s="617" t="n">
        <v>2475.7016182</v>
      </c>
      <c r="CR27" s="617" t="n">
        <v>4503.31482761</v>
      </c>
      <c r="CS27" s="617" t="n">
        <v>329325.16180146</v>
      </c>
      <c r="CT27" s="617" t="n">
        <v>325878.91120437</v>
      </c>
      <c r="CU27" s="17" t="n">
        <v>0</v>
      </c>
      <c r="CV27" s="617" t="n">
        <v>0</v>
      </c>
      <c r="CW27" s="47" t="inlineStr">
        <is>
          <t>-</t>
        </is>
      </c>
      <c r="CX27" s="16" t="inlineStr">
        <is>
          <t>iii</t>
        </is>
      </c>
      <c r="CY27" s="15" t="inlineStr">
        <is>
          <t>Large &amp; Mid Cap Fund</t>
        </is>
      </c>
      <c r="CZ27" s="14" t="n">
        <v>33</v>
      </c>
      <c r="DA27" s="14" t="n">
        <v>13297987</v>
      </c>
      <c r="DB27" s="617" t="n">
        <v>7079.15634968</v>
      </c>
      <c r="DC27" s="617" t="n">
        <v>2985.65040163</v>
      </c>
      <c r="DD27" s="617" t="n">
        <v>4093.50594805</v>
      </c>
      <c r="DE27" s="624" t="n">
        <v>331287.38093935</v>
      </c>
      <c r="DF27" s="617" t="n">
        <v>328384.33916913</v>
      </c>
      <c r="DG27" s="14" t="n">
        <v>0</v>
      </c>
      <c r="DH27" s="617" t="n">
        <v>0</v>
      </c>
      <c r="DI27" s="2" t="inlineStr">
        <is>
          <t>-</t>
        </is>
      </c>
      <c r="DJ27" s="620" t="inlineStr">
        <is>
          <t>iii</t>
        </is>
      </c>
      <c r="DK27" s="621" t="inlineStr">
        <is>
          <t>Large &amp; Mid Cap Fund</t>
        </is>
      </c>
      <c r="DL27" s="83" t="n">
        <v>33</v>
      </c>
      <c r="DM27" s="83" t="n">
        <v>13434952</v>
      </c>
      <c r="DN27" s="622" t="n">
        <v>6423.91045071</v>
      </c>
      <c r="DO27" s="622" t="n">
        <v>3242.01955948</v>
      </c>
      <c r="DP27" s="622" t="n">
        <v>3181.89089123</v>
      </c>
      <c r="DQ27" s="625" t="n">
        <v>324621.32522158</v>
      </c>
      <c r="DR27" s="622" t="n">
        <v>327288.01528755</v>
      </c>
      <c r="DS27" s="83" t="n">
        <v>0</v>
      </c>
      <c r="DT27" s="622" t="n">
        <v>0</v>
      </c>
      <c r="DU27" s="2" t="inlineStr">
        <is>
          <t>-</t>
        </is>
      </c>
      <c r="DV27" s="127" t="n"/>
      <c r="DW27" s="128" t="n"/>
      <c r="DX27" s="2" t="inlineStr">
        <is>
          <t>-</t>
        </is>
      </c>
      <c r="DY27" s="127">
        <f>(DN27-DB27)/DB27</f>
        <v/>
      </c>
      <c r="DZ27" s="128">
        <f>(DP27-DD27)/DD27</f>
        <v/>
      </c>
      <c r="EA27" s="129">
        <f>(DR27-DF27)/DF27</f>
        <v/>
      </c>
    </row>
    <row r="28">
      <c r="A28" s="16" t="inlineStr">
        <is>
          <t>iv</t>
        </is>
      </c>
      <c r="B28" s="15" t="inlineStr">
        <is>
          <t>Mid Cap Fund</t>
        </is>
      </c>
      <c r="C28" s="617" t="n">
        <v>368992.07599233</v>
      </c>
      <c r="D28" s="617" t="n">
        <v>356671.84378477</v>
      </c>
      <c r="E28" s="47" t="inlineStr">
        <is>
          <t>-</t>
        </is>
      </c>
      <c r="F28" s="16" t="inlineStr">
        <is>
          <t>iv</t>
        </is>
      </c>
      <c r="G28" s="15" t="inlineStr">
        <is>
          <t>Mid Cap Fund</t>
        </is>
      </c>
      <c r="H28" s="14" t="n">
        <v>30</v>
      </c>
      <c r="I28" s="14" t="n">
        <v>21310959</v>
      </c>
      <c r="J28" s="617" t="n">
        <v>6748.96940719</v>
      </c>
      <c r="K28" s="617" t="n">
        <v>3434.99388188</v>
      </c>
      <c r="L28" s="617" t="n">
        <v>3313.97552531</v>
      </c>
      <c r="M28" s="617" t="n">
        <v>383083.71355494</v>
      </c>
      <c r="N28" s="617" t="n">
        <v>370097.35101234</v>
      </c>
      <c r="O28" s="14" t="n">
        <v>0</v>
      </c>
      <c r="P28" s="617" t="n">
        <v>0</v>
      </c>
      <c r="Q28" s="47" t="inlineStr">
        <is>
          <t>-</t>
        </is>
      </c>
      <c r="R28" s="16" t="inlineStr">
        <is>
          <t>iv</t>
        </is>
      </c>
      <c r="S28" s="15" t="inlineStr">
        <is>
          <t>Mid Cap Fund</t>
        </is>
      </c>
      <c r="T28" s="14" t="n">
        <v>30</v>
      </c>
      <c r="U28" s="14" t="n">
        <v>21538476</v>
      </c>
      <c r="V28" s="617" t="n">
        <v>6812.23985462</v>
      </c>
      <c r="W28" s="617" t="n">
        <v>4003.56014795</v>
      </c>
      <c r="X28" s="617" t="n">
        <v>2808.67970667</v>
      </c>
      <c r="Y28" s="617" t="n">
        <v>408092.68058066</v>
      </c>
      <c r="Z28" s="617" t="n">
        <v>395846.07139674</v>
      </c>
      <c r="AA28" s="14" t="n">
        <v>0</v>
      </c>
      <c r="AB28" s="617" t="n">
        <v>0</v>
      </c>
      <c r="AC28" s="47" t="inlineStr">
        <is>
          <t>-</t>
        </is>
      </c>
      <c r="AD28" s="16" t="inlineStr">
        <is>
          <t>iv</t>
        </is>
      </c>
      <c r="AE28" s="15" t="inlineStr">
        <is>
          <t>Mid Cap Fund</t>
        </is>
      </c>
      <c r="AF28" s="14" t="n">
        <v>30</v>
      </c>
      <c r="AG28" s="14" t="n">
        <v>22005565</v>
      </c>
      <c r="AH28" s="617" t="n">
        <v>7539.52865289</v>
      </c>
      <c r="AI28" s="617" t="n">
        <v>3785.10931978</v>
      </c>
      <c r="AJ28" s="617" t="n">
        <v>3754.41933311</v>
      </c>
      <c r="AK28" s="617" t="n">
        <v>431699.79269591</v>
      </c>
      <c r="AL28" s="617" t="n">
        <v>419404.14019262</v>
      </c>
      <c r="AM28" s="14" t="n">
        <v>0</v>
      </c>
      <c r="AN28" s="617" t="n">
        <v>0</v>
      </c>
      <c r="AO28" s="47" t="inlineStr">
        <is>
          <t>-</t>
        </is>
      </c>
      <c r="AP28" s="16" t="inlineStr">
        <is>
          <t>iv</t>
        </is>
      </c>
      <c r="AQ28" s="15" t="inlineStr">
        <is>
          <t>Mid Cap Fund</t>
        </is>
      </c>
      <c r="AR28" s="14" t="n">
        <v>30</v>
      </c>
      <c r="AS28" s="14" t="n">
        <v>22564162</v>
      </c>
      <c r="AT28" s="617" t="n">
        <v>8711.456725169999</v>
      </c>
      <c r="AU28" s="617" t="n">
        <v>3528.96650189</v>
      </c>
      <c r="AV28" s="617" t="n">
        <v>5182.49022328</v>
      </c>
      <c r="AW28" s="617" t="n">
        <v>428582.49916458</v>
      </c>
      <c r="AX28" s="617" t="n">
        <v>431587.59212204</v>
      </c>
      <c r="AY28" s="14" t="n">
        <v>0</v>
      </c>
      <c r="AZ28" s="617" t="n">
        <v>0</v>
      </c>
      <c r="BA28" s="47" t="inlineStr">
        <is>
          <t>-</t>
        </is>
      </c>
      <c r="BB28" s="16" t="inlineStr">
        <is>
          <t>iv</t>
        </is>
      </c>
      <c r="BC28" s="15" t="inlineStr">
        <is>
          <t>Mid Cap Fund</t>
        </is>
      </c>
      <c r="BD28" s="14" t="n">
        <v>31</v>
      </c>
      <c r="BE28" s="14" t="n">
        <v>23000768</v>
      </c>
      <c r="BF28" s="617" t="n">
        <v>8288.31468766</v>
      </c>
      <c r="BG28" s="617" t="n">
        <v>2957.69018654</v>
      </c>
      <c r="BH28" s="617" t="n">
        <v>5330.62450112</v>
      </c>
      <c r="BI28" s="617" t="n">
        <v>426623.48378171</v>
      </c>
      <c r="BJ28" s="617" t="n">
        <v>428719.13545035</v>
      </c>
      <c r="BK28" s="14" t="n">
        <v>0</v>
      </c>
      <c r="BL28" s="617" t="n">
        <v>0</v>
      </c>
      <c r="BM28" s="47" t="inlineStr">
        <is>
          <t>-</t>
        </is>
      </c>
      <c r="BN28" s="19" t="inlineStr">
        <is>
          <t>iv</t>
        </is>
      </c>
      <c r="BO28" s="15" t="inlineStr">
        <is>
          <t>Mid Cap Fund</t>
        </is>
      </c>
      <c r="BP28" s="14" t="n">
        <v>31</v>
      </c>
      <c r="BQ28" s="14" t="n">
        <v>23343247</v>
      </c>
      <c r="BR28" s="617" t="n">
        <v>8793.49818869</v>
      </c>
      <c r="BS28" s="617" t="n">
        <v>3708.10234892</v>
      </c>
      <c r="BT28" s="617" t="n">
        <v>5085.39583977</v>
      </c>
      <c r="BU28" s="617" t="n">
        <v>433540.2453328</v>
      </c>
      <c r="BV28" s="617" t="n">
        <v>439969.23713339</v>
      </c>
      <c r="BW28" s="17" t="n">
        <v>0</v>
      </c>
      <c r="BX28" s="618" t="n">
        <v>0</v>
      </c>
      <c r="BY28" s="47" t="inlineStr">
        <is>
          <t>-</t>
        </is>
      </c>
      <c r="BZ28" s="19" t="inlineStr">
        <is>
          <t>iv</t>
        </is>
      </c>
      <c r="CA28" s="15" t="inlineStr">
        <is>
          <t>Mid Cap Fund</t>
        </is>
      </c>
      <c r="CB28" s="14" t="n">
        <v>31</v>
      </c>
      <c r="CC28" s="14" t="n">
        <v>23535313</v>
      </c>
      <c r="CD28" s="617" t="n">
        <v>8169.02743156</v>
      </c>
      <c r="CE28" s="617" t="n">
        <v>4361.91558898</v>
      </c>
      <c r="CF28" s="617" t="n">
        <v>3807.11184257999</v>
      </c>
      <c r="CG28" s="617" t="n">
        <v>454606.48502828</v>
      </c>
      <c r="CH28" s="617" t="n">
        <v>449162.62106016</v>
      </c>
      <c r="CI28" s="17" t="n">
        <v>0</v>
      </c>
      <c r="CJ28" s="618" t="n">
        <v>0</v>
      </c>
      <c r="CK28" s="47" t="inlineStr">
        <is>
          <t>-</t>
        </is>
      </c>
      <c r="CL28" s="16" t="inlineStr">
        <is>
          <t>iv</t>
        </is>
      </c>
      <c r="CM28" s="15" t="inlineStr">
        <is>
          <t>Mid Cap Fund</t>
        </is>
      </c>
      <c r="CN28" s="14" t="n">
        <v>31</v>
      </c>
      <c r="CO28" s="14" t="n">
        <v>23815587</v>
      </c>
      <c r="CP28" s="617" t="n">
        <v>8226.13571468</v>
      </c>
      <c r="CQ28" s="617" t="n">
        <v>3739.22209628</v>
      </c>
      <c r="CR28" s="617" t="n">
        <v>4486.9136184</v>
      </c>
      <c r="CS28" s="617" t="n">
        <v>461830.87223761</v>
      </c>
      <c r="CT28" s="617" t="n">
        <v>458447.93127769</v>
      </c>
      <c r="CU28" s="17" t="n">
        <v>0</v>
      </c>
      <c r="CV28" s="617" t="n">
        <v>0</v>
      </c>
      <c r="CW28" s="47" t="inlineStr">
        <is>
          <t>-</t>
        </is>
      </c>
      <c r="CX28" s="16" t="inlineStr">
        <is>
          <t>iv</t>
        </is>
      </c>
      <c r="CY28" s="15" t="inlineStr">
        <is>
          <t>Mid Cap Fund</t>
        </is>
      </c>
      <c r="CZ28" s="14" t="n">
        <v>31</v>
      </c>
      <c r="DA28" s="14" t="n">
        <v>23987318</v>
      </c>
      <c r="DB28" s="617" t="n">
        <v>9004.00886095</v>
      </c>
      <c r="DC28" s="617" t="n">
        <v>4828.20083865</v>
      </c>
      <c r="DD28" s="617" t="n">
        <v>4175.8080223</v>
      </c>
      <c r="DE28" s="624" t="n">
        <v>461271.22804333</v>
      </c>
      <c r="DF28" s="617" t="n">
        <v>458515.51878929</v>
      </c>
      <c r="DG28" s="14" t="n">
        <v>0</v>
      </c>
      <c r="DH28" s="617" t="n">
        <v>0</v>
      </c>
      <c r="DI28" s="2" t="inlineStr">
        <is>
          <t>-</t>
        </is>
      </c>
      <c r="DJ28" s="620" t="inlineStr">
        <is>
          <t>iv</t>
        </is>
      </c>
      <c r="DK28" s="621" t="inlineStr">
        <is>
          <t>Mid Cap Fund</t>
        </is>
      </c>
      <c r="DL28" s="83" t="n">
        <v>31</v>
      </c>
      <c r="DM28" s="83" t="n">
        <v>24168250</v>
      </c>
      <c r="DN28" s="622" t="n">
        <v>8259.57984919001</v>
      </c>
      <c r="DO28" s="622" t="n">
        <v>5074.10543079</v>
      </c>
      <c r="DP28" s="622" t="n">
        <v>3185.4744184</v>
      </c>
      <c r="DQ28" s="625" t="n">
        <v>449438.76302239</v>
      </c>
      <c r="DR28" s="622" t="n">
        <v>454270.77133081</v>
      </c>
      <c r="DS28" s="83" t="n">
        <v>0</v>
      </c>
      <c r="DT28" s="622" t="n">
        <v>0</v>
      </c>
      <c r="DU28" s="2" t="inlineStr">
        <is>
          <t>-</t>
        </is>
      </c>
      <c r="DV28" s="127" t="n"/>
      <c r="DW28" s="128" t="n"/>
      <c r="DX28" s="2" t="inlineStr">
        <is>
          <t>-</t>
        </is>
      </c>
      <c r="DY28" s="127">
        <f>(DN28-DB28)/DB28</f>
        <v/>
      </c>
      <c r="DZ28" s="128">
        <f>(DP28-DD28)/DD28</f>
        <v/>
      </c>
      <c r="EA28" s="129">
        <f>(DR28-DF28)/DF28</f>
        <v/>
      </c>
    </row>
    <row r="29">
      <c r="A29" s="16" t="inlineStr">
        <is>
          <t>v</t>
        </is>
      </c>
      <c r="B29" s="15" t="inlineStr">
        <is>
          <t>Small Cap Fund</t>
        </is>
      </c>
      <c r="C29" s="617" t="n">
        <v>295478.84401928</v>
      </c>
      <c r="D29" s="617" t="n">
        <v>288473.48950492</v>
      </c>
      <c r="E29" s="47" t="inlineStr">
        <is>
          <t>-</t>
        </is>
      </c>
      <c r="F29" s="16" t="inlineStr">
        <is>
          <t>v</t>
        </is>
      </c>
      <c r="G29" s="15" t="inlineStr">
        <is>
          <t>Small Cap Fund</t>
        </is>
      </c>
      <c r="H29" s="14" t="n">
        <v>30</v>
      </c>
      <c r="I29" s="14" t="n">
        <v>25141474</v>
      </c>
      <c r="J29" s="617" t="n">
        <v>7017.90004919</v>
      </c>
      <c r="K29" s="617" t="n">
        <v>3017.94731795</v>
      </c>
      <c r="L29" s="617" t="n">
        <v>3999.95273124</v>
      </c>
      <c r="M29" s="617" t="n">
        <v>307168.10748578</v>
      </c>
      <c r="N29" s="617" t="n">
        <v>302451.85784693</v>
      </c>
      <c r="O29" s="14" t="n">
        <v>0</v>
      </c>
      <c r="P29" s="617" t="n">
        <v>0</v>
      </c>
      <c r="Q29" s="47" t="inlineStr">
        <is>
          <t>-</t>
        </is>
      </c>
      <c r="R29" s="16" t="inlineStr">
        <is>
          <t>v</t>
        </is>
      </c>
      <c r="S29" s="15" t="inlineStr">
        <is>
          <t>Small Cap Fund</t>
        </is>
      </c>
      <c r="T29" s="14" t="n">
        <v>30</v>
      </c>
      <c r="U29" s="14" t="n">
        <v>25248991</v>
      </c>
      <c r="V29" s="617" t="n">
        <v>6754.21259852</v>
      </c>
      <c r="W29" s="617" t="n">
        <v>3540.0069504</v>
      </c>
      <c r="X29" s="617" t="n">
        <v>3214.20564812</v>
      </c>
      <c r="Y29" s="617" t="n">
        <v>336005.20806956</v>
      </c>
      <c r="Z29" s="617" t="n">
        <v>321670.43205941</v>
      </c>
      <c r="AA29" s="14" t="n">
        <v>0</v>
      </c>
      <c r="AB29" s="617" t="n">
        <v>0</v>
      </c>
      <c r="AC29" s="47" t="inlineStr">
        <is>
          <t>-</t>
        </is>
      </c>
      <c r="AD29" s="16" t="inlineStr">
        <is>
          <t>v</t>
        </is>
      </c>
      <c r="AE29" s="15" t="inlineStr">
        <is>
          <t>Small Cap Fund</t>
        </is>
      </c>
      <c r="AF29" s="14" t="n">
        <v>30</v>
      </c>
      <c r="AG29" s="14" t="n">
        <v>25614974</v>
      </c>
      <c r="AH29" s="617" t="n">
        <v>7426.633143</v>
      </c>
      <c r="AI29" s="617" t="n">
        <v>3402.13554721</v>
      </c>
      <c r="AJ29" s="617" t="n">
        <v>4024.49759579</v>
      </c>
      <c r="AK29" s="617" t="n">
        <v>354550.63244336</v>
      </c>
      <c r="AL29" s="617" t="n">
        <v>344307.60395219</v>
      </c>
      <c r="AM29" s="14" t="n">
        <v>0</v>
      </c>
      <c r="AN29" s="617" t="n">
        <v>0</v>
      </c>
      <c r="AO29" s="47" t="inlineStr">
        <is>
          <t>-</t>
        </is>
      </c>
      <c r="AP29" s="16" t="inlineStr">
        <is>
          <t>v</t>
        </is>
      </c>
      <c r="AQ29" s="15" t="inlineStr">
        <is>
          <t>Small Cap Fund</t>
        </is>
      </c>
      <c r="AR29" s="14" t="n">
        <v>31</v>
      </c>
      <c r="AS29" s="14" t="n">
        <v>26255276</v>
      </c>
      <c r="AT29" s="617" t="n">
        <v>9776.24159039</v>
      </c>
      <c r="AU29" s="617" t="n">
        <v>3291.81280514</v>
      </c>
      <c r="AV29" s="617" t="n">
        <v>6484.42878525</v>
      </c>
      <c r="AW29" s="617" t="n">
        <v>355901.83822483</v>
      </c>
      <c r="AX29" s="617" t="n">
        <v>358771.29939674</v>
      </c>
      <c r="AY29" s="14" t="n">
        <v>0</v>
      </c>
      <c r="AZ29" s="617" t="n">
        <v>0</v>
      </c>
      <c r="BA29" s="47" t="inlineStr">
        <is>
          <t>-</t>
        </is>
      </c>
      <c r="BB29" s="16" t="inlineStr">
        <is>
          <t>v</t>
        </is>
      </c>
      <c r="BC29" s="15" t="inlineStr">
        <is>
          <t>Small Cap Fund</t>
        </is>
      </c>
      <c r="BD29" s="14" t="n">
        <v>31</v>
      </c>
      <c r="BE29" s="14" t="n">
        <v>26635485</v>
      </c>
      <c r="BF29" s="617" t="n">
        <v>7619.26169882</v>
      </c>
      <c r="BG29" s="617" t="n">
        <v>2626.35211606</v>
      </c>
      <c r="BH29" s="617" t="n">
        <v>4992.90958276</v>
      </c>
      <c r="BI29" s="617" t="n">
        <v>350555.21389902</v>
      </c>
      <c r="BJ29" s="617" t="n">
        <v>352644.66137703</v>
      </c>
      <c r="BK29" s="14" t="n">
        <v>0</v>
      </c>
      <c r="BL29" s="617" t="n">
        <v>0</v>
      </c>
      <c r="BM29" s="47" t="inlineStr">
        <is>
          <t>-</t>
        </is>
      </c>
      <c r="BN29" s="19" t="inlineStr">
        <is>
          <t>v</t>
        </is>
      </c>
      <c r="BO29" s="15" t="inlineStr">
        <is>
          <t>Small Cap Fund</t>
        </is>
      </c>
      <c r="BP29" s="14" t="n">
        <v>31</v>
      </c>
      <c r="BQ29" s="14" t="n">
        <v>26894961</v>
      </c>
      <c r="BR29" s="617" t="n">
        <v>8065.52090083</v>
      </c>
      <c r="BS29" s="617" t="n">
        <v>3702.60708264</v>
      </c>
      <c r="BT29" s="617" t="n">
        <v>4362.91381819</v>
      </c>
      <c r="BU29" s="617" t="n">
        <v>356740.74637455</v>
      </c>
      <c r="BV29" s="617" t="n">
        <v>362741.69336218</v>
      </c>
      <c r="BW29" s="17" t="n">
        <v>0</v>
      </c>
      <c r="BX29" s="618" t="n">
        <v>0</v>
      </c>
      <c r="BY29" s="47" t="inlineStr">
        <is>
          <t>-</t>
        </is>
      </c>
      <c r="BZ29" s="19" t="inlineStr">
        <is>
          <t>v</t>
        </is>
      </c>
      <c r="CA29" s="15" t="inlineStr">
        <is>
          <t>Small Cap Fund</t>
        </is>
      </c>
      <c r="CB29" s="14" t="n">
        <v>31</v>
      </c>
      <c r="CC29" s="14" t="n">
        <v>27017320</v>
      </c>
      <c r="CD29" s="617" t="n">
        <v>7660.98784423</v>
      </c>
      <c r="CE29" s="617" t="n">
        <v>4184.9446509</v>
      </c>
      <c r="CF29" s="617" t="n">
        <v>3476.04319333</v>
      </c>
      <c r="CG29" s="617" t="n">
        <v>372362.30735458</v>
      </c>
      <c r="CH29" s="617" t="n">
        <v>366798.06176138</v>
      </c>
      <c r="CI29" s="17" t="n">
        <v>0</v>
      </c>
      <c r="CJ29" s="618" t="n">
        <v>0</v>
      </c>
      <c r="CK29" s="47" t="inlineStr">
        <is>
          <t>-</t>
        </is>
      </c>
      <c r="CL29" s="16" t="inlineStr">
        <is>
          <t>v</t>
        </is>
      </c>
      <c r="CM29" s="15" t="inlineStr">
        <is>
          <t>Small Cap Fund</t>
        </is>
      </c>
      <c r="CN29" s="14" t="n">
        <v>32</v>
      </c>
      <c r="CO29" s="14" t="n">
        <v>27263667</v>
      </c>
      <c r="CP29" s="617" t="n">
        <v>8106.92036628</v>
      </c>
      <c r="CQ29" s="617" t="n">
        <v>3700.0194108</v>
      </c>
      <c r="CR29" s="617" t="n">
        <v>4406.90095548</v>
      </c>
      <c r="CS29" s="617" t="n">
        <v>369881.91529044</v>
      </c>
      <c r="CT29" s="617" t="n">
        <v>370912.88999204</v>
      </c>
      <c r="CU29" s="17" t="n">
        <v>0</v>
      </c>
      <c r="CV29" s="617" t="n">
        <v>0</v>
      </c>
      <c r="CW29" s="47" t="inlineStr">
        <is>
          <t>-</t>
        </is>
      </c>
      <c r="CX29" s="16" t="inlineStr">
        <is>
          <t>v</t>
        </is>
      </c>
      <c r="CY29" s="15" t="inlineStr">
        <is>
          <t>Small Cap Fund</t>
        </is>
      </c>
      <c r="CZ29" s="14" t="n">
        <v>33</v>
      </c>
      <c r="DA29" s="14" t="n">
        <v>27335457</v>
      </c>
      <c r="DB29" s="617" t="n">
        <v>8396.078990329999</v>
      </c>
      <c r="DC29" s="617" t="n">
        <v>4572.25518867</v>
      </c>
      <c r="DD29" s="617" t="n">
        <v>3823.82380166</v>
      </c>
      <c r="DE29" s="624" t="n">
        <v>369003.08614198</v>
      </c>
      <c r="DF29" s="617" t="n">
        <v>366387.31932921</v>
      </c>
      <c r="DG29" s="14" t="n">
        <v>0</v>
      </c>
      <c r="DH29" s="617" t="n">
        <v>0</v>
      </c>
      <c r="DI29" s="2" t="inlineStr">
        <is>
          <t>-</t>
        </is>
      </c>
      <c r="DJ29" s="620" t="inlineStr">
        <is>
          <t>v</t>
        </is>
      </c>
      <c r="DK29" s="621" t="inlineStr">
        <is>
          <t>Small Cap Fund</t>
        </is>
      </c>
      <c r="DL29" s="83" t="n">
        <v>34</v>
      </c>
      <c r="DM29" s="83" t="n">
        <v>27471864</v>
      </c>
      <c r="DN29" s="622" t="n">
        <v>8133.41694146</v>
      </c>
      <c r="DO29" s="622" t="n">
        <v>5191.30546309</v>
      </c>
      <c r="DP29" s="622" t="n">
        <v>2942.11147837</v>
      </c>
      <c r="DQ29" s="625" t="n">
        <v>354789.97170459</v>
      </c>
      <c r="DR29" s="622" t="n">
        <v>359055.59063467</v>
      </c>
      <c r="DS29" s="83" t="n">
        <v>0</v>
      </c>
      <c r="DT29" s="622" t="n">
        <v>0</v>
      </c>
      <c r="DU29" s="2" t="inlineStr">
        <is>
          <t>-</t>
        </is>
      </c>
      <c r="DV29" s="127" t="n"/>
      <c r="DW29" s="128" t="n"/>
      <c r="DX29" s="2" t="inlineStr">
        <is>
          <t>-</t>
        </is>
      </c>
      <c r="DY29" s="127">
        <f>(DN29-DB29)/DB29</f>
        <v/>
      </c>
      <c r="DZ29" s="128">
        <f>(DP29-DD29)/DD29</f>
        <v/>
      </c>
      <c r="EA29" s="129">
        <f>(DR29-DF29)/DF29</f>
        <v/>
      </c>
    </row>
    <row r="30">
      <c r="A30" s="16" t="inlineStr">
        <is>
          <t>vi</t>
        </is>
      </c>
      <c r="B30" s="15" t="inlineStr">
        <is>
          <t>Dividend Yield Fund</t>
        </is>
      </c>
      <c r="C30" s="617" t="n">
        <v>30588.92758491</v>
      </c>
      <c r="D30" s="617" t="n">
        <v>29703.9001679</v>
      </c>
      <c r="E30" s="47" t="inlineStr">
        <is>
          <t>-</t>
        </is>
      </c>
      <c r="F30" s="16" t="inlineStr">
        <is>
          <t>vi</t>
        </is>
      </c>
      <c r="G30" s="15" t="inlineStr">
        <is>
          <t>Dividend Yield Fund</t>
        </is>
      </c>
      <c r="H30" s="14" t="n">
        <v>10</v>
      </c>
      <c r="I30" s="14" t="n">
        <v>1200423</v>
      </c>
      <c r="J30" s="617" t="n">
        <v>374.6097972</v>
      </c>
      <c r="K30" s="617" t="n">
        <v>323.14180957</v>
      </c>
      <c r="L30" s="617" t="n">
        <v>51.46798763</v>
      </c>
      <c r="M30" s="617" t="n">
        <v>31332.91187034</v>
      </c>
      <c r="N30" s="617" t="n">
        <v>30501.59496974</v>
      </c>
      <c r="O30" s="14" t="n">
        <v>0</v>
      </c>
      <c r="P30" s="617" t="n">
        <v>0</v>
      </c>
      <c r="Q30" s="47" t="inlineStr">
        <is>
          <t>-</t>
        </is>
      </c>
      <c r="R30" s="16" t="inlineStr">
        <is>
          <t>vi</t>
        </is>
      </c>
      <c r="S30" s="15" t="inlineStr">
        <is>
          <t>Dividend Yield Fund</t>
        </is>
      </c>
      <c r="T30" s="14" t="n">
        <v>10</v>
      </c>
      <c r="U30" s="14" t="n">
        <v>1200267</v>
      </c>
      <c r="V30" s="617" t="n">
        <v>369.64900783</v>
      </c>
      <c r="W30" s="617" t="n">
        <v>390.46696899</v>
      </c>
      <c r="X30" s="617" t="n">
        <v>-20.81796116</v>
      </c>
      <c r="Y30" s="617" t="n">
        <v>32177.1442975</v>
      </c>
      <c r="Z30" s="617" t="n">
        <v>31766.5802173</v>
      </c>
      <c r="AA30" s="14" t="n">
        <v>0</v>
      </c>
      <c r="AB30" s="617" t="n">
        <v>0</v>
      </c>
      <c r="AC30" s="47" t="inlineStr">
        <is>
          <t>-</t>
        </is>
      </c>
      <c r="AD30" s="16" t="inlineStr">
        <is>
          <t>vi</t>
        </is>
      </c>
      <c r="AE30" s="15" t="inlineStr">
        <is>
          <t>Dividend Yield Fund</t>
        </is>
      </c>
      <c r="AF30" s="14" t="n">
        <v>10</v>
      </c>
      <c r="AG30" s="14" t="n">
        <v>1202199</v>
      </c>
      <c r="AH30" s="617" t="n">
        <v>385.37556016</v>
      </c>
      <c r="AI30" s="617" t="n">
        <v>339.82827554</v>
      </c>
      <c r="AJ30" s="617" t="n">
        <v>45.5472846199999</v>
      </c>
      <c r="AK30" s="617" t="n">
        <v>33161.75421453</v>
      </c>
      <c r="AL30" s="617" t="n">
        <v>32586.64957052</v>
      </c>
      <c r="AM30" s="14" t="n">
        <v>0</v>
      </c>
      <c r="AN30" s="617" t="n">
        <v>0</v>
      </c>
      <c r="AO30" s="47" t="inlineStr">
        <is>
          <t>-</t>
        </is>
      </c>
      <c r="AP30" s="16" t="inlineStr">
        <is>
          <t>vi</t>
        </is>
      </c>
      <c r="AQ30" s="15" t="inlineStr">
        <is>
          <t>Dividend Yield Fund</t>
        </is>
      </c>
      <c r="AR30" s="14" t="n">
        <v>10</v>
      </c>
      <c r="AS30" s="14" t="n">
        <v>1204368</v>
      </c>
      <c r="AT30" s="617" t="n">
        <v>481.56155617</v>
      </c>
      <c r="AU30" s="617" t="n">
        <v>384.90880007</v>
      </c>
      <c r="AV30" s="617" t="n">
        <v>96.6527561000003</v>
      </c>
      <c r="AW30" s="617" t="n">
        <v>32558.58368422</v>
      </c>
      <c r="AX30" s="617" t="n">
        <v>32991.9764609</v>
      </c>
      <c r="AY30" s="14" t="n">
        <v>0</v>
      </c>
      <c r="AZ30" s="617" t="n">
        <v>0</v>
      </c>
      <c r="BA30" s="47" t="inlineStr">
        <is>
          <t>-</t>
        </is>
      </c>
      <c r="BB30" s="16" t="inlineStr">
        <is>
          <t>vi</t>
        </is>
      </c>
      <c r="BC30" s="15" t="inlineStr">
        <is>
          <t>Dividend Yield Fund</t>
        </is>
      </c>
      <c r="BD30" s="14" t="n">
        <v>10</v>
      </c>
      <c r="BE30" s="14" t="n">
        <v>1205305</v>
      </c>
      <c r="BF30" s="617" t="n">
        <v>301.51411219</v>
      </c>
      <c r="BG30" s="617" t="n">
        <v>476.20100412</v>
      </c>
      <c r="BH30" s="617" t="n">
        <v>-174.68689193</v>
      </c>
      <c r="BI30" s="617" t="n">
        <v>31985.92360784</v>
      </c>
      <c r="BJ30" s="617" t="n">
        <v>32231.62898637</v>
      </c>
      <c r="BK30" s="14" t="n">
        <v>0</v>
      </c>
      <c r="BL30" s="617" t="n">
        <v>0</v>
      </c>
      <c r="BM30" s="47" t="inlineStr">
        <is>
          <t>-</t>
        </is>
      </c>
      <c r="BN30" s="19" t="inlineStr">
        <is>
          <t>vi</t>
        </is>
      </c>
      <c r="BO30" s="15" t="inlineStr">
        <is>
          <t>Dividend Yield Fund</t>
        </is>
      </c>
      <c r="BP30" s="14" t="n">
        <v>10</v>
      </c>
      <c r="BQ30" s="14" t="n">
        <v>1201716</v>
      </c>
      <c r="BR30" s="617" t="n">
        <v>437.84596012</v>
      </c>
      <c r="BS30" s="617" t="n">
        <v>605.62971496</v>
      </c>
      <c r="BT30" s="617" t="n">
        <v>-167.78375484</v>
      </c>
      <c r="BU30" s="617" t="n">
        <v>32240.97963037</v>
      </c>
      <c r="BV30" s="617" t="n">
        <v>32554.17204279</v>
      </c>
      <c r="BW30" s="17" t="n">
        <v>0</v>
      </c>
      <c r="BX30" s="618" t="n">
        <v>0</v>
      </c>
      <c r="BY30" s="47" t="inlineStr">
        <is>
          <t>-</t>
        </is>
      </c>
      <c r="BZ30" s="19" t="inlineStr">
        <is>
          <t>vi</t>
        </is>
      </c>
      <c r="CA30" s="15" t="inlineStr">
        <is>
          <t>Dividend Yield Fund</t>
        </is>
      </c>
      <c r="CB30" s="14" t="n">
        <v>10</v>
      </c>
      <c r="CC30" s="14" t="n">
        <v>1194639</v>
      </c>
      <c r="CD30" s="617" t="n">
        <v>295.59052543</v>
      </c>
      <c r="CE30" s="617" t="n">
        <v>474.54709956</v>
      </c>
      <c r="CF30" s="617" t="n">
        <v>-178.95657413</v>
      </c>
      <c r="CG30" s="617" t="n">
        <v>33210.96177919</v>
      </c>
      <c r="CH30" s="617" t="n">
        <v>32993.51305214</v>
      </c>
      <c r="CI30" s="17" t="n">
        <v>0</v>
      </c>
      <c r="CJ30" s="618" t="n">
        <v>0</v>
      </c>
      <c r="CK30" s="47" t="inlineStr">
        <is>
          <t>-</t>
        </is>
      </c>
      <c r="CL30" s="16" t="inlineStr">
        <is>
          <t>vi</t>
        </is>
      </c>
      <c r="CM30" s="15" t="inlineStr">
        <is>
          <t>Dividend Yield Fund</t>
        </is>
      </c>
      <c r="CN30" s="14" t="n">
        <v>10</v>
      </c>
      <c r="CO30" s="14" t="n">
        <v>1190781</v>
      </c>
      <c r="CP30" s="617" t="n">
        <v>302.16430925</v>
      </c>
      <c r="CQ30" s="617" t="n">
        <v>579.90346933</v>
      </c>
      <c r="CR30" s="617" t="n">
        <v>-277.73916008</v>
      </c>
      <c r="CS30" s="617" t="n">
        <v>33075.76035698</v>
      </c>
      <c r="CT30" s="617" t="n">
        <v>33066.85498909</v>
      </c>
      <c r="CU30" s="17" t="n">
        <v>0</v>
      </c>
      <c r="CV30" s="617" t="n">
        <v>0</v>
      </c>
      <c r="CW30" s="47" t="inlineStr">
        <is>
          <t>-</t>
        </is>
      </c>
      <c r="CX30" s="16" t="inlineStr">
        <is>
          <t>vi</t>
        </is>
      </c>
      <c r="CY30" s="15" t="inlineStr">
        <is>
          <t>Dividend Yield Fund</t>
        </is>
      </c>
      <c r="CZ30" s="14" t="n">
        <v>10</v>
      </c>
      <c r="DA30" s="14" t="n">
        <v>1185004</v>
      </c>
      <c r="DB30" s="617" t="n">
        <v>299.86400206</v>
      </c>
      <c r="DC30" s="617" t="n">
        <v>554.181808209999</v>
      </c>
      <c r="DD30" s="619" t="n">
        <v>-254.317806149999</v>
      </c>
      <c r="DE30" s="624" t="n">
        <v>32862.76368478</v>
      </c>
      <c r="DF30" s="617" t="n">
        <v>32791.6081592</v>
      </c>
      <c r="DG30" s="14" t="n">
        <v>0</v>
      </c>
      <c r="DH30" s="617" t="n">
        <v>0</v>
      </c>
      <c r="DI30" s="2" t="inlineStr">
        <is>
          <t>-</t>
        </is>
      </c>
      <c r="DJ30" s="620" t="inlineStr">
        <is>
          <t>vi</t>
        </is>
      </c>
      <c r="DK30" s="621" t="inlineStr">
        <is>
          <t>Dividend Yield Fund</t>
        </is>
      </c>
      <c r="DL30" s="83" t="n">
        <v>11</v>
      </c>
      <c r="DM30" s="83" t="n">
        <v>1202510</v>
      </c>
      <c r="DN30" s="622" t="n">
        <v>524.74233234</v>
      </c>
      <c r="DO30" s="622" t="n">
        <v>476.9138552</v>
      </c>
      <c r="DP30" s="623" t="n">
        <v>47.8284771399995</v>
      </c>
      <c r="DQ30" s="625" t="n">
        <v>32451.32794667</v>
      </c>
      <c r="DR30" s="622" t="n">
        <v>32480.44907899</v>
      </c>
      <c r="DS30" s="83" t="n">
        <v>0</v>
      </c>
      <c r="DT30" s="622" t="n">
        <v>0</v>
      </c>
      <c r="DU30" s="2" t="inlineStr">
        <is>
          <t>-</t>
        </is>
      </c>
      <c r="DV30" s="127" t="n"/>
      <c r="DW30" s="128" t="n"/>
      <c r="DX30" s="2" t="inlineStr">
        <is>
          <t>-</t>
        </is>
      </c>
      <c r="DY30" s="127">
        <f>(DN30-DB30)/DB30</f>
        <v/>
      </c>
      <c r="DZ30" s="128">
        <f>(DP30-DD30)/DD30</f>
        <v/>
      </c>
      <c r="EA30" s="129">
        <f>(DR30-DF30)/DF30</f>
        <v/>
      </c>
    </row>
    <row r="31">
      <c r="A31" s="16" t="inlineStr">
        <is>
          <t>vii</t>
        </is>
      </c>
      <c r="B31" s="15" t="inlineStr">
        <is>
          <t>Value Fund/Contra Fund</t>
        </is>
      </c>
      <c r="C31" s="617" t="n">
        <v>183906.06511938</v>
      </c>
      <c r="D31" s="617" t="n">
        <v>178490.5724868</v>
      </c>
      <c r="E31" s="47" t="inlineStr">
        <is>
          <t>-</t>
        </is>
      </c>
      <c r="F31" s="16" t="inlineStr">
        <is>
          <t>vii</t>
        </is>
      </c>
      <c r="G31" s="15" t="inlineStr">
        <is>
          <t>Value Fund/Contra Fund</t>
        </is>
      </c>
      <c r="H31" s="14" t="n">
        <v>24</v>
      </c>
      <c r="I31" s="14" t="n">
        <v>8307959</v>
      </c>
      <c r="J31" s="617" t="n">
        <v>2713.71376602</v>
      </c>
      <c r="K31" s="617" t="n">
        <v>1640.5000126</v>
      </c>
      <c r="L31" s="617" t="n">
        <v>1073.21375342</v>
      </c>
      <c r="M31" s="617" t="n">
        <v>190856.60220347</v>
      </c>
      <c r="N31" s="617" t="n">
        <v>184757.14555628</v>
      </c>
      <c r="O31" s="14" t="n">
        <v>0</v>
      </c>
      <c r="P31" s="617" t="n">
        <v>0</v>
      </c>
      <c r="Q31" s="47" t="inlineStr">
        <is>
          <t>-</t>
        </is>
      </c>
      <c r="R31" s="16" t="inlineStr">
        <is>
          <t>vii</t>
        </is>
      </c>
      <c r="S31" s="15" t="inlineStr">
        <is>
          <t>Value Fund/Contra Fund</t>
        </is>
      </c>
      <c r="T31" s="14" t="n">
        <v>24</v>
      </c>
      <c r="U31" s="14" t="n">
        <v>8368668</v>
      </c>
      <c r="V31" s="617" t="n">
        <v>2812.71004811</v>
      </c>
      <c r="W31" s="617" t="n">
        <v>2904.98957969</v>
      </c>
      <c r="X31" s="617" t="n">
        <v>-92.2795315799995</v>
      </c>
      <c r="Y31" s="617" t="n">
        <v>196339.39359886</v>
      </c>
      <c r="Z31" s="617" t="n">
        <v>193702.93213011</v>
      </c>
      <c r="AA31" s="14" t="n">
        <v>0</v>
      </c>
      <c r="AB31" s="617" t="n">
        <v>0</v>
      </c>
      <c r="AC31" s="47" t="inlineStr">
        <is>
          <t>-</t>
        </is>
      </c>
      <c r="AD31" s="16" t="inlineStr">
        <is>
          <t>vii</t>
        </is>
      </c>
      <c r="AE31" s="15" t="inlineStr">
        <is>
          <t>Value Fund/Contra Fund</t>
        </is>
      </c>
      <c r="AF31" s="14" t="n">
        <v>24</v>
      </c>
      <c r="AG31" s="14" t="n">
        <v>8450603</v>
      </c>
      <c r="AH31" s="617" t="n">
        <v>2803.58165284</v>
      </c>
      <c r="AI31" s="617" t="n">
        <v>1644.14250533</v>
      </c>
      <c r="AJ31" s="617" t="n">
        <v>1159.43914751</v>
      </c>
      <c r="AK31" s="617" t="n">
        <v>203756.28392224</v>
      </c>
      <c r="AL31" s="617" t="n">
        <v>199511.25331412</v>
      </c>
      <c r="AM31" s="14" t="n">
        <v>0</v>
      </c>
      <c r="AN31" s="617" t="n">
        <v>0</v>
      </c>
      <c r="AO31" s="47" t="inlineStr">
        <is>
          <t>-</t>
        </is>
      </c>
      <c r="AP31" s="16" t="inlineStr">
        <is>
          <t>vii</t>
        </is>
      </c>
      <c r="AQ31" s="15" t="inlineStr">
        <is>
          <t>Value Fund/Contra Fund</t>
        </is>
      </c>
      <c r="AR31" s="14" t="n">
        <v>24</v>
      </c>
      <c r="AS31" s="14" t="n">
        <v>8547004</v>
      </c>
      <c r="AT31" s="617" t="n">
        <v>3135.283685</v>
      </c>
      <c r="AU31" s="617" t="n">
        <v>1665.27603676</v>
      </c>
      <c r="AV31" s="617" t="n">
        <v>1470.00764824</v>
      </c>
      <c r="AW31" s="617" t="n">
        <v>201203.7874304</v>
      </c>
      <c r="AX31" s="617" t="n">
        <v>203431.47962057</v>
      </c>
      <c r="AY31" s="14" t="n">
        <v>0</v>
      </c>
      <c r="AZ31" s="617" t="n">
        <v>0</v>
      </c>
      <c r="BA31" s="47" t="inlineStr">
        <is>
          <t>-</t>
        </is>
      </c>
      <c r="BB31" s="16" t="inlineStr">
        <is>
          <t>vii</t>
        </is>
      </c>
      <c r="BC31" s="15" t="inlineStr">
        <is>
          <t>Value Fund/Contra Fund</t>
        </is>
      </c>
      <c r="BD31" s="14" t="n">
        <v>24</v>
      </c>
      <c r="BE31" s="14" t="n">
        <v>8612986</v>
      </c>
      <c r="BF31" s="617" t="n">
        <v>2576.5061277</v>
      </c>
      <c r="BG31" s="617" t="n">
        <v>1435.47494324</v>
      </c>
      <c r="BH31" s="617" t="n">
        <v>1141.03118446</v>
      </c>
      <c r="BI31" s="617" t="n">
        <v>198969.55748005</v>
      </c>
      <c r="BJ31" s="617" t="n">
        <v>200275.62927067</v>
      </c>
      <c r="BK31" s="14" t="n">
        <v>0</v>
      </c>
      <c r="BL31" s="617" t="n">
        <v>0</v>
      </c>
      <c r="BM31" s="47" t="inlineStr">
        <is>
          <t>-</t>
        </is>
      </c>
      <c r="BN31" s="19" t="inlineStr">
        <is>
          <t>vii</t>
        </is>
      </c>
      <c r="BO31" s="15" t="inlineStr">
        <is>
          <t>Value Fund/Contra Fund</t>
        </is>
      </c>
      <c r="BP31" s="14" t="n">
        <v>25</v>
      </c>
      <c r="BQ31" s="14" t="n">
        <v>8785142</v>
      </c>
      <c r="BR31" s="617" t="n">
        <v>4033.78578024</v>
      </c>
      <c r="BS31" s="617" t="n">
        <v>1925.85475296</v>
      </c>
      <c r="BT31" s="617" t="n">
        <v>2107.93102728</v>
      </c>
      <c r="BU31" s="617" t="n">
        <v>204298.57642296</v>
      </c>
      <c r="BV31" s="617" t="n">
        <v>205770.81304821</v>
      </c>
      <c r="BW31" s="17" t="n">
        <v>0</v>
      </c>
      <c r="BX31" s="618" t="n">
        <v>0</v>
      </c>
      <c r="BY31" s="47" t="inlineStr">
        <is>
          <t>-</t>
        </is>
      </c>
      <c r="BZ31" s="19" t="inlineStr">
        <is>
          <t>vii</t>
        </is>
      </c>
      <c r="CA31" s="15" t="inlineStr">
        <is>
          <t>Value Fund/Contra Fund</t>
        </is>
      </c>
      <c r="CB31" s="14" t="n">
        <v>25</v>
      </c>
      <c r="CC31" s="14" t="n">
        <v>8788244</v>
      </c>
      <c r="CD31" s="617" t="n">
        <v>2590.67191402</v>
      </c>
      <c r="CE31" s="617" t="n">
        <v>2222.28211492</v>
      </c>
      <c r="CF31" s="617" t="n">
        <v>368.389799099999</v>
      </c>
      <c r="CG31" s="617" t="n">
        <v>213021.3496557</v>
      </c>
      <c r="CH31" s="617" t="n">
        <v>210507.56854408</v>
      </c>
      <c r="CI31" s="17" t="n">
        <v>0</v>
      </c>
      <c r="CJ31" s="618" t="n">
        <v>0</v>
      </c>
      <c r="CK31" s="47" t="inlineStr">
        <is>
          <t>-</t>
        </is>
      </c>
      <c r="CL31" s="16" t="inlineStr">
        <is>
          <t>vii</t>
        </is>
      </c>
      <c r="CM31" s="15" t="inlineStr">
        <is>
          <t>Value Fund/Contra Fund</t>
        </is>
      </c>
      <c r="CN31" s="14" t="n">
        <v>25</v>
      </c>
      <c r="CO31" s="14" t="n">
        <v>8830956</v>
      </c>
      <c r="CP31" s="617" t="n">
        <v>3215.10804965</v>
      </c>
      <c r="CQ31" s="617" t="n">
        <v>1995.66394969</v>
      </c>
      <c r="CR31" s="617" t="n">
        <v>1219.44409996</v>
      </c>
      <c r="CS31" s="617" t="n">
        <v>217555.4410851</v>
      </c>
      <c r="CT31" s="617" t="n">
        <v>215017.29110953</v>
      </c>
      <c r="CU31" s="17" t="n">
        <v>0</v>
      </c>
      <c r="CV31" s="617" t="n">
        <v>0</v>
      </c>
      <c r="CW31" s="47" t="inlineStr">
        <is>
          <t>-</t>
        </is>
      </c>
      <c r="CX31" s="16" t="inlineStr">
        <is>
          <t>vii</t>
        </is>
      </c>
      <c r="CY31" s="15" t="inlineStr">
        <is>
          <t>Value Fund/Contra Fund</t>
        </is>
      </c>
      <c r="CZ31" s="14" t="n">
        <v>25</v>
      </c>
      <c r="DA31" s="14" t="n">
        <v>8857029</v>
      </c>
      <c r="DB31" s="617" t="n">
        <v>3444.83847821</v>
      </c>
      <c r="DC31" s="617" t="n">
        <v>2356.32817527</v>
      </c>
      <c r="DD31" s="617" t="n">
        <v>1088.51030294</v>
      </c>
      <c r="DE31" s="624" t="n">
        <v>219127.72184818</v>
      </c>
      <c r="DF31" s="617" t="n">
        <v>217176.2043353</v>
      </c>
      <c r="DG31" s="14" t="n">
        <v>0</v>
      </c>
      <c r="DH31" s="617" t="n">
        <v>0</v>
      </c>
      <c r="DI31" s="2" t="inlineStr">
        <is>
          <t>-</t>
        </is>
      </c>
      <c r="DJ31" s="620" t="inlineStr">
        <is>
          <t>vii</t>
        </is>
      </c>
      <c r="DK31" s="621" t="inlineStr">
        <is>
          <t>Value Fund/Contra Fund</t>
        </is>
      </c>
      <c r="DL31" s="83" t="n">
        <v>25</v>
      </c>
      <c r="DM31" s="83" t="n">
        <v>8885986</v>
      </c>
      <c r="DN31" s="622" t="n">
        <v>3054.7943744</v>
      </c>
      <c r="DO31" s="622" t="n">
        <v>2061.90684535</v>
      </c>
      <c r="DP31" s="622" t="n">
        <v>992.88752905</v>
      </c>
      <c r="DQ31" s="625" t="n">
        <v>214214.78468865</v>
      </c>
      <c r="DR31" s="622" t="n">
        <v>215977.28429607</v>
      </c>
      <c r="DS31" s="83" t="n">
        <v>0</v>
      </c>
      <c r="DT31" s="622" t="n">
        <v>0</v>
      </c>
      <c r="DU31" s="2" t="inlineStr">
        <is>
          <t>-</t>
        </is>
      </c>
      <c r="DV31" s="127" t="n"/>
      <c r="DW31" s="128" t="n"/>
      <c r="DX31" s="2" t="inlineStr">
        <is>
          <t>-</t>
        </is>
      </c>
      <c r="DY31" s="127">
        <f>(DN31-DB31)/DB31</f>
        <v/>
      </c>
      <c r="DZ31" s="128">
        <f>(DP31-DD31)/DD31</f>
        <v/>
      </c>
      <c r="EA31" s="129">
        <f>(DR31-DF31)/DF31</f>
        <v/>
      </c>
    </row>
    <row r="32">
      <c r="A32" s="16" t="inlineStr">
        <is>
          <t>viii</t>
        </is>
      </c>
      <c r="B32" s="15" t="inlineStr">
        <is>
          <t>Focused Fund</t>
        </is>
      </c>
      <c r="C32" s="617" t="n">
        <v>144791.03750303</v>
      </c>
      <c r="D32" s="617" t="n">
        <v>139975.77951952</v>
      </c>
      <c r="E32" s="47" t="inlineStr">
        <is>
          <t>-</t>
        </is>
      </c>
      <c r="F32" s="16" t="inlineStr">
        <is>
          <t>viii</t>
        </is>
      </c>
      <c r="G32" s="15" t="inlineStr">
        <is>
          <t>Focused Fund</t>
        </is>
      </c>
      <c r="H32" s="14" t="n">
        <v>28</v>
      </c>
      <c r="I32" s="14" t="n">
        <v>5233413</v>
      </c>
      <c r="J32" s="617" t="n">
        <v>2409.02744066</v>
      </c>
      <c r="K32" s="617" t="n">
        <v>1524.26992064</v>
      </c>
      <c r="L32" s="617" t="n">
        <v>884.75752002</v>
      </c>
      <c r="M32" s="617" t="n">
        <v>150223.04519614</v>
      </c>
      <c r="N32" s="617" t="n">
        <v>145808.93101857</v>
      </c>
      <c r="O32" s="14" t="n">
        <v>0</v>
      </c>
      <c r="P32" s="617" t="n">
        <v>0</v>
      </c>
      <c r="Q32" s="47" t="inlineStr">
        <is>
          <t>-</t>
        </is>
      </c>
      <c r="R32" s="16" t="inlineStr">
        <is>
          <t>viii</t>
        </is>
      </c>
      <c r="S32" s="15" t="inlineStr">
        <is>
          <t>Focused Fund</t>
        </is>
      </c>
      <c r="T32" s="14" t="n">
        <v>28</v>
      </c>
      <c r="U32" s="14" t="n">
        <v>5246530</v>
      </c>
      <c r="V32" s="617" t="n">
        <v>2715.78077563</v>
      </c>
      <c r="W32" s="617" t="n">
        <v>1768.60162613</v>
      </c>
      <c r="X32" s="617" t="n">
        <v>947.1791495</v>
      </c>
      <c r="Y32" s="617" t="n">
        <v>155870.43706572</v>
      </c>
      <c r="Z32" s="617" t="n">
        <v>153127.92285559</v>
      </c>
      <c r="AA32" s="14" t="n">
        <v>0</v>
      </c>
      <c r="AB32" s="617" t="n">
        <v>0</v>
      </c>
      <c r="AC32" s="47" t="inlineStr">
        <is>
          <t>-</t>
        </is>
      </c>
      <c r="AD32" s="16" t="inlineStr">
        <is>
          <t>viii</t>
        </is>
      </c>
      <c r="AE32" s="15" t="inlineStr">
        <is>
          <t>Focused Fund</t>
        </is>
      </c>
      <c r="AF32" s="14" t="n">
        <v>28</v>
      </c>
      <c r="AG32" s="14" t="n">
        <v>5270077</v>
      </c>
      <c r="AH32" s="617" t="n">
        <v>2338.90515081</v>
      </c>
      <c r="AI32" s="617" t="n">
        <v>1373.85873529</v>
      </c>
      <c r="AJ32" s="617" t="n">
        <v>965.04641552</v>
      </c>
      <c r="AK32" s="617" t="n">
        <v>162172.56565809</v>
      </c>
      <c r="AL32" s="617" t="n">
        <v>158520.26016677</v>
      </c>
      <c r="AM32" s="14" t="n">
        <v>0</v>
      </c>
      <c r="AN32" s="617" t="n">
        <v>0</v>
      </c>
      <c r="AO32" s="47" t="inlineStr">
        <is>
          <t>-</t>
        </is>
      </c>
      <c r="AP32" s="16" t="inlineStr">
        <is>
          <t>viii</t>
        </is>
      </c>
      <c r="AQ32" s="15" t="inlineStr">
        <is>
          <t>Focused Fund</t>
        </is>
      </c>
      <c r="AR32" s="14" t="n">
        <v>28</v>
      </c>
      <c r="AS32" s="14" t="n">
        <v>5298700</v>
      </c>
      <c r="AT32" s="617" t="n">
        <v>2981.68520324</v>
      </c>
      <c r="AU32" s="617" t="n">
        <v>1375.7235319</v>
      </c>
      <c r="AV32" s="617" t="n">
        <v>1605.96167134</v>
      </c>
      <c r="AW32" s="617" t="n">
        <v>160567.17803635</v>
      </c>
      <c r="AX32" s="617" t="n">
        <v>161580.84632317</v>
      </c>
      <c r="AY32" s="14" t="n">
        <v>0</v>
      </c>
      <c r="AZ32" s="617" t="n">
        <v>0</v>
      </c>
      <c r="BA32" s="47" t="inlineStr">
        <is>
          <t>-</t>
        </is>
      </c>
      <c r="BB32" s="16" t="inlineStr">
        <is>
          <t>viii</t>
        </is>
      </c>
      <c r="BC32" s="15" t="inlineStr">
        <is>
          <t>Focused Fund</t>
        </is>
      </c>
      <c r="BD32" s="14" t="n">
        <v>28</v>
      </c>
      <c r="BE32" s="14" t="n">
        <v>5325168</v>
      </c>
      <c r="BF32" s="617" t="n">
        <v>2315.89845774</v>
      </c>
      <c r="BG32" s="617" t="n">
        <v>1160.71970081</v>
      </c>
      <c r="BH32" s="617" t="n">
        <v>1155.17875693</v>
      </c>
      <c r="BI32" s="617" t="n">
        <v>159952.07218752</v>
      </c>
      <c r="BJ32" s="617" t="n">
        <v>160556.69104017</v>
      </c>
      <c r="BK32" s="14" t="n">
        <v>0</v>
      </c>
      <c r="BL32" s="617" t="n">
        <v>0</v>
      </c>
      <c r="BM32" s="47" t="inlineStr">
        <is>
          <t>-</t>
        </is>
      </c>
      <c r="BN32" s="19" t="inlineStr">
        <is>
          <t>viii</t>
        </is>
      </c>
      <c r="BO32" s="15" t="inlineStr">
        <is>
          <t>Focused Fund</t>
        </is>
      </c>
      <c r="BP32" s="14" t="n">
        <v>28</v>
      </c>
      <c r="BQ32" s="14" t="n">
        <v>5346169</v>
      </c>
      <c r="BR32" s="617" t="n">
        <v>2866.80324882</v>
      </c>
      <c r="BS32" s="617" t="n">
        <v>1459.57573342</v>
      </c>
      <c r="BT32" s="617" t="n">
        <v>1407.2275154</v>
      </c>
      <c r="BU32" s="617" t="n">
        <v>162968.7516274</v>
      </c>
      <c r="BV32" s="617" t="n">
        <v>164734.31961488</v>
      </c>
      <c r="BW32" s="17" t="n">
        <v>0</v>
      </c>
      <c r="BX32" s="618" t="n">
        <v>0</v>
      </c>
      <c r="BY32" s="47" t="inlineStr">
        <is>
          <t>-</t>
        </is>
      </c>
      <c r="BZ32" s="19" t="inlineStr">
        <is>
          <t>viii</t>
        </is>
      </c>
      <c r="CA32" s="15" t="inlineStr">
        <is>
          <t>Focused Fund</t>
        </is>
      </c>
      <c r="CB32" s="14" t="n">
        <v>28</v>
      </c>
      <c r="CC32" s="14" t="n">
        <v>5359834</v>
      </c>
      <c r="CD32" s="617" t="n">
        <v>2538.69326611</v>
      </c>
      <c r="CE32" s="617" t="n">
        <v>1599.63494681</v>
      </c>
      <c r="CF32" s="617" t="n">
        <v>939.0583193</v>
      </c>
      <c r="CG32" s="617" t="n">
        <v>170127.72426614</v>
      </c>
      <c r="CH32" s="617" t="n">
        <v>168387.19951814</v>
      </c>
      <c r="CI32" s="17" t="n">
        <v>0</v>
      </c>
      <c r="CJ32" s="618" t="n">
        <v>0</v>
      </c>
      <c r="CK32" s="47" t="inlineStr">
        <is>
          <t>-</t>
        </is>
      </c>
      <c r="CL32" s="16" t="inlineStr">
        <is>
          <t>viii</t>
        </is>
      </c>
      <c r="CM32" s="15" t="inlineStr">
        <is>
          <t>Focused Fund</t>
        </is>
      </c>
      <c r="CN32" s="14" t="n">
        <v>28</v>
      </c>
      <c r="CO32" s="14" t="n">
        <v>5386533</v>
      </c>
      <c r="CP32" s="617" t="n">
        <v>3575.76479854</v>
      </c>
      <c r="CQ32" s="617" t="n">
        <v>1536.03010595</v>
      </c>
      <c r="CR32" s="617" t="n">
        <v>2039.73469259</v>
      </c>
      <c r="CS32" s="617" t="n">
        <v>174618.42302678</v>
      </c>
      <c r="CT32" s="617" t="n">
        <v>172377.75740525</v>
      </c>
      <c r="CU32" s="17" t="n">
        <v>0</v>
      </c>
      <c r="CV32" s="617" t="n">
        <v>0</v>
      </c>
      <c r="CW32" s="47" t="inlineStr">
        <is>
          <t>-</t>
        </is>
      </c>
      <c r="CX32" s="16" t="inlineStr">
        <is>
          <t>viii</t>
        </is>
      </c>
      <c r="CY32" s="15" t="inlineStr">
        <is>
          <t>Focused Fund</t>
        </is>
      </c>
      <c r="CZ32" s="14" t="n">
        <v>28</v>
      </c>
      <c r="DA32" s="14" t="n">
        <v>5415223</v>
      </c>
      <c r="DB32" s="617" t="n">
        <v>2720.23358424</v>
      </c>
      <c r="DC32" s="617" t="n">
        <v>1663.40887104</v>
      </c>
      <c r="DD32" s="617" t="n">
        <v>1056.8247132</v>
      </c>
      <c r="DE32" s="624" t="n">
        <v>174834.13304965</v>
      </c>
      <c r="DF32" s="617" t="n">
        <v>174196.74026539</v>
      </c>
      <c r="DG32" s="14" t="n">
        <v>0</v>
      </c>
      <c r="DH32" s="617" t="n">
        <v>0</v>
      </c>
      <c r="DI32" s="2" t="inlineStr">
        <is>
          <t>-</t>
        </is>
      </c>
      <c r="DJ32" s="620" t="inlineStr">
        <is>
          <t>viii</t>
        </is>
      </c>
      <c r="DK32" s="621" t="inlineStr">
        <is>
          <t>Focused Fund</t>
        </is>
      </c>
      <c r="DL32" s="83" t="n">
        <v>28</v>
      </c>
      <c r="DM32" s="83" t="n">
        <v>5450285</v>
      </c>
      <c r="DN32" s="622" t="n">
        <v>3280.79899009</v>
      </c>
      <c r="DO32" s="622" t="n">
        <v>1723.8434719</v>
      </c>
      <c r="DP32" s="622" t="n">
        <v>1556.95551819</v>
      </c>
      <c r="DQ32" s="625" t="n">
        <v>171535.16248851</v>
      </c>
      <c r="DR32" s="622" t="n">
        <v>173290.06214351</v>
      </c>
      <c r="DS32" s="83" t="n">
        <v>0</v>
      </c>
      <c r="DT32" s="622" t="n">
        <v>0</v>
      </c>
      <c r="DU32" s="2" t="inlineStr">
        <is>
          <t>-</t>
        </is>
      </c>
      <c r="DV32" s="127" t="n"/>
      <c r="DW32" s="128" t="n"/>
      <c r="DX32" s="2" t="inlineStr">
        <is>
          <t>-</t>
        </is>
      </c>
      <c r="DY32" s="127">
        <f>(DN32-DB32)/DB32</f>
        <v/>
      </c>
      <c r="DZ32" s="128">
        <f>(DP32-DD32)/DD32</f>
        <v/>
      </c>
      <c r="EA32" s="129">
        <f>(DR32-DF32)/DF32</f>
        <v/>
      </c>
    </row>
    <row r="33">
      <c r="A33" s="16" t="inlineStr">
        <is>
          <t>ix</t>
        </is>
      </c>
      <c r="B33" s="15" t="inlineStr">
        <is>
          <t>Sectoral/Thematic Funds</t>
        </is>
      </c>
      <c r="C33" s="617" t="n">
        <v>455088.24022218</v>
      </c>
      <c r="D33" s="617" t="n">
        <v>443499.83888355</v>
      </c>
      <c r="E33" s="47" t="inlineStr">
        <is>
          <t>-</t>
        </is>
      </c>
      <c r="F33" s="16" t="inlineStr">
        <is>
          <t>ix</t>
        </is>
      </c>
      <c r="G33" s="15" t="inlineStr">
        <is>
          <t>Sectoral/Thematic Funds</t>
        </is>
      </c>
      <c r="H33" s="14" t="n">
        <v>213</v>
      </c>
      <c r="I33" s="14" t="n">
        <v>30895904</v>
      </c>
      <c r="J33" s="617" t="n">
        <v>10060.0673804</v>
      </c>
      <c r="K33" s="617" t="n">
        <v>8059.12155011</v>
      </c>
      <c r="L33" s="617" t="n">
        <v>2000.94583029</v>
      </c>
      <c r="M33" s="617" t="n">
        <v>470339.04291386</v>
      </c>
      <c r="N33" s="617" t="n">
        <v>457166.11956762</v>
      </c>
      <c r="O33" s="14" t="n">
        <v>0</v>
      </c>
      <c r="P33" s="617" t="n">
        <v>0</v>
      </c>
      <c r="Q33" s="47" t="inlineStr">
        <is>
          <t>-</t>
        </is>
      </c>
      <c r="R33" s="16" t="inlineStr">
        <is>
          <t>ix</t>
        </is>
      </c>
      <c r="S33" s="15" t="inlineStr">
        <is>
          <t>Sectoral/Thematic Funds</t>
        </is>
      </c>
      <c r="T33" s="14" t="n">
        <v>215</v>
      </c>
      <c r="U33" s="14" t="n">
        <v>30982541</v>
      </c>
      <c r="V33" s="617" t="n">
        <v>10621.09657847</v>
      </c>
      <c r="W33" s="617" t="n">
        <v>8568.6121826</v>
      </c>
      <c r="X33" s="617" t="n">
        <v>2052.48439587</v>
      </c>
      <c r="Y33" s="617" t="n">
        <v>492403.80702026</v>
      </c>
      <c r="Z33" s="617" t="n">
        <v>481284.63695181</v>
      </c>
      <c r="AA33" s="14" t="n">
        <v>0</v>
      </c>
      <c r="AB33" s="617" t="n">
        <v>0</v>
      </c>
      <c r="AC33" s="47" t="inlineStr">
        <is>
          <t>-</t>
        </is>
      </c>
      <c r="AD33" s="16" t="inlineStr">
        <is>
          <t>ix</t>
        </is>
      </c>
      <c r="AE33" s="15" t="inlineStr">
        <is>
          <t>Sectoral/Thematic Funds</t>
        </is>
      </c>
      <c r="AF33" s="14" t="n">
        <v>217</v>
      </c>
      <c r="AG33" s="14" t="n">
        <v>31140356</v>
      </c>
      <c r="AH33" s="617" t="n">
        <v>9633.79156974</v>
      </c>
      <c r="AI33" s="617" t="n">
        <v>9158.18571595</v>
      </c>
      <c r="AJ33" s="617" t="n">
        <v>475.605853789999</v>
      </c>
      <c r="AK33" s="617" t="n">
        <v>509344.82643616</v>
      </c>
      <c r="AL33" s="617" t="n">
        <v>499575.10148152</v>
      </c>
      <c r="AM33" s="14" t="n">
        <v>0</v>
      </c>
      <c r="AN33" s="617" t="n">
        <v>0</v>
      </c>
      <c r="AO33" s="47" t="inlineStr">
        <is>
          <t>-</t>
        </is>
      </c>
      <c r="AP33" s="16" t="inlineStr">
        <is>
          <t>ix</t>
        </is>
      </c>
      <c r="AQ33" s="15" t="inlineStr">
        <is>
          <t>Sectoral/Thematic Funds</t>
        </is>
      </c>
      <c r="AR33" s="14" t="n">
        <v>224</v>
      </c>
      <c r="AS33" s="14" t="n">
        <v>31771659</v>
      </c>
      <c r="AT33" s="617" t="n">
        <v>18092.62943377</v>
      </c>
      <c r="AU33" s="617" t="n">
        <v>8666.60320591</v>
      </c>
      <c r="AV33" s="617" t="n">
        <v>9426.02622786</v>
      </c>
      <c r="AW33" s="617" t="n">
        <v>509519.20849021</v>
      </c>
      <c r="AX33" s="617" t="n">
        <v>509953.74211766</v>
      </c>
      <c r="AY33" s="14" t="n">
        <v>0</v>
      </c>
      <c r="AZ33" s="617" t="n">
        <v>0</v>
      </c>
      <c r="BA33" s="47" t="inlineStr">
        <is>
          <t>-</t>
        </is>
      </c>
      <c r="BB33" s="16" t="inlineStr">
        <is>
          <t>ix</t>
        </is>
      </c>
      <c r="BC33" s="15" t="inlineStr">
        <is>
          <t>Sectoral/Thematic Funds</t>
        </is>
      </c>
      <c r="BD33" s="14" t="n">
        <v>226</v>
      </c>
      <c r="BE33" s="14" t="n">
        <v>31939915</v>
      </c>
      <c r="BF33" s="617" t="n">
        <v>10929.15524178</v>
      </c>
      <c r="BG33" s="617" t="n">
        <v>7035.99184984</v>
      </c>
      <c r="BH33" s="617" t="n">
        <v>3893.16339194</v>
      </c>
      <c r="BI33" s="617" t="n">
        <v>506571.70174574</v>
      </c>
      <c r="BJ33" s="617" t="n">
        <v>508546.18455134</v>
      </c>
      <c r="BK33" s="14" t="n">
        <v>0</v>
      </c>
      <c r="BL33" s="617" t="n">
        <v>0</v>
      </c>
      <c r="BM33" s="47" t="inlineStr">
        <is>
          <t>-</t>
        </is>
      </c>
      <c r="BN33" s="19" t="inlineStr">
        <is>
          <t>ix</t>
        </is>
      </c>
      <c r="BO33" s="15" t="inlineStr">
        <is>
          <t>Sectoral/Thematic Funds</t>
        </is>
      </c>
      <c r="BP33" s="14" t="n">
        <v>227</v>
      </c>
      <c r="BQ33" s="14" t="n">
        <v>31889078</v>
      </c>
      <c r="BR33" s="617" t="n">
        <v>11167.47547991</v>
      </c>
      <c r="BS33" s="617" t="n">
        <v>9946.58452715</v>
      </c>
      <c r="BT33" s="617" t="n">
        <v>1220.89095276</v>
      </c>
      <c r="BU33" s="617" t="n">
        <v>513469.4360357</v>
      </c>
      <c r="BV33" s="617" t="n">
        <v>520090.14626114</v>
      </c>
      <c r="BW33" s="17" t="n">
        <v>0</v>
      </c>
      <c r="BX33" s="618" t="n">
        <v>0</v>
      </c>
      <c r="BY33" s="47" t="inlineStr">
        <is>
          <t>-</t>
        </is>
      </c>
      <c r="BZ33" s="19" t="inlineStr">
        <is>
          <t>ix</t>
        </is>
      </c>
      <c r="CA33" s="15" t="inlineStr">
        <is>
          <t>Sectoral/Thematic Funds</t>
        </is>
      </c>
      <c r="CB33" s="14" t="n">
        <v>231</v>
      </c>
      <c r="CC33" s="14" t="n">
        <v>31811396</v>
      </c>
      <c r="CD33" s="617" t="n">
        <v>11776.9534215</v>
      </c>
      <c r="CE33" s="617" t="n">
        <v>10410.791826</v>
      </c>
      <c r="CF33" s="617" t="n">
        <v>1366.1615955</v>
      </c>
      <c r="CG33" s="617" t="n">
        <v>533830.68176431</v>
      </c>
      <c r="CH33" s="617" t="n">
        <v>527588.94075028</v>
      </c>
      <c r="CI33" s="17" t="n">
        <v>0</v>
      </c>
      <c r="CJ33" s="618" t="n">
        <v>0</v>
      </c>
      <c r="CK33" s="47" t="inlineStr">
        <is>
          <t>-</t>
        </is>
      </c>
      <c r="CL33" s="16" t="inlineStr">
        <is>
          <t>ix</t>
        </is>
      </c>
      <c r="CM33" s="15" t="inlineStr">
        <is>
          <t>Sectoral/Thematic Funds</t>
        </is>
      </c>
      <c r="CN33" s="14" t="n">
        <v>235</v>
      </c>
      <c r="CO33" s="14" t="n">
        <v>31879923</v>
      </c>
      <c r="CP33" s="617" t="n">
        <v>10959.58849151</v>
      </c>
      <c r="CQ33" s="617" t="n">
        <v>9094.60077615</v>
      </c>
      <c r="CR33" s="617" t="n">
        <v>1864.98771535999</v>
      </c>
      <c r="CS33" s="617" t="n">
        <v>538180.28754315</v>
      </c>
      <c r="CT33" s="617" t="n">
        <v>534941.46133474</v>
      </c>
      <c r="CU33" s="17" t="n">
        <v>0</v>
      </c>
      <c r="CV33" s="617" t="n">
        <v>0</v>
      </c>
      <c r="CW33" s="47" t="inlineStr">
        <is>
          <t>-</t>
        </is>
      </c>
      <c r="CX33" s="16" t="inlineStr">
        <is>
          <t>ix</t>
        </is>
      </c>
      <c r="CY33" s="15" t="inlineStr">
        <is>
          <t>Sectoral/Thematic Funds</t>
        </is>
      </c>
      <c r="CZ33" s="14" t="n">
        <v>238</v>
      </c>
      <c r="DA33" s="14" t="n">
        <v>31747483</v>
      </c>
      <c r="DB33" s="617" t="n">
        <v>11033.94346253</v>
      </c>
      <c r="DC33" s="617" t="n">
        <v>10087.95590252</v>
      </c>
      <c r="DD33" s="617" t="n">
        <v>945.987560010006</v>
      </c>
      <c r="DE33" s="624" t="n">
        <v>537666.59754183</v>
      </c>
      <c r="DF33" s="617" t="n">
        <v>535256.97107297</v>
      </c>
      <c r="DG33" s="14" t="n">
        <v>0</v>
      </c>
      <c r="DH33" s="617" t="n">
        <v>0</v>
      </c>
      <c r="DI33" s="2" t="inlineStr">
        <is>
          <t>-</t>
        </is>
      </c>
      <c r="DJ33" s="620" t="inlineStr">
        <is>
          <t>ix</t>
        </is>
      </c>
      <c r="DK33" s="621" t="inlineStr">
        <is>
          <t>Sectoral/Thematic Funds</t>
        </is>
      </c>
      <c r="DL33" s="83" t="n">
        <v>240</v>
      </c>
      <c r="DM33" s="83" t="n">
        <v>31681759</v>
      </c>
      <c r="DN33" s="622" t="n">
        <v>11116.92214208</v>
      </c>
      <c r="DO33" s="622" t="n">
        <v>10074.35754777</v>
      </c>
      <c r="DP33" s="622" t="n">
        <v>1042.56459431</v>
      </c>
      <c r="DQ33" s="625" t="n">
        <v>523743.15011643</v>
      </c>
      <c r="DR33" s="622" t="n">
        <v>529376.93834588</v>
      </c>
      <c r="DS33" s="83" t="n">
        <v>0</v>
      </c>
      <c r="DT33" s="622" t="n">
        <v>0</v>
      </c>
      <c r="DU33" s="2" t="inlineStr">
        <is>
          <t>-</t>
        </is>
      </c>
      <c r="DV33" s="127" t="n"/>
      <c r="DW33" s="128" t="n"/>
      <c r="DX33" s="2" t="inlineStr">
        <is>
          <t>-</t>
        </is>
      </c>
      <c r="DY33" s="127">
        <f>(DN33-DB33)/DB33</f>
        <v/>
      </c>
      <c r="DZ33" s="128">
        <f>(DP33-DD33)/DD33</f>
        <v/>
      </c>
      <c r="EA33" s="129">
        <f>(DR33-DF33)/DF33</f>
        <v/>
      </c>
    </row>
    <row r="34">
      <c r="A34" s="16" t="inlineStr">
        <is>
          <t>x</t>
        </is>
      </c>
      <c r="B34" s="15" t="inlineStr">
        <is>
          <t>ELSS</t>
        </is>
      </c>
      <c r="C34" s="617" t="n">
        <v>232245.47352176</v>
      </c>
      <c r="D34" s="617" t="n">
        <v>225225.53399371</v>
      </c>
      <c r="E34" s="47" t="inlineStr">
        <is>
          <t>-</t>
        </is>
      </c>
      <c r="F34" s="16" t="inlineStr">
        <is>
          <t>x</t>
        </is>
      </c>
      <c r="G34" s="15" t="inlineStr">
        <is>
          <t>ELSS</t>
        </is>
      </c>
      <c r="H34" s="14" t="n">
        <v>43</v>
      </c>
      <c r="I34" s="14" t="n">
        <v>16974967</v>
      </c>
      <c r="J34" s="617" t="n">
        <v>1642.78456575</v>
      </c>
      <c r="K34" s="617" t="n">
        <v>2014.78414113</v>
      </c>
      <c r="L34" s="617" t="n">
        <v>-371.99957538</v>
      </c>
      <c r="M34" s="617" t="n">
        <v>239050.61797095</v>
      </c>
      <c r="N34" s="617" t="n">
        <v>232312.33257764</v>
      </c>
      <c r="O34" s="14" t="n">
        <v>0</v>
      </c>
      <c r="P34" s="617" t="n">
        <v>0</v>
      </c>
      <c r="Q34" s="47" t="inlineStr">
        <is>
          <t>-</t>
        </is>
      </c>
      <c r="R34" s="16" t="inlineStr">
        <is>
          <t>x</t>
        </is>
      </c>
      <c r="S34" s="15" t="inlineStr">
        <is>
          <t>ELSS</t>
        </is>
      </c>
      <c r="T34" s="14" t="n">
        <v>43</v>
      </c>
      <c r="U34" s="14" t="n">
        <v>16919934</v>
      </c>
      <c r="V34" s="617" t="n">
        <v>1443.58951561</v>
      </c>
      <c r="W34" s="617" t="n">
        <v>2121.69519732</v>
      </c>
      <c r="X34" s="617" t="n">
        <v>-678.10568171</v>
      </c>
      <c r="Y34" s="617" t="n">
        <v>246293.04875092</v>
      </c>
      <c r="Z34" s="617" t="n">
        <v>242700.54945635</v>
      </c>
      <c r="AA34" s="14" t="n">
        <v>0</v>
      </c>
      <c r="AB34" s="617" t="n">
        <v>0</v>
      </c>
      <c r="AC34" s="47" t="inlineStr">
        <is>
          <t>-</t>
        </is>
      </c>
      <c r="AD34" s="16" t="inlineStr">
        <is>
          <t>x</t>
        </is>
      </c>
      <c r="AE34" s="15" t="inlineStr">
        <is>
          <t>ELSS</t>
        </is>
      </c>
      <c r="AF34" s="14" t="n">
        <v>43</v>
      </c>
      <c r="AG34" s="14" t="n">
        <v>16894182</v>
      </c>
      <c r="AH34" s="617" t="n">
        <v>1553.64328641</v>
      </c>
      <c r="AI34" s="617" t="n">
        <v>2109.75540392</v>
      </c>
      <c r="AJ34" s="617" t="n">
        <v>-556.11211751</v>
      </c>
      <c r="AK34" s="617" t="n">
        <v>253585.36145215</v>
      </c>
      <c r="AL34" s="617" t="n">
        <v>249033.12964922</v>
      </c>
      <c r="AM34" s="14" t="n">
        <v>0</v>
      </c>
      <c r="AN34" s="617" t="n">
        <v>0</v>
      </c>
      <c r="AO34" s="47" t="inlineStr">
        <is>
          <t>-</t>
        </is>
      </c>
      <c r="AP34" s="16" t="inlineStr">
        <is>
          <t>x</t>
        </is>
      </c>
      <c r="AQ34" s="15" t="inlineStr">
        <is>
          <t>ELSS</t>
        </is>
      </c>
      <c r="AR34" s="14" t="n">
        <v>43</v>
      </c>
      <c r="AS34" s="14" t="n">
        <v>16873721</v>
      </c>
      <c r="AT34" s="617" t="n">
        <v>1662.73946106</v>
      </c>
      <c r="AU34" s="617" t="n">
        <v>2030.92329017</v>
      </c>
      <c r="AV34" s="617" t="n">
        <v>-368.183829109999</v>
      </c>
      <c r="AW34" s="617" t="n">
        <v>248202.51751418</v>
      </c>
      <c r="AX34" s="617" t="n">
        <v>251295.46809794</v>
      </c>
      <c r="AY34" s="14" t="n">
        <v>0</v>
      </c>
      <c r="AZ34" s="617" t="n">
        <v>0</v>
      </c>
      <c r="BA34" s="47" t="inlineStr">
        <is>
          <t>-</t>
        </is>
      </c>
      <c r="BB34" s="16" t="inlineStr">
        <is>
          <t>x</t>
        </is>
      </c>
      <c r="BC34" s="15" t="inlineStr">
        <is>
          <t>ELSS</t>
        </is>
      </c>
      <c r="BD34" s="14" t="n">
        <v>43</v>
      </c>
      <c r="BE34" s="14" t="n">
        <v>16859956</v>
      </c>
      <c r="BF34" s="617" t="n">
        <v>1522.40709039</v>
      </c>
      <c r="BG34" s="617" t="n">
        <v>1463.25314019</v>
      </c>
      <c r="BH34" s="617" t="n">
        <v>59.1539501999987</v>
      </c>
      <c r="BI34" s="617" t="n">
        <v>243981.85512636</v>
      </c>
      <c r="BJ34" s="617" t="n">
        <v>246466.97808493</v>
      </c>
      <c r="BK34" s="14" t="n">
        <v>0</v>
      </c>
      <c r="BL34" s="617" t="n">
        <v>0</v>
      </c>
      <c r="BM34" s="47" t="inlineStr">
        <is>
          <t>-</t>
        </is>
      </c>
      <c r="BN34" s="19" t="inlineStr">
        <is>
          <t>x</t>
        </is>
      </c>
      <c r="BO34" s="15" t="inlineStr">
        <is>
          <t>ELSS</t>
        </is>
      </c>
      <c r="BP34" s="14" t="n">
        <v>42</v>
      </c>
      <c r="BQ34" s="14" t="n">
        <v>16690290</v>
      </c>
      <c r="BR34" s="617" t="n">
        <v>1554.06147555</v>
      </c>
      <c r="BS34" s="617" t="n">
        <v>1861.98514569</v>
      </c>
      <c r="BT34" s="617" t="n">
        <v>-307.92367014</v>
      </c>
      <c r="BU34" s="617" t="n">
        <v>244774.58314408</v>
      </c>
      <c r="BV34" s="617" t="n">
        <v>248332.09422744</v>
      </c>
      <c r="BW34" s="17" t="n">
        <v>0</v>
      </c>
      <c r="BX34" s="618" t="n">
        <v>0</v>
      </c>
      <c r="BY34" s="47" t="inlineStr">
        <is>
          <t>-</t>
        </is>
      </c>
      <c r="BZ34" s="19" t="inlineStr">
        <is>
          <t>x</t>
        </is>
      </c>
      <c r="CA34" s="15" t="inlineStr">
        <is>
          <t>ELSS</t>
        </is>
      </c>
      <c r="CB34" s="14" t="n">
        <v>42</v>
      </c>
      <c r="CC34" s="14" t="n">
        <v>16644818</v>
      </c>
      <c r="CD34" s="617" t="n">
        <v>1376.30365988</v>
      </c>
      <c r="CE34" s="617" t="n">
        <v>2041.96044137</v>
      </c>
      <c r="CF34" s="617" t="n">
        <v>-665.656781489999</v>
      </c>
      <c r="CG34" s="617" t="n">
        <v>253264.08520251</v>
      </c>
      <c r="CH34" s="617" t="n">
        <v>251624.33816865</v>
      </c>
      <c r="CI34" s="17" t="n">
        <v>0</v>
      </c>
      <c r="CJ34" s="618" t="n">
        <v>0</v>
      </c>
      <c r="CK34" s="47" t="inlineStr">
        <is>
          <t>-</t>
        </is>
      </c>
      <c r="CL34" s="16" t="inlineStr">
        <is>
          <t>x</t>
        </is>
      </c>
      <c r="CM34" s="15" t="inlineStr">
        <is>
          <t>ELSS</t>
        </is>
      </c>
      <c r="CN34" s="14" t="n">
        <v>42</v>
      </c>
      <c r="CO34" s="14" t="n">
        <v>16604897</v>
      </c>
      <c r="CP34" s="617" t="n">
        <v>1337.41564218</v>
      </c>
      <c r="CQ34" s="617" t="n">
        <v>1907.58508131</v>
      </c>
      <c r="CR34" s="617" t="n">
        <v>-570.169439130001</v>
      </c>
      <c r="CS34" s="617" t="n">
        <v>254888.1650797</v>
      </c>
      <c r="CT34" s="617" t="n">
        <v>253628.44893611</v>
      </c>
      <c r="CU34" s="17" t="n">
        <v>0</v>
      </c>
      <c r="CV34" s="617" t="n">
        <v>0</v>
      </c>
      <c r="CW34" s="47" t="inlineStr">
        <is>
          <t>-</t>
        </is>
      </c>
      <c r="CX34" s="16" t="inlineStr">
        <is>
          <t>x</t>
        </is>
      </c>
      <c r="CY34" s="15" t="inlineStr">
        <is>
          <t>ELSS</t>
        </is>
      </c>
      <c r="CZ34" s="14" t="n">
        <v>42</v>
      </c>
      <c r="DA34" s="14" t="n">
        <v>16556812</v>
      </c>
      <c r="DB34" s="617" t="n">
        <v>1431.58915486</v>
      </c>
      <c r="DC34" s="617" t="n">
        <v>2149.31924807</v>
      </c>
      <c r="DD34" s="617" t="n">
        <v>-717.730093209999</v>
      </c>
      <c r="DE34" s="624" t="n">
        <v>252700.00898265</v>
      </c>
      <c r="DF34" s="617" t="n">
        <v>252252.97371015</v>
      </c>
      <c r="DG34" s="14" t="n">
        <v>0</v>
      </c>
      <c r="DH34" s="617" t="n">
        <v>0</v>
      </c>
      <c r="DI34" s="2" t="inlineStr">
        <is>
          <t>-</t>
        </is>
      </c>
      <c r="DJ34" s="620" t="inlineStr">
        <is>
          <t>x</t>
        </is>
      </c>
      <c r="DK34" s="621" t="inlineStr">
        <is>
          <t>ELSS</t>
        </is>
      </c>
      <c r="DL34" s="83" t="n">
        <v>41</v>
      </c>
      <c r="DM34" s="83" t="n">
        <v>16501822</v>
      </c>
      <c r="DN34" s="622" t="n">
        <v>1479.04627239</v>
      </c>
      <c r="DO34" s="622" t="n">
        <v>2072.73877664</v>
      </c>
      <c r="DP34" s="622" t="n">
        <v>-593.692504250002</v>
      </c>
      <c r="DQ34" s="625" t="n">
        <v>244287.63750869</v>
      </c>
      <c r="DR34" s="622" t="n">
        <v>247617.18099026</v>
      </c>
      <c r="DS34" s="83" t="n">
        <v>0</v>
      </c>
      <c r="DT34" s="622" t="n">
        <v>0</v>
      </c>
      <c r="DU34" s="2" t="inlineStr">
        <is>
          <t>-</t>
        </is>
      </c>
      <c r="DV34" s="127" t="n"/>
      <c r="DW34" s="128" t="n"/>
      <c r="DX34" s="2" t="inlineStr">
        <is>
          <t>-</t>
        </is>
      </c>
      <c r="DY34" s="127">
        <f>(DN34-DB34)/DB34</f>
        <v/>
      </c>
      <c r="DZ34" s="128">
        <f>(DP34-DD34)/DD34</f>
        <v/>
      </c>
      <c r="EA34" s="129">
        <f>(DR34-DF34)/DF34</f>
        <v/>
      </c>
    </row>
    <row r="35">
      <c r="A35" s="16" t="inlineStr">
        <is>
          <t>xi</t>
        </is>
      </c>
      <c r="B35" s="15" t="inlineStr">
        <is>
          <t>Flexi Cap Fund</t>
        </is>
      </c>
      <c r="C35" s="617" t="n">
        <v>435508.96836394</v>
      </c>
      <c r="D35" s="617" t="n">
        <v>422113.97876528</v>
      </c>
      <c r="E35" s="47" t="inlineStr">
        <is>
          <t>-</t>
        </is>
      </c>
      <c r="F35" s="16" t="inlineStr">
        <is>
          <t>xi</t>
        </is>
      </c>
      <c r="G35" s="15" t="inlineStr">
        <is>
          <t>Flexi Cap Fund</t>
        </is>
      </c>
      <c r="H35" s="14" t="n">
        <v>39</v>
      </c>
      <c r="I35" s="14" t="n">
        <v>18209314</v>
      </c>
      <c r="J35" s="617" t="n">
        <v>10026.30253736</v>
      </c>
      <c r="K35" s="617" t="n">
        <v>4484.58844103</v>
      </c>
      <c r="L35" s="617" t="n">
        <v>5541.71409633</v>
      </c>
      <c r="M35" s="617" t="n">
        <v>454667.90722698</v>
      </c>
      <c r="N35" s="617" t="n">
        <v>440289.91115334</v>
      </c>
      <c r="O35" s="14" t="n">
        <v>0</v>
      </c>
      <c r="P35" s="617" t="n">
        <v>0</v>
      </c>
      <c r="Q35" s="47" t="inlineStr">
        <is>
          <t>-</t>
        </is>
      </c>
      <c r="R35" s="16" t="inlineStr">
        <is>
          <t>xi</t>
        </is>
      </c>
      <c r="S35" s="15" t="inlineStr">
        <is>
          <t>Flexi Cap Fund</t>
        </is>
      </c>
      <c r="T35" s="14" t="n">
        <v>39</v>
      </c>
      <c r="U35" s="14" t="n">
        <v>18510887</v>
      </c>
      <c r="V35" s="617" t="n">
        <v>9241.59319105</v>
      </c>
      <c r="W35" s="617" t="n">
        <v>5400.27106426</v>
      </c>
      <c r="X35" s="617" t="n">
        <v>3841.32212679</v>
      </c>
      <c r="Y35" s="617" t="n">
        <v>471974.47724047</v>
      </c>
      <c r="Z35" s="617" t="n">
        <v>464765.75560953</v>
      </c>
      <c r="AA35" s="14" t="n">
        <v>0</v>
      </c>
      <c r="AB35" s="617" t="n">
        <v>0</v>
      </c>
      <c r="AC35" s="47" t="inlineStr">
        <is>
          <t>-</t>
        </is>
      </c>
      <c r="AD35" s="16" t="inlineStr">
        <is>
          <t>xi</t>
        </is>
      </c>
      <c r="AE35" s="15" t="inlineStr">
        <is>
          <t>Flexi Cap Fund</t>
        </is>
      </c>
      <c r="AF35" s="14" t="n">
        <v>40</v>
      </c>
      <c r="AG35" s="14" t="n">
        <v>18938944</v>
      </c>
      <c r="AH35" s="617" t="n">
        <v>9525.68852055</v>
      </c>
      <c r="AI35" s="617" t="n">
        <v>3792.5288971</v>
      </c>
      <c r="AJ35" s="617" t="n">
        <v>5733.15962345</v>
      </c>
      <c r="AK35" s="617" t="n">
        <v>494278.82600008</v>
      </c>
      <c r="AL35" s="617" t="n">
        <v>482665.22640117</v>
      </c>
      <c r="AM35" s="14" t="n">
        <v>0</v>
      </c>
      <c r="AN35" s="617" t="n">
        <v>0</v>
      </c>
      <c r="AO35" s="47" t="inlineStr">
        <is>
          <t>-</t>
        </is>
      </c>
      <c r="AP35" s="16" t="inlineStr">
        <is>
          <t>xi</t>
        </is>
      </c>
      <c r="AQ35" s="15" t="inlineStr">
        <is>
          <t>Flexi Cap Fund</t>
        </is>
      </c>
      <c r="AR35" s="14" t="n">
        <v>40</v>
      </c>
      <c r="AS35" s="14" t="n">
        <v>19448661</v>
      </c>
      <c r="AT35" s="617" t="n">
        <v>11378.2289679</v>
      </c>
      <c r="AU35" s="617" t="n">
        <v>3723.90189243</v>
      </c>
      <c r="AV35" s="617" t="n">
        <v>7654.32707547</v>
      </c>
      <c r="AW35" s="617" t="n">
        <v>493229.47165585</v>
      </c>
      <c r="AX35" s="617" t="n">
        <v>494656.51863463</v>
      </c>
      <c r="AY35" s="14" t="n">
        <v>0</v>
      </c>
      <c r="AZ35" s="617" t="n">
        <v>0</v>
      </c>
      <c r="BA35" s="47" t="inlineStr">
        <is>
          <t>-</t>
        </is>
      </c>
      <c r="BB35" s="16" t="inlineStr">
        <is>
          <t>xi</t>
        </is>
      </c>
      <c r="BC35" s="15" t="inlineStr">
        <is>
          <t>Flexi Cap Fund</t>
        </is>
      </c>
      <c r="BD35" s="14" t="n">
        <v>41</v>
      </c>
      <c r="BE35" s="14" t="n">
        <v>19838017</v>
      </c>
      <c r="BF35" s="617" t="n">
        <v>11664.64107634</v>
      </c>
      <c r="BG35" s="617" t="n">
        <v>3985.23929614</v>
      </c>
      <c r="BH35" s="617" t="n">
        <v>7679.4017802</v>
      </c>
      <c r="BI35" s="617" t="n">
        <v>495445.67712889</v>
      </c>
      <c r="BJ35" s="617" t="n">
        <v>497155.7640994</v>
      </c>
      <c r="BK35" s="14" t="n">
        <v>0</v>
      </c>
      <c r="BL35" s="617" t="n">
        <v>0</v>
      </c>
      <c r="BM35" s="47" t="inlineStr">
        <is>
          <t>-</t>
        </is>
      </c>
      <c r="BN35" s="19" t="inlineStr">
        <is>
          <t>xi</t>
        </is>
      </c>
      <c r="BO35" s="15" t="inlineStr">
        <is>
          <t>Flexi Cap Fund</t>
        </is>
      </c>
      <c r="BP35" s="14" t="n">
        <v>41</v>
      </c>
      <c r="BQ35" s="14" t="n">
        <v>20206005</v>
      </c>
      <c r="BR35" s="617" t="n">
        <v>11354.99941807</v>
      </c>
      <c r="BS35" s="617" t="n">
        <v>4325.73725681</v>
      </c>
      <c r="BT35" s="617" t="n">
        <v>7029.26216126</v>
      </c>
      <c r="BU35" s="617" t="n">
        <v>507916.03085569</v>
      </c>
      <c r="BV35" s="617" t="n">
        <v>512367.91943335</v>
      </c>
      <c r="BW35" s="17" t="n">
        <v>0</v>
      </c>
      <c r="BX35" s="618" t="n">
        <v>0</v>
      </c>
      <c r="BY35" s="47" t="inlineStr">
        <is>
          <t>-</t>
        </is>
      </c>
      <c r="BZ35" s="19" t="inlineStr">
        <is>
          <t>xi</t>
        </is>
      </c>
      <c r="CA35" s="15" t="inlineStr">
        <is>
          <t>Flexi Cap Fund</t>
        </is>
      </c>
      <c r="CB35" s="14" t="n">
        <v>43</v>
      </c>
      <c r="CC35" s="14" t="n">
        <v>21182395</v>
      </c>
      <c r="CD35" s="617" t="n">
        <v>12968.50083385</v>
      </c>
      <c r="CE35" s="617" t="n">
        <v>4039.79578586</v>
      </c>
      <c r="CF35" s="617" t="n">
        <v>8928.705047990001</v>
      </c>
      <c r="CG35" s="617" t="n">
        <v>533756.16522279</v>
      </c>
      <c r="CH35" s="617" t="n">
        <v>527143.34334101</v>
      </c>
      <c r="CI35" s="17" t="n">
        <v>0</v>
      </c>
      <c r="CJ35" s="618" t="n">
        <v>0</v>
      </c>
      <c r="CK35" s="47" t="inlineStr">
        <is>
          <t>-</t>
        </is>
      </c>
      <c r="CL35" s="16" t="inlineStr">
        <is>
          <t>xi</t>
        </is>
      </c>
      <c r="CM35" s="15" t="inlineStr">
        <is>
          <t>Flexi Cap Fund</t>
        </is>
      </c>
      <c r="CN35" s="14" t="n">
        <v>43</v>
      </c>
      <c r="CO35" s="14" t="n">
        <v>21635346</v>
      </c>
      <c r="CP35" s="617" t="n">
        <v>11822.38303068</v>
      </c>
      <c r="CQ35" s="617" t="n">
        <v>3687.37054792</v>
      </c>
      <c r="CR35" s="617" t="n">
        <v>8135.01248276001</v>
      </c>
      <c r="CS35" s="617" t="n">
        <v>545189.58110012</v>
      </c>
      <c r="CT35" s="617" t="n">
        <v>539124.73962522</v>
      </c>
      <c r="CU35" s="17" t="n">
        <v>0</v>
      </c>
      <c r="CV35" s="617" t="n">
        <v>0</v>
      </c>
      <c r="CW35" s="47" t="inlineStr">
        <is>
          <t>-</t>
        </is>
      </c>
      <c r="CX35" s="16" t="inlineStr">
        <is>
          <t>xi</t>
        </is>
      </c>
      <c r="CY35" s="15" t="inlineStr">
        <is>
          <t>Flexi Cap Fund</t>
        </is>
      </c>
      <c r="CZ35" s="14" t="n">
        <v>44</v>
      </c>
      <c r="DA35" s="14" t="n">
        <v>22050009</v>
      </c>
      <c r="DB35" s="617" t="n">
        <v>14910.64979657</v>
      </c>
      <c r="DC35" s="617" t="n">
        <v>4891.38112428</v>
      </c>
      <c r="DD35" s="617" t="n">
        <v>10019.26867229</v>
      </c>
      <c r="DE35" s="624" t="n">
        <v>551962.16862503</v>
      </c>
      <c r="DF35" s="617" t="n">
        <v>546559.61220011</v>
      </c>
      <c r="DG35" s="14" t="n">
        <v>0</v>
      </c>
      <c r="DH35" s="617" t="n">
        <v>0</v>
      </c>
      <c r="DI35" s="2" t="inlineStr">
        <is>
          <t>-</t>
        </is>
      </c>
      <c r="DJ35" s="620" t="inlineStr">
        <is>
          <t>xi</t>
        </is>
      </c>
      <c r="DK35" s="621" t="inlineStr">
        <is>
          <t>Flexi Cap Fund</t>
        </is>
      </c>
      <c r="DL35" s="83" t="n">
        <v>44</v>
      </c>
      <c r="DM35" s="83" t="n">
        <v>22515391</v>
      </c>
      <c r="DN35" s="622" t="n">
        <v>12827.39483699</v>
      </c>
      <c r="DO35" s="622" t="n">
        <v>5155.03481328</v>
      </c>
      <c r="DP35" s="622" t="n">
        <v>7672.36002371</v>
      </c>
      <c r="DQ35" s="625" t="n">
        <v>546946.61441015</v>
      </c>
      <c r="DR35" s="622" t="n">
        <v>549566.708792</v>
      </c>
      <c r="DS35" s="83" t="n">
        <v>0</v>
      </c>
      <c r="DT35" s="622" t="n">
        <v>0</v>
      </c>
      <c r="DU35" s="2" t="inlineStr">
        <is>
          <t>-</t>
        </is>
      </c>
      <c r="DV35" s="127" t="n"/>
      <c r="DW35" s="128" t="n"/>
      <c r="DX35" s="2" t="inlineStr">
        <is>
          <t>-</t>
        </is>
      </c>
      <c r="DY35" s="127">
        <f>(DN35-DB35)/DB35</f>
        <v/>
      </c>
      <c r="DZ35" s="128">
        <f>(DP35-DD35)/DD35</f>
        <v/>
      </c>
      <c r="EA35" s="129">
        <f>(DR35-DF35)/DF35</f>
        <v/>
      </c>
    </row>
    <row r="36">
      <c r="A36" s="25" t="n"/>
      <c r="B36" s="25" t="inlineStr">
        <is>
          <t>Sub Total - II (i+ii+iii+iv+v+vi+vii+viii+ix+x+xi)</t>
        </is>
      </c>
      <c r="C36" s="24">
        <f>SUM(C25:C35)</f>
        <v/>
      </c>
      <c r="D36" s="24">
        <f>SUM(D25:D35)</f>
        <v/>
      </c>
      <c r="E36" s="47" t="inlineStr">
        <is>
          <t>-</t>
        </is>
      </c>
      <c r="F36" s="25" t="n"/>
      <c r="G36" s="25" t="inlineStr">
        <is>
          <t>Sub Total - II (i+ii+iii+iv+v+vi+vii+viii+ix+x+xi)</t>
        </is>
      </c>
      <c r="H36" s="24">
        <f>SUM(H25:H35)</f>
        <v/>
      </c>
      <c r="I36" s="24">
        <f>SUM(I25:I35)</f>
        <v/>
      </c>
      <c r="J36" s="24">
        <f>SUM(J25:J35)</f>
        <v/>
      </c>
      <c r="K36" s="24">
        <f>SUM(K25:K35)</f>
        <v/>
      </c>
      <c r="L36" s="24">
        <f>SUM(L25:L35)</f>
        <v/>
      </c>
      <c r="M36" s="24">
        <f>SUM(M25:M35)</f>
        <v/>
      </c>
      <c r="N36" s="24">
        <f>SUM(N25:N35)</f>
        <v/>
      </c>
      <c r="O36" s="24">
        <f>SUM(O25:O35)</f>
        <v/>
      </c>
      <c r="P36" s="24">
        <f>SUM(P25:P35)</f>
        <v/>
      </c>
      <c r="Q36" s="47" t="inlineStr">
        <is>
          <t>-</t>
        </is>
      </c>
      <c r="R36" s="25" t="n"/>
      <c r="S36" s="25" t="inlineStr">
        <is>
          <t>Sub Total - II (i+ii+iii+iv+v+vi+vii+viii+ix+x+xi)</t>
        </is>
      </c>
      <c r="T36" s="24">
        <f>SUM(T25:T35)</f>
        <v/>
      </c>
      <c r="U36" s="24">
        <f>SUM(U25:U35)</f>
        <v/>
      </c>
      <c r="V36" s="24">
        <f>SUM(V25:V35)</f>
        <v/>
      </c>
      <c r="W36" s="24">
        <f>SUM(W25:W35)</f>
        <v/>
      </c>
      <c r="X36" s="24">
        <f>SUM(X25:X35)</f>
        <v/>
      </c>
      <c r="Y36" s="24">
        <f>SUM(Y25:Y35)</f>
        <v/>
      </c>
      <c r="Z36" s="24">
        <f>SUM(Z25:Z35)</f>
        <v/>
      </c>
      <c r="AA36" s="24">
        <f>SUM(AA25:AA35)</f>
        <v/>
      </c>
      <c r="AB36" s="24">
        <f>SUM(AB25:AB35)</f>
        <v/>
      </c>
      <c r="AC36" s="47" t="inlineStr">
        <is>
          <t>-</t>
        </is>
      </c>
      <c r="AD36" s="25" t="n"/>
      <c r="AE36" s="25" t="inlineStr">
        <is>
          <t>Sub Total - II (i+ii+iii+iv+v+vi+vii+viii+ix+x+xi)</t>
        </is>
      </c>
      <c r="AF36" s="24">
        <f>SUM(AF25:AF35)</f>
        <v/>
      </c>
      <c r="AG36" s="24">
        <f>SUM(AG25:AG35)</f>
        <v/>
      </c>
      <c r="AH36" s="24">
        <f>SUM(AH25:AH35)</f>
        <v/>
      </c>
      <c r="AI36" s="24">
        <f>SUM(AI25:AI35)</f>
        <v/>
      </c>
      <c r="AJ36" s="24">
        <f>SUM(AJ25:AJ35)</f>
        <v/>
      </c>
      <c r="AK36" s="24">
        <f>SUM(AK25:AK35)</f>
        <v/>
      </c>
      <c r="AL36" s="24">
        <f>SUM(AL25:AL35)</f>
        <v/>
      </c>
      <c r="AM36" s="24">
        <f>SUM(AM25:AM35)</f>
        <v/>
      </c>
      <c r="AN36" s="24">
        <f>SUM(AN25:AN35)</f>
        <v/>
      </c>
      <c r="AO36" s="47" t="inlineStr">
        <is>
          <t>-</t>
        </is>
      </c>
      <c r="AP36" s="25" t="n"/>
      <c r="AQ36" s="25" t="inlineStr">
        <is>
          <t>Sub Total - II (i+ii+iii+iv+v+vi+vii+viii+ix+x+xi)</t>
        </is>
      </c>
      <c r="AR36" s="24">
        <f>SUM(AR25:AR35)</f>
        <v/>
      </c>
      <c r="AS36" s="24">
        <f>SUM(AS25:AS35)</f>
        <v/>
      </c>
      <c r="AT36" s="24">
        <f>SUM(AT25:AT35)</f>
        <v/>
      </c>
      <c r="AU36" s="24">
        <f>SUM(AU25:AU35)</f>
        <v/>
      </c>
      <c r="AV36" s="24">
        <f>SUM(AV25:AV35)</f>
        <v/>
      </c>
      <c r="AW36" s="24">
        <f>SUM(AW25:AW35)</f>
        <v/>
      </c>
      <c r="AX36" s="24">
        <f>SUM(AX25:AX35)</f>
        <v/>
      </c>
      <c r="AY36" s="24">
        <f>SUM(AY25:AY35)</f>
        <v/>
      </c>
      <c r="AZ36" s="24">
        <f>SUM(AZ25:AZ35)</f>
        <v/>
      </c>
      <c r="BA36" s="47" t="inlineStr">
        <is>
          <t>-</t>
        </is>
      </c>
      <c r="BB36" s="25" t="n"/>
      <c r="BC36" s="25" t="inlineStr">
        <is>
          <t>Sub Total - II (i+ii+iii+iv+v+vi+vii+viii+ix+x+xi)</t>
        </is>
      </c>
      <c r="BD36" s="24">
        <f>SUM(BD25:BD35)</f>
        <v/>
      </c>
      <c r="BE36" s="24">
        <f>SUM(BE25:BE35)</f>
        <v/>
      </c>
      <c r="BF36" s="24">
        <f>SUM(BF25:BF35)</f>
        <v/>
      </c>
      <c r="BG36" s="24">
        <f>SUM(BG25:BG35)</f>
        <v/>
      </c>
      <c r="BH36" s="24">
        <f>SUM(BH25:BH35)</f>
        <v/>
      </c>
      <c r="BI36" s="24">
        <f>SUM(BI25:BI35)</f>
        <v/>
      </c>
      <c r="BJ36" s="24">
        <f>SUM(BJ25:BJ35)</f>
        <v/>
      </c>
      <c r="BK36" s="24">
        <f>SUM(BK25:BK35)</f>
        <v/>
      </c>
      <c r="BL36" s="24">
        <f>SUM(BL25:BL35)</f>
        <v/>
      </c>
      <c r="BM36" s="47" t="inlineStr">
        <is>
          <t>-</t>
        </is>
      </c>
      <c r="BN36" s="25" t="n"/>
      <c r="BO36" s="25" t="inlineStr">
        <is>
          <t>Sub Total - II (i+ii+iii+iv+v+vi+vii+viii+ix+x+xi)</t>
        </is>
      </c>
      <c r="BP36" s="24">
        <f>SUM(BP25:BP35)</f>
        <v/>
      </c>
      <c r="BQ36" s="24">
        <f>SUM(BQ25:BQ35)</f>
        <v/>
      </c>
      <c r="BR36" s="24">
        <f>SUM(BR25:BR35)</f>
        <v/>
      </c>
      <c r="BS36" s="24">
        <f>SUM(BS25:BS35)</f>
        <v/>
      </c>
      <c r="BT36" s="24">
        <f>SUM(BT25:BT35)</f>
        <v/>
      </c>
      <c r="BU36" s="24">
        <f>SUM(BU25:BU35)</f>
        <v/>
      </c>
      <c r="BV36" s="24">
        <f>SUM(BV25:BV35)</f>
        <v/>
      </c>
      <c r="BW36" s="24">
        <f>SUM(BW25:BW35)</f>
        <v/>
      </c>
      <c r="BX36" s="24">
        <f>SUM(BX25:BX35)</f>
        <v/>
      </c>
      <c r="BY36" s="47" t="inlineStr">
        <is>
          <t>-</t>
        </is>
      </c>
      <c r="BZ36" s="25" t="n"/>
      <c r="CA36" s="25" t="inlineStr">
        <is>
          <t>Sub Total - II (i+ii+iii+iv+v+vi+vii+viii+ix+x+xi)</t>
        </is>
      </c>
      <c r="CB36" s="24">
        <f>SUM(CB25:CB35)</f>
        <v/>
      </c>
      <c r="CC36" s="24">
        <f>SUM(CC25:CC35)</f>
        <v/>
      </c>
      <c r="CD36" s="24">
        <f>SUM(CD25:CD35)</f>
        <v/>
      </c>
      <c r="CE36" s="24">
        <f>SUM(CE25:CE35)</f>
        <v/>
      </c>
      <c r="CF36" s="24">
        <f>SUM(CF25:CF35)</f>
        <v/>
      </c>
      <c r="CG36" s="24">
        <f>SUM(CG25:CG35)</f>
        <v/>
      </c>
      <c r="CH36" s="24">
        <f>SUM(CH25:CH35)</f>
        <v/>
      </c>
      <c r="CI36" s="24">
        <f>SUM(CI25:CI35)</f>
        <v/>
      </c>
      <c r="CJ36" s="24">
        <f>SUM(CJ25:CJ35)</f>
        <v/>
      </c>
      <c r="CK36" s="47" t="inlineStr">
        <is>
          <t>-</t>
        </is>
      </c>
      <c r="CL36" s="25" t="n"/>
      <c r="CM36" s="25" t="inlineStr">
        <is>
          <t>Sub Total - II (i+ii+iii+iv+v+vi+vii+viii+ix+x+xi)</t>
        </is>
      </c>
      <c r="CN36" s="24">
        <f>SUM(CN25:CN35)</f>
        <v/>
      </c>
      <c r="CO36" s="24">
        <f>SUM(CO25:CO35)</f>
        <v/>
      </c>
      <c r="CP36" s="24">
        <f>SUM(CP25:CP35)</f>
        <v/>
      </c>
      <c r="CQ36" s="24">
        <f>SUM(CQ25:CQ35)</f>
        <v/>
      </c>
      <c r="CR36" s="24">
        <f>SUM(CR25:CR35)</f>
        <v/>
      </c>
      <c r="CS36" s="24">
        <f>SUM(CS25:CS35)</f>
        <v/>
      </c>
      <c r="CT36" s="24">
        <f>SUM(CT25:CT35)</f>
        <v/>
      </c>
      <c r="CU36" s="24">
        <f>SUM(CU25:CU35)</f>
        <v/>
      </c>
      <c r="CV36" s="24">
        <f>SUM(CV25:CV35)</f>
        <v/>
      </c>
      <c r="CW36" s="47" t="inlineStr">
        <is>
          <t>-</t>
        </is>
      </c>
      <c r="CX36" s="25" t="n"/>
      <c r="CY36" s="25" t="inlineStr">
        <is>
          <t>Sub Total - II (i+ii+iii+iv+v+vi+vii+viii+ix+x+xi)</t>
        </is>
      </c>
      <c r="CZ36" s="24">
        <f>SUM(CZ25:CZ35)</f>
        <v/>
      </c>
      <c r="DA36" s="24">
        <f>SUM(DA25:DA35)</f>
        <v/>
      </c>
      <c r="DB36" s="24">
        <f>SUM(DB25:DB35)</f>
        <v/>
      </c>
      <c r="DC36" s="24">
        <f>SUM(DC25:DC35)</f>
        <v/>
      </c>
      <c r="DD36" s="74">
        <f>SUM(DD25:DD35)</f>
        <v/>
      </c>
      <c r="DE36" s="108">
        <f>SUM(DE25:DE35)</f>
        <v/>
      </c>
      <c r="DF36" s="24">
        <f>SUM(DF25:DF35)</f>
        <v/>
      </c>
      <c r="DG36" s="24">
        <f>SUM(DG25:DG35)</f>
        <v/>
      </c>
      <c r="DH36" s="24">
        <f>SUM(DH25:DH35)</f>
        <v/>
      </c>
      <c r="DI36" s="47" t="inlineStr">
        <is>
          <t>-</t>
        </is>
      </c>
      <c r="DJ36" s="627" t="n"/>
      <c r="DK36" s="627" t="inlineStr">
        <is>
          <t>Sub Total - II (i+ii+iii+iv+v+vi+vii+viii+ix+x+xi)</t>
        </is>
      </c>
      <c r="DL36" s="24">
        <f>SUM(DL25:DL35)</f>
        <v/>
      </c>
      <c r="DM36" s="24">
        <f>SUM(DM25:DM35)</f>
        <v/>
      </c>
      <c r="DN36" s="24">
        <f>SUM(DN25:DN35)</f>
        <v/>
      </c>
      <c r="DO36" s="24">
        <f>SUM(DO25:DO35)</f>
        <v/>
      </c>
      <c r="DP36" s="74">
        <f>SUM(DP25:DP35)</f>
        <v/>
      </c>
      <c r="DQ36" s="108">
        <f>SUM(DQ25:DQ35)</f>
        <v/>
      </c>
      <c r="DR36" s="24">
        <f>SUM(DR25:DR35)</f>
        <v/>
      </c>
      <c r="DS36" s="24">
        <f>SUM(DS25:DS35)</f>
        <v/>
      </c>
      <c r="DT36" s="24">
        <f>SUM(DT25:DT35)</f>
        <v/>
      </c>
      <c r="DU36" s="47" t="inlineStr">
        <is>
          <t>-</t>
        </is>
      </c>
      <c r="DV36" s="127" t="n"/>
      <c r="DW36" s="128" t="n"/>
      <c r="DX36" s="47" t="inlineStr">
        <is>
          <t>-</t>
        </is>
      </c>
      <c r="DY36" s="127">
        <f>(DN36-DB36)/DB36</f>
        <v/>
      </c>
      <c r="DZ36" s="128">
        <f>(DP36-DD36)/DD36</f>
        <v/>
      </c>
      <c r="EA36" s="129">
        <f>(DR36-DF36)/DF36</f>
        <v/>
      </c>
    </row>
    <row r="37">
      <c r="A37" s="504" t="n"/>
      <c r="B37" s="7" t="n"/>
      <c r="C37" s="628" t="n"/>
      <c r="D37" s="628" t="n"/>
      <c r="E37" s="47" t="inlineStr">
        <is>
          <t>-</t>
        </is>
      </c>
      <c r="F37" s="504" t="n"/>
      <c r="G37" s="7" t="n"/>
      <c r="H37" s="53" t="n"/>
      <c r="I37" s="53" t="n"/>
      <c r="J37" s="628" t="n"/>
      <c r="K37" s="628" t="n"/>
      <c r="L37" s="628" t="n"/>
      <c r="M37" s="628" t="n"/>
      <c r="N37" s="628" t="n"/>
      <c r="O37" s="53" t="n"/>
      <c r="P37" s="628" t="n"/>
      <c r="Q37" s="47" t="inlineStr">
        <is>
          <t>-</t>
        </is>
      </c>
      <c r="R37" s="504" t="n"/>
      <c r="S37" s="7" t="n"/>
      <c r="T37" s="53" t="n"/>
      <c r="U37" s="53" t="n"/>
      <c r="V37" s="628" t="n"/>
      <c r="W37" s="628" t="n"/>
      <c r="X37" s="628" t="n"/>
      <c r="Y37" s="628" t="n"/>
      <c r="Z37" s="628" t="n"/>
      <c r="AA37" s="53" t="n"/>
      <c r="AB37" s="628" t="n"/>
      <c r="AC37" s="47" t="inlineStr">
        <is>
          <t>-</t>
        </is>
      </c>
      <c r="AD37" s="504" t="n"/>
      <c r="AE37" s="7" t="n"/>
      <c r="AF37" s="53" t="n"/>
      <c r="AG37" s="53" t="n"/>
      <c r="AH37" s="628" t="n"/>
      <c r="AI37" s="628" t="n"/>
      <c r="AJ37" s="628" t="n"/>
      <c r="AK37" s="628" t="n"/>
      <c r="AL37" s="628" t="n"/>
      <c r="AM37" s="53" t="n"/>
      <c r="AN37" s="628" t="n"/>
      <c r="AO37" s="47" t="inlineStr">
        <is>
          <t>-</t>
        </is>
      </c>
      <c r="AP37" s="504" t="n"/>
      <c r="AQ37" s="7" t="n"/>
      <c r="AR37" s="53" t="n"/>
      <c r="AS37" s="53" t="n"/>
      <c r="AT37" s="628" t="n"/>
      <c r="AU37" s="628" t="n"/>
      <c r="AV37" s="628" t="n"/>
      <c r="AW37" s="628" t="n"/>
      <c r="AX37" s="628" t="n"/>
      <c r="AY37" s="53" t="n"/>
      <c r="AZ37" s="628" t="n"/>
      <c r="BA37" s="47" t="inlineStr">
        <is>
          <t>-</t>
        </is>
      </c>
      <c r="BB37" s="58" t="n"/>
      <c r="BC37" s="7" t="n"/>
      <c r="BD37" s="59" t="n"/>
      <c r="BE37" s="59" t="n"/>
      <c r="BF37" s="631" t="n"/>
      <c r="BG37" s="631" t="n"/>
      <c r="BH37" s="631" t="n"/>
      <c r="BI37" s="631" t="n"/>
      <c r="BJ37" s="631" t="n"/>
      <c r="BK37" s="59" t="n"/>
      <c r="BL37" s="631" t="n"/>
      <c r="BM37" s="47" t="inlineStr">
        <is>
          <t>-</t>
        </is>
      </c>
      <c r="BN37" s="55" t="n"/>
      <c r="BO37" s="7" t="n"/>
      <c r="BP37" s="53" t="n"/>
      <c r="BQ37" s="53" t="n"/>
      <c r="BR37" s="628" t="n"/>
      <c r="BS37" s="628" t="n"/>
      <c r="BT37" s="628" t="n"/>
      <c r="BU37" s="628" t="n"/>
      <c r="BV37" s="628" t="n"/>
      <c r="BW37" s="56" t="n"/>
      <c r="BX37" s="629" t="n"/>
      <c r="BY37" s="47" t="inlineStr">
        <is>
          <t>-</t>
        </is>
      </c>
      <c r="BZ37" s="55" t="n"/>
      <c r="CA37" s="7" t="n"/>
      <c r="CB37" s="53" t="n"/>
      <c r="CC37" s="53" t="n"/>
      <c r="CD37" s="628" t="n"/>
      <c r="CE37" s="628" t="n"/>
      <c r="CF37" s="628" t="n"/>
      <c r="CG37" s="628" t="n"/>
      <c r="CH37" s="628" t="n"/>
      <c r="CI37" s="56" t="n"/>
      <c r="CJ37" s="629" t="n"/>
      <c r="CK37" s="47" t="inlineStr">
        <is>
          <t>-</t>
        </is>
      </c>
      <c r="CL37" s="504" t="n"/>
      <c r="CM37" s="7" t="n"/>
      <c r="CN37" s="53" t="n"/>
      <c r="CO37" s="53" t="n"/>
      <c r="CP37" s="628" t="n"/>
      <c r="CQ37" s="628" t="n"/>
      <c r="CR37" s="628" t="n"/>
      <c r="CS37" s="628" t="n"/>
      <c r="CT37" s="628" t="n"/>
      <c r="CU37" s="56" t="n"/>
      <c r="CV37" s="628" t="n"/>
      <c r="CW37" s="47" t="inlineStr">
        <is>
          <t>-</t>
        </is>
      </c>
      <c r="CX37" s="504" t="n"/>
      <c r="CY37" s="7" t="n"/>
      <c r="CZ37" s="53" t="n"/>
      <c r="DA37" s="53" t="n"/>
      <c r="DB37" s="628" t="n"/>
      <c r="DC37" s="628" t="n"/>
      <c r="DD37" s="628" t="n"/>
      <c r="DE37" s="628" t="n"/>
      <c r="DF37" s="628" t="n"/>
      <c r="DG37" s="53" t="n"/>
      <c r="DH37" s="628" t="n"/>
      <c r="DI37" s="2" t="inlineStr">
        <is>
          <t>-</t>
        </is>
      </c>
      <c r="DJ37" s="616" t="n"/>
      <c r="DK37" s="630" t="n"/>
      <c r="DL37" s="79" t="n"/>
      <c r="DM37" s="79" t="n"/>
      <c r="DN37" s="616" t="n"/>
      <c r="DO37" s="616" t="n"/>
      <c r="DP37" s="616" t="n"/>
      <c r="DQ37" s="616" t="n"/>
      <c r="DR37" s="616" t="n"/>
      <c r="DS37" s="79" t="n"/>
      <c r="DT37" s="616" t="n"/>
      <c r="DU37" s="2" t="inlineStr">
        <is>
          <t>-</t>
        </is>
      </c>
      <c r="DV37" s="103" t="n"/>
      <c r="DW37" s="103" t="n"/>
      <c r="DX37" s="2" t="inlineStr">
        <is>
          <t>-</t>
        </is>
      </c>
      <c r="DY37" s="103" t="inlineStr">
        <is>
          <t>-</t>
        </is>
      </c>
      <c r="DZ37" s="103" t="inlineStr">
        <is>
          <t>-</t>
        </is>
      </c>
      <c r="EA37" s="103" t="inlineStr">
        <is>
          <t>-</t>
        </is>
      </c>
    </row>
    <row r="38">
      <c r="A38" s="503" t="inlineStr">
        <is>
          <t>III</t>
        </is>
      </c>
      <c r="B38" s="20" t="inlineStr">
        <is>
          <t>Hybrid Schemes</t>
        </is>
      </c>
      <c r="C38" s="628" t="n"/>
      <c r="D38" s="628" t="n"/>
      <c r="E38" s="47" t="inlineStr">
        <is>
          <t>-</t>
        </is>
      </c>
      <c r="F38" s="503" t="inlineStr">
        <is>
          <t>III</t>
        </is>
      </c>
      <c r="G38" s="20" t="inlineStr">
        <is>
          <t>Hybrid Schemes</t>
        </is>
      </c>
      <c r="H38" s="53" t="n"/>
      <c r="I38" s="53" t="n"/>
      <c r="J38" s="628" t="n"/>
      <c r="K38" s="628" t="n"/>
      <c r="L38" s="628" t="n"/>
      <c r="M38" s="628" t="n"/>
      <c r="N38" s="628" t="n"/>
      <c r="O38" s="53" t="n"/>
      <c r="P38" s="628" t="n"/>
      <c r="Q38" s="47" t="inlineStr">
        <is>
          <t>-</t>
        </is>
      </c>
      <c r="R38" s="503" t="inlineStr">
        <is>
          <t>III</t>
        </is>
      </c>
      <c r="S38" s="20" t="inlineStr">
        <is>
          <t>Hybrid Schemes</t>
        </is>
      </c>
      <c r="T38" s="53" t="n"/>
      <c r="U38" s="53" t="n"/>
      <c r="V38" s="628" t="n"/>
      <c r="W38" s="628" t="n"/>
      <c r="X38" s="628" t="n"/>
      <c r="Y38" s="628" t="n"/>
      <c r="Z38" s="628" t="n"/>
      <c r="AA38" s="53" t="n"/>
      <c r="AB38" s="628" t="n"/>
      <c r="AC38" s="47" t="inlineStr">
        <is>
          <t>-</t>
        </is>
      </c>
      <c r="AD38" s="503" t="inlineStr">
        <is>
          <t>III</t>
        </is>
      </c>
      <c r="AE38" s="20" t="inlineStr">
        <is>
          <t>Hybrid Schemes</t>
        </is>
      </c>
      <c r="AF38" s="53" t="n"/>
      <c r="AG38" s="53" t="n"/>
      <c r="AH38" s="628" t="n"/>
      <c r="AI38" s="628" t="n"/>
      <c r="AJ38" s="628" t="n"/>
      <c r="AK38" s="628" t="n"/>
      <c r="AL38" s="628" t="n"/>
      <c r="AM38" s="53" t="n"/>
      <c r="AN38" s="628" t="n"/>
      <c r="AO38" s="47" t="inlineStr">
        <is>
          <t>-</t>
        </is>
      </c>
      <c r="AP38" s="503" t="inlineStr">
        <is>
          <t>III</t>
        </is>
      </c>
      <c r="AQ38" s="20" t="inlineStr">
        <is>
          <t>Hybrid Schemes</t>
        </is>
      </c>
      <c r="AR38" s="53" t="n"/>
      <c r="AS38" s="53" t="n"/>
      <c r="AT38" s="628" t="n"/>
      <c r="AU38" s="628" t="n"/>
      <c r="AV38" s="628" t="n"/>
      <c r="AW38" s="628" t="n"/>
      <c r="AX38" s="628" t="n"/>
      <c r="AY38" s="53" t="n"/>
      <c r="AZ38" s="628" t="n"/>
      <c r="BA38" s="47" t="inlineStr">
        <is>
          <t>-</t>
        </is>
      </c>
      <c r="BB38" s="503" t="inlineStr">
        <is>
          <t>III</t>
        </is>
      </c>
      <c r="BC38" s="20" t="inlineStr">
        <is>
          <t>Hybrid Schemes</t>
        </is>
      </c>
      <c r="BD38" s="53" t="n"/>
      <c r="BE38" s="53" t="n"/>
      <c r="BF38" s="628" t="n"/>
      <c r="BG38" s="628" t="n"/>
      <c r="BH38" s="628" t="n"/>
      <c r="BI38" s="628" t="n"/>
      <c r="BJ38" s="628" t="n"/>
      <c r="BK38" s="53" t="n"/>
      <c r="BL38" s="628" t="n"/>
      <c r="BM38" s="47" t="inlineStr">
        <is>
          <t>-</t>
        </is>
      </c>
      <c r="BN38" s="514" t="inlineStr">
        <is>
          <t>III</t>
        </is>
      </c>
      <c r="BO38" s="20" t="inlineStr">
        <is>
          <t>Hybrid Schemes</t>
        </is>
      </c>
      <c r="BP38" s="53" t="n"/>
      <c r="BQ38" s="53" t="n"/>
      <c r="BR38" s="628" t="n"/>
      <c r="BS38" s="628" t="n"/>
      <c r="BT38" s="628" t="n"/>
      <c r="BU38" s="628" t="n"/>
      <c r="BV38" s="628" t="n"/>
      <c r="BW38" s="56" t="n"/>
      <c r="BX38" s="629" t="n"/>
      <c r="BY38" s="47" t="inlineStr">
        <is>
          <t>-</t>
        </is>
      </c>
      <c r="BZ38" s="514" t="inlineStr">
        <is>
          <t>III</t>
        </is>
      </c>
      <c r="CA38" s="20" t="inlineStr">
        <is>
          <t>Hybrid Schemes</t>
        </is>
      </c>
      <c r="CB38" s="53" t="n"/>
      <c r="CC38" s="53" t="n"/>
      <c r="CD38" s="628" t="n"/>
      <c r="CE38" s="628" t="n"/>
      <c r="CF38" s="628" t="n"/>
      <c r="CG38" s="628" t="n"/>
      <c r="CH38" s="628" t="n"/>
      <c r="CI38" s="56" t="n"/>
      <c r="CJ38" s="629" t="n"/>
      <c r="CK38" s="47" t="inlineStr">
        <is>
          <t>-</t>
        </is>
      </c>
      <c r="CL38" s="503" t="inlineStr">
        <is>
          <t>III</t>
        </is>
      </c>
      <c r="CM38" s="20" t="inlineStr">
        <is>
          <t>Hybrid Schemes</t>
        </is>
      </c>
      <c r="CN38" s="53" t="n"/>
      <c r="CO38" s="53" t="n"/>
      <c r="CP38" s="628" t="n"/>
      <c r="CQ38" s="628" t="n"/>
      <c r="CR38" s="628" t="n"/>
      <c r="CS38" s="628" t="n"/>
      <c r="CT38" s="628" t="n"/>
      <c r="CU38" s="56" t="n"/>
      <c r="CV38" s="628" t="n"/>
      <c r="CW38" s="47" t="inlineStr">
        <is>
          <t>-</t>
        </is>
      </c>
      <c r="CX38" s="503" t="inlineStr">
        <is>
          <t>III</t>
        </is>
      </c>
      <c r="CY38" s="20" t="inlineStr">
        <is>
          <t>Hybrid Schemes</t>
        </is>
      </c>
      <c r="CZ38" s="53" t="n"/>
      <c r="DA38" s="53" t="n"/>
      <c r="DB38" s="628" t="n"/>
      <c r="DC38" s="628" t="n"/>
      <c r="DD38" s="628" t="n"/>
      <c r="DE38" s="628" t="n"/>
      <c r="DF38" s="628" t="n"/>
      <c r="DG38" s="53" t="n"/>
      <c r="DH38" s="628" t="n"/>
      <c r="DI38" s="2" t="inlineStr">
        <is>
          <t>-</t>
        </is>
      </c>
      <c r="DJ38" s="612" t="inlineStr">
        <is>
          <t>III</t>
        </is>
      </c>
      <c r="DK38" s="615" t="inlineStr">
        <is>
          <t>Hybrid Schemes</t>
        </is>
      </c>
      <c r="DL38" s="79" t="n"/>
      <c r="DM38" s="79" t="n"/>
      <c r="DN38" s="616" t="n"/>
      <c r="DO38" s="616" t="n"/>
      <c r="DP38" s="616" t="n"/>
      <c r="DQ38" s="616" t="n"/>
      <c r="DR38" s="616" t="n"/>
      <c r="DS38" s="79" t="n"/>
      <c r="DT38" s="616" t="n"/>
      <c r="DU38" s="2" t="inlineStr">
        <is>
          <t>-</t>
        </is>
      </c>
      <c r="DV38" s="103" t="n"/>
      <c r="DW38" s="103" t="n"/>
      <c r="DX38" s="2" t="inlineStr">
        <is>
          <t>-</t>
        </is>
      </c>
      <c r="DY38" s="103" t="inlineStr">
        <is>
          <t>-</t>
        </is>
      </c>
      <c r="DZ38" s="103" t="inlineStr">
        <is>
          <t>-</t>
        </is>
      </c>
      <c r="EA38" s="103" t="inlineStr">
        <is>
          <t>-</t>
        </is>
      </c>
    </row>
    <row r="39">
      <c r="A39" s="16" t="inlineStr">
        <is>
          <t>i</t>
        </is>
      </c>
      <c r="B39" s="15" t="inlineStr">
        <is>
          <t>Conservative Hybrid Fund</t>
        </is>
      </c>
      <c r="C39" s="617" t="n">
        <v>28124.4855275</v>
      </c>
      <c r="D39" s="617" t="n">
        <v>27918.75272202</v>
      </c>
      <c r="E39" s="47" t="inlineStr">
        <is>
          <t>-</t>
        </is>
      </c>
      <c r="F39" s="16" t="inlineStr">
        <is>
          <t>i</t>
        </is>
      </c>
      <c r="G39" s="15" t="inlineStr">
        <is>
          <t>Conservative Hybrid Fund</t>
        </is>
      </c>
      <c r="H39" s="14" t="n">
        <v>18</v>
      </c>
      <c r="I39" s="14" t="n">
        <v>550659</v>
      </c>
      <c r="J39" s="617" t="n">
        <v>311.47520924</v>
      </c>
      <c r="K39" s="617" t="n">
        <v>547.87967494</v>
      </c>
      <c r="L39" s="617" t="n">
        <v>-236.4044657</v>
      </c>
      <c r="M39" s="617" t="n">
        <v>28359.40550768</v>
      </c>
      <c r="N39" s="617" t="n">
        <v>28180.96931756</v>
      </c>
      <c r="O39" s="14" t="n">
        <v>1</v>
      </c>
      <c r="P39" s="617" t="n">
        <v>0</v>
      </c>
      <c r="Q39" s="47" t="inlineStr">
        <is>
          <t>-</t>
        </is>
      </c>
      <c r="R39" s="16" t="inlineStr">
        <is>
          <t>i</t>
        </is>
      </c>
      <c r="S39" s="15" t="inlineStr">
        <is>
          <t>Conservative Hybrid Fund</t>
        </is>
      </c>
      <c r="T39" s="14" t="n">
        <v>18</v>
      </c>
      <c r="U39" s="14" t="n">
        <v>555080</v>
      </c>
      <c r="V39" s="617" t="n">
        <v>470.82032983</v>
      </c>
      <c r="W39" s="617" t="n">
        <v>381.51204807</v>
      </c>
      <c r="X39" s="617" t="n">
        <v>89.30828176</v>
      </c>
      <c r="Y39" s="617" t="n">
        <v>28825.3479287</v>
      </c>
      <c r="Z39" s="617" t="n">
        <v>28579.25769863</v>
      </c>
      <c r="AA39" s="14" t="n">
        <v>1</v>
      </c>
      <c r="AB39" s="617" t="n">
        <v>0</v>
      </c>
      <c r="AC39" s="47" t="inlineStr">
        <is>
          <t>-</t>
        </is>
      </c>
      <c r="AD39" s="16" t="inlineStr">
        <is>
          <t>i</t>
        </is>
      </c>
      <c r="AE39" s="15" t="inlineStr">
        <is>
          <t>Conservative Hybrid Fund</t>
        </is>
      </c>
      <c r="AF39" s="14" t="n">
        <v>18</v>
      </c>
      <c r="AG39" s="14" t="n">
        <v>560827</v>
      </c>
      <c r="AH39" s="617" t="n">
        <v>496.84869965</v>
      </c>
      <c r="AI39" s="617" t="n">
        <v>358.67259826</v>
      </c>
      <c r="AJ39" s="617" t="n">
        <v>138.17610139</v>
      </c>
      <c r="AK39" s="617" t="n">
        <v>29084.82881079</v>
      </c>
      <c r="AL39" s="617" t="n">
        <v>28953.16499812</v>
      </c>
      <c r="AM39" s="14" t="n">
        <v>1</v>
      </c>
      <c r="AN39" s="617" t="n">
        <v>0</v>
      </c>
      <c r="AO39" s="47" t="inlineStr">
        <is>
          <t>-</t>
        </is>
      </c>
      <c r="AP39" s="16" t="inlineStr">
        <is>
          <t>i</t>
        </is>
      </c>
      <c r="AQ39" s="15" t="inlineStr">
        <is>
          <t>Conservative Hybrid Fund</t>
        </is>
      </c>
      <c r="AR39" s="14" t="n">
        <v>18</v>
      </c>
      <c r="AS39" s="14" t="n">
        <v>566649</v>
      </c>
      <c r="AT39" s="617" t="n">
        <v>738.40746182</v>
      </c>
      <c r="AU39" s="617" t="n">
        <v>430.23692902</v>
      </c>
      <c r="AV39" s="617" t="n">
        <v>308.1705328</v>
      </c>
      <c r="AW39" s="617" t="n">
        <v>29421.04246799</v>
      </c>
      <c r="AX39" s="617" t="n">
        <v>29335.74526753</v>
      </c>
      <c r="AY39" s="14" t="n">
        <v>1</v>
      </c>
      <c r="AZ39" s="617" t="n">
        <v>0</v>
      </c>
      <c r="BA39" s="47" t="inlineStr">
        <is>
          <t>-</t>
        </is>
      </c>
      <c r="BB39" s="16" t="inlineStr">
        <is>
          <t>i</t>
        </is>
      </c>
      <c r="BC39" s="15" t="inlineStr">
        <is>
          <t>Conservative Hybrid Fund</t>
        </is>
      </c>
      <c r="BD39" s="14" t="n">
        <v>18</v>
      </c>
      <c r="BE39" s="14" t="n">
        <v>570583</v>
      </c>
      <c r="BF39" s="617" t="n">
        <v>390.59679705</v>
      </c>
      <c r="BG39" s="617" t="n">
        <v>346.97811289</v>
      </c>
      <c r="BH39" s="617" t="n">
        <v>43.6186841599999</v>
      </c>
      <c r="BI39" s="617" t="n">
        <v>29268.17792339</v>
      </c>
      <c r="BJ39" s="617" t="n">
        <v>29406.61505616</v>
      </c>
      <c r="BK39" s="14" t="n">
        <v>1</v>
      </c>
      <c r="BL39" s="617" t="n">
        <v>0</v>
      </c>
      <c r="BM39" s="47" t="inlineStr">
        <is>
          <t>-</t>
        </is>
      </c>
      <c r="BN39" s="19" t="inlineStr">
        <is>
          <t>i</t>
        </is>
      </c>
      <c r="BO39" s="15" t="inlineStr">
        <is>
          <t>Conservative Hybrid Fund</t>
        </is>
      </c>
      <c r="BP39" s="14" t="n">
        <v>18</v>
      </c>
      <c r="BQ39" s="14" t="n">
        <v>572447</v>
      </c>
      <c r="BR39" s="617" t="n">
        <v>400.75326372</v>
      </c>
      <c r="BS39" s="617" t="n">
        <v>446.74661541</v>
      </c>
      <c r="BT39" s="617" t="n">
        <v>-45.9933516899996</v>
      </c>
      <c r="BU39" s="617" t="n">
        <v>29492.1140183</v>
      </c>
      <c r="BV39" s="617" t="n">
        <v>29523.28089088</v>
      </c>
      <c r="BW39" s="17" t="n">
        <v>1</v>
      </c>
      <c r="BX39" s="618" t="n">
        <v>0</v>
      </c>
      <c r="BY39" s="47" t="inlineStr">
        <is>
          <t>-</t>
        </is>
      </c>
      <c r="BZ39" s="19" t="inlineStr">
        <is>
          <t>i</t>
        </is>
      </c>
      <c r="CA39" s="15" t="inlineStr">
        <is>
          <t>Conservative Hybrid Fund</t>
        </is>
      </c>
      <c r="CB39" s="14" t="n">
        <v>18</v>
      </c>
      <c r="CC39" s="14" t="n">
        <v>573771</v>
      </c>
      <c r="CD39" s="617" t="n">
        <v>479.6423888</v>
      </c>
      <c r="CE39" s="617" t="n">
        <v>477.80317936</v>
      </c>
      <c r="CF39" s="617" t="n">
        <v>1.83920943999965</v>
      </c>
      <c r="CG39" s="617" t="n">
        <v>29877.7012392</v>
      </c>
      <c r="CH39" s="617" t="n">
        <v>29834.40377778</v>
      </c>
      <c r="CI39" s="17" t="n">
        <v>1</v>
      </c>
      <c r="CJ39" s="618" t="n">
        <v>0</v>
      </c>
      <c r="CK39" s="47" t="inlineStr">
        <is>
          <t>-</t>
        </is>
      </c>
      <c r="CL39" s="16" t="inlineStr">
        <is>
          <t>i</t>
        </is>
      </c>
      <c r="CM39" s="15" t="inlineStr">
        <is>
          <t>Conservative Hybrid Fund</t>
        </is>
      </c>
      <c r="CN39" s="14" t="n">
        <v>18</v>
      </c>
      <c r="CO39" s="14" t="n">
        <v>575592</v>
      </c>
      <c r="CP39" s="617" t="n">
        <v>367.15741281</v>
      </c>
      <c r="CQ39" s="617" t="n">
        <v>461.62355572</v>
      </c>
      <c r="CR39" s="617" t="n">
        <v>-94.4661429099997</v>
      </c>
      <c r="CS39" s="617" t="n">
        <v>29936.93840142</v>
      </c>
      <c r="CT39" s="617" t="n">
        <v>29947.10215958</v>
      </c>
      <c r="CU39" s="17" t="n">
        <v>1</v>
      </c>
      <c r="CV39" s="617" t="n">
        <v>0</v>
      </c>
      <c r="CW39" s="47" t="inlineStr">
        <is>
          <t>-</t>
        </is>
      </c>
      <c r="CX39" s="16" t="inlineStr">
        <is>
          <t>i</t>
        </is>
      </c>
      <c r="CY39" s="15" t="inlineStr">
        <is>
          <t>Conservative Hybrid Fund</t>
        </is>
      </c>
      <c r="CZ39" s="14" t="n">
        <v>18</v>
      </c>
      <c r="DA39" s="14" t="n">
        <v>575909</v>
      </c>
      <c r="DB39" s="617" t="n">
        <v>381.58755112</v>
      </c>
      <c r="DC39" s="617" t="n">
        <v>499.98232431</v>
      </c>
      <c r="DD39" s="617" t="n">
        <v>-118.39477319</v>
      </c>
      <c r="DE39" s="624" t="n">
        <v>29769.23550701</v>
      </c>
      <c r="DF39" s="617" t="n">
        <v>29829.43203038</v>
      </c>
      <c r="DG39" s="14" t="n">
        <v>1</v>
      </c>
      <c r="DH39" s="617" t="n">
        <v>0</v>
      </c>
      <c r="DI39" s="2" t="inlineStr">
        <is>
          <t>-</t>
        </is>
      </c>
      <c r="DJ39" s="620" t="inlineStr">
        <is>
          <t>i</t>
        </is>
      </c>
      <c r="DK39" s="621" t="inlineStr">
        <is>
          <t>Conservative Hybrid Fund</t>
        </is>
      </c>
      <c r="DL39" s="83" t="n">
        <v>18</v>
      </c>
      <c r="DM39" s="83" t="n">
        <v>576220</v>
      </c>
      <c r="DN39" s="622" t="n">
        <v>424.27986911</v>
      </c>
      <c r="DO39" s="622" t="n">
        <v>501.493571800001</v>
      </c>
      <c r="DP39" s="622" t="n">
        <v>-77.2137026900004</v>
      </c>
      <c r="DQ39" s="625" t="n">
        <v>29527.20377438</v>
      </c>
      <c r="DR39" s="622" t="n">
        <v>29674.29655294</v>
      </c>
      <c r="DS39" s="83" t="n">
        <v>1</v>
      </c>
      <c r="DT39" s="622" t="n">
        <v>0</v>
      </c>
      <c r="DU39" s="2" t="inlineStr">
        <is>
          <t>-</t>
        </is>
      </c>
      <c r="DV39" s="127" t="n"/>
      <c r="DW39" s="128" t="n"/>
      <c r="DX39" s="2" t="inlineStr">
        <is>
          <t>-</t>
        </is>
      </c>
      <c r="DY39" s="127">
        <f>(DN39-DB39)/DB39</f>
        <v/>
      </c>
      <c r="DZ39" s="128">
        <f>(DP39-DD39)/DD39</f>
        <v/>
      </c>
      <c r="EA39" s="129">
        <f>(DR39-DF39)/DF39</f>
        <v/>
      </c>
    </row>
    <row r="40">
      <c r="A40" s="16" t="inlineStr">
        <is>
          <t>ii</t>
        </is>
      </c>
      <c r="B40" s="15" t="inlineStr">
        <is>
          <t>Balanced Hybrid Fund/Aggressive Hybrid Fund</t>
        </is>
      </c>
      <c r="C40" s="617" t="n">
        <v>219203.8564564</v>
      </c>
      <c r="D40" s="617" t="n">
        <v>214953.72593523</v>
      </c>
      <c r="E40" s="47" t="inlineStr">
        <is>
          <t>-</t>
        </is>
      </c>
      <c r="F40" s="16" t="inlineStr">
        <is>
          <t>ii</t>
        </is>
      </c>
      <c r="G40" s="15" t="inlineStr">
        <is>
          <t>Balanced Hybrid Fund/Aggressive Hybrid Fund</t>
        </is>
      </c>
      <c r="H40" s="14" t="n">
        <v>31</v>
      </c>
      <c r="I40" s="14" t="n">
        <v>5786464</v>
      </c>
      <c r="J40" s="617" t="n">
        <v>2442.8368727</v>
      </c>
      <c r="K40" s="617" t="n">
        <v>2594.30966523</v>
      </c>
      <c r="L40" s="617" t="n">
        <v>-151.47279253</v>
      </c>
      <c r="M40" s="617" t="n">
        <v>226008.03756942</v>
      </c>
      <c r="N40" s="617" t="n">
        <v>221668.36015423</v>
      </c>
      <c r="O40" s="14" t="n">
        <v>1</v>
      </c>
      <c r="P40" s="617" t="n">
        <v>0</v>
      </c>
      <c r="Q40" s="47" t="inlineStr">
        <is>
          <t>-</t>
        </is>
      </c>
      <c r="R40" s="16" t="inlineStr">
        <is>
          <t>ii</t>
        </is>
      </c>
      <c r="S40" s="15" t="inlineStr">
        <is>
          <t>Balanced Hybrid Fund/Aggressive Hybrid Fund</t>
        </is>
      </c>
      <c r="T40" s="14" t="n">
        <v>31</v>
      </c>
      <c r="U40" s="14" t="n">
        <v>5805601</v>
      </c>
      <c r="V40" s="617" t="n">
        <v>2625.09258407</v>
      </c>
      <c r="W40" s="617" t="n">
        <v>2283.70227379</v>
      </c>
      <c r="X40" s="617" t="n">
        <v>341.39031028</v>
      </c>
      <c r="Y40" s="617" t="n">
        <v>231900.97609916</v>
      </c>
      <c r="Z40" s="617" t="n">
        <v>229986.38955148</v>
      </c>
      <c r="AA40" s="14" t="n">
        <v>1</v>
      </c>
      <c r="AB40" s="617" t="n">
        <v>0</v>
      </c>
      <c r="AC40" s="47" t="inlineStr">
        <is>
          <t>-</t>
        </is>
      </c>
      <c r="AD40" s="16" t="inlineStr">
        <is>
          <t>ii</t>
        </is>
      </c>
      <c r="AE40" s="15" t="inlineStr">
        <is>
          <t>Balanced Hybrid Fund/Aggressive Hybrid Fund</t>
        </is>
      </c>
      <c r="AF40" s="14" t="n">
        <v>31</v>
      </c>
      <c r="AG40" s="14" t="n">
        <v>5847771</v>
      </c>
      <c r="AH40" s="617" t="n">
        <v>3323.39751296</v>
      </c>
      <c r="AI40" s="617" t="n">
        <v>1991.89723487</v>
      </c>
      <c r="AJ40" s="617" t="n">
        <v>1331.50027809</v>
      </c>
      <c r="AK40" s="617" t="n">
        <v>238686.35962141</v>
      </c>
      <c r="AL40" s="617" t="n">
        <v>236080.74234331</v>
      </c>
      <c r="AM40" s="14" t="n">
        <v>1</v>
      </c>
      <c r="AN40" s="617" t="n">
        <v>0</v>
      </c>
      <c r="AO40" s="47" t="inlineStr">
        <is>
          <t>-</t>
        </is>
      </c>
      <c r="AP40" s="16" t="inlineStr">
        <is>
          <t>ii</t>
        </is>
      </c>
      <c r="AQ40" s="15" t="inlineStr">
        <is>
          <t>Balanced Hybrid Fund/Aggressive Hybrid Fund</t>
        </is>
      </c>
      <c r="AR40" s="14" t="n">
        <v>31</v>
      </c>
      <c r="AS40" s="14" t="n">
        <v>5912528</v>
      </c>
      <c r="AT40" s="617" t="n">
        <v>4305.69448242</v>
      </c>
      <c r="AU40" s="617" t="n">
        <v>1942.13029039</v>
      </c>
      <c r="AV40" s="617" t="n">
        <v>2363.56419203</v>
      </c>
      <c r="AW40" s="617" t="n">
        <v>237969.21354423</v>
      </c>
      <c r="AX40" s="617" t="n">
        <v>240277.48253689</v>
      </c>
      <c r="AY40" s="14" t="n">
        <v>1</v>
      </c>
      <c r="AZ40" s="617" t="n">
        <v>0</v>
      </c>
      <c r="BA40" s="47" t="inlineStr">
        <is>
          <t>-</t>
        </is>
      </c>
      <c r="BB40" s="16" t="inlineStr">
        <is>
          <t>ii</t>
        </is>
      </c>
      <c r="BC40" s="15" t="inlineStr">
        <is>
          <t>Balanced Hybrid Fund/Aggressive Hybrid Fund</t>
        </is>
      </c>
      <c r="BD40" s="14" t="n">
        <v>31</v>
      </c>
      <c r="BE40" s="14" t="n">
        <v>5964898</v>
      </c>
      <c r="BF40" s="617" t="n">
        <v>3519.38096432</v>
      </c>
      <c r="BG40" s="617" t="n">
        <v>1648.9854715</v>
      </c>
      <c r="BH40" s="617" t="n">
        <v>1870.39549282</v>
      </c>
      <c r="BI40" s="617" t="n">
        <v>236817.91054912</v>
      </c>
      <c r="BJ40" s="617" t="n">
        <v>238877.01303871</v>
      </c>
      <c r="BK40" s="14" t="n">
        <v>1</v>
      </c>
      <c r="BL40" s="617" t="n">
        <v>0</v>
      </c>
      <c r="BM40" s="47" t="inlineStr">
        <is>
          <t>-</t>
        </is>
      </c>
      <c r="BN40" s="19" t="inlineStr">
        <is>
          <t>ii</t>
        </is>
      </c>
      <c r="BO40" s="15" t="inlineStr">
        <is>
          <t>Balanced Hybrid Fund/Aggressive Hybrid Fund</t>
        </is>
      </c>
      <c r="BP40" s="14" t="n">
        <v>31</v>
      </c>
      <c r="BQ40" s="14" t="n">
        <v>6011535</v>
      </c>
      <c r="BR40" s="617" t="n">
        <v>4032.03076061</v>
      </c>
      <c r="BS40" s="617" t="n">
        <v>2018.29650438</v>
      </c>
      <c r="BT40" s="617" t="n">
        <v>2013.73425623</v>
      </c>
      <c r="BU40" s="617" t="n">
        <v>241559.83442069</v>
      </c>
      <c r="BV40" s="617" t="n">
        <v>243393.86207904</v>
      </c>
      <c r="BW40" s="17" t="n">
        <v>1</v>
      </c>
      <c r="BX40" s="618" t="n">
        <v>0</v>
      </c>
      <c r="BY40" s="47" t="inlineStr">
        <is>
          <t>-</t>
        </is>
      </c>
      <c r="BZ40" s="19" t="inlineStr">
        <is>
          <t>ii</t>
        </is>
      </c>
      <c r="CA40" s="15" t="inlineStr">
        <is>
          <t>Balanced Hybrid Fund/Aggressive Hybrid Fund</t>
        </is>
      </c>
      <c r="CB40" s="14" t="n">
        <v>31</v>
      </c>
      <c r="CC40" s="14" t="n">
        <v>6044444</v>
      </c>
      <c r="CD40" s="617" t="n">
        <v>3282.78819634</v>
      </c>
      <c r="CE40" s="617" t="n">
        <v>2143.61165575</v>
      </c>
      <c r="CF40" s="617" t="n">
        <v>1139.17654059</v>
      </c>
      <c r="CG40" s="617" t="n">
        <v>250052.41125162</v>
      </c>
      <c r="CH40" s="617" t="n">
        <v>249009.90008138</v>
      </c>
      <c r="CI40" s="17" t="n">
        <v>1</v>
      </c>
      <c r="CJ40" s="618" t="n">
        <v>0</v>
      </c>
      <c r="CK40" s="47" t="inlineStr">
        <is>
          <t>-</t>
        </is>
      </c>
      <c r="CL40" s="16" t="inlineStr">
        <is>
          <t>ii</t>
        </is>
      </c>
      <c r="CM40" s="15" t="inlineStr">
        <is>
          <t>Balanced Hybrid Fund/Aggressive Hybrid Fund</t>
        </is>
      </c>
      <c r="CN40" s="14" t="n">
        <v>31</v>
      </c>
      <c r="CO40" s="14" t="n">
        <v>6089957</v>
      </c>
      <c r="CP40" s="617" t="n">
        <v>3551.10029888</v>
      </c>
      <c r="CQ40" s="617" t="n">
        <v>2165.76345051</v>
      </c>
      <c r="CR40" s="617" t="n">
        <v>1385.33684837</v>
      </c>
      <c r="CS40" s="617" t="n">
        <v>253121.17780773</v>
      </c>
      <c r="CT40" s="617" t="n">
        <v>252228.23653985</v>
      </c>
      <c r="CU40" s="17" t="n">
        <v>1</v>
      </c>
      <c r="CV40" s="617" t="n">
        <v>0</v>
      </c>
      <c r="CW40" s="47" t="inlineStr">
        <is>
          <t>-</t>
        </is>
      </c>
      <c r="CX40" s="16" t="inlineStr">
        <is>
          <t>ii</t>
        </is>
      </c>
      <c r="CY40" s="15" t="inlineStr">
        <is>
          <t>Balanced Hybrid Fund/Aggressive Hybrid Fund</t>
        </is>
      </c>
      <c r="CZ40" s="14" t="n">
        <v>31</v>
      </c>
      <c r="DA40" s="14" t="n">
        <v>6134634</v>
      </c>
      <c r="DB40" s="617" t="n">
        <v>3824.20995433</v>
      </c>
      <c r="DC40" s="617" t="n">
        <v>2310.35074984</v>
      </c>
      <c r="DD40" s="617" t="n">
        <v>1513.85920449</v>
      </c>
      <c r="DE40" s="624" t="n">
        <v>253233.72907447</v>
      </c>
      <c r="DF40" s="617" t="n">
        <v>253602.36232583</v>
      </c>
      <c r="DG40" s="14" t="n">
        <v>1</v>
      </c>
      <c r="DH40" s="617" t="n">
        <v>0</v>
      </c>
      <c r="DI40" s="2" t="inlineStr">
        <is>
          <t>-</t>
        </is>
      </c>
      <c r="DJ40" s="620" t="inlineStr">
        <is>
          <t>ii</t>
        </is>
      </c>
      <c r="DK40" s="621" t="inlineStr">
        <is>
          <t>Balanced Hybrid Fund/Aggressive Hybrid Fund</t>
        </is>
      </c>
      <c r="DL40" s="83" t="n">
        <v>31</v>
      </c>
      <c r="DM40" s="83" t="n">
        <v>6177349</v>
      </c>
      <c r="DN40" s="622" t="n">
        <v>3973.7079815</v>
      </c>
      <c r="DO40" s="622" t="n">
        <v>2295.54438738</v>
      </c>
      <c r="DP40" s="622" t="n">
        <v>1678.16359412</v>
      </c>
      <c r="DQ40" s="625" t="n">
        <v>249182.02971814</v>
      </c>
      <c r="DR40" s="622" t="n">
        <v>252120.46850725</v>
      </c>
      <c r="DS40" s="83" t="n">
        <v>1</v>
      </c>
      <c r="DT40" s="622" t="n">
        <v>0</v>
      </c>
      <c r="DU40" s="2" t="inlineStr">
        <is>
          <t>-</t>
        </is>
      </c>
      <c r="DV40" s="127" t="n"/>
      <c r="DW40" s="128" t="n"/>
      <c r="DX40" s="2" t="inlineStr">
        <is>
          <t>-</t>
        </is>
      </c>
      <c r="DY40" s="127">
        <f>(DN40-DB40)/DB40</f>
        <v/>
      </c>
      <c r="DZ40" s="128">
        <f>(DP40-DD40)/DD40</f>
        <v/>
      </c>
      <c r="EA40" s="129">
        <f>(DR40-DF40)/DF40</f>
        <v/>
      </c>
    </row>
    <row r="41">
      <c r="A41" s="16" t="inlineStr">
        <is>
          <t>iii</t>
        </is>
      </c>
      <c r="B41" s="15" t="inlineStr">
        <is>
          <t>Dynamic Asset Allocation/Balanced Advantage Fund</t>
        </is>
      </c>
      <c r="C41" s="617" t="n">
        <v>283673.40398094</v>
      </c>
      <c r="D41" s="617" t="n">
        <v>279386.23272845</v>
      </c>
      <c r="E41" s="47" t="inlineStr">
        <is>
          <t>-</t>
        </is>
      </c>
      <c r="F41" s="16" t="inlineStr">
        <is>
          <t>iii</t>
        </is>
      </c>
      <c r="G41" s="15" t="inlineStr">
        <is>
          <t>Dynamic Asset Allocation/Balanced Advantage Fund</t>
        </is>
      </c>
      <c r="H41" s="14" t="n">
        <v>35</v>
      </c>
      <c r="I41" s="14" t="n">
        <v>5252235</v>
      </c>
      <c r="J41" s="617" t="n">
        <v>4010.20151986</v>
      </c>
      <c r="K41" s="617" t="n">
        <v>3128.96771093</v>
      </c>
      <c r="L41" s="617" t="n">
        <v>881.23380893</v>
      </c>
      <c r="M41" s="617" t="n">
        <v>292549.94761397</v>
      </c>
      <c r="N41" s="617" t="n">
        <v>286751.76132995</v>
      </c>
      <c r="O41" s="14" t="n">
        <v>0</v>
      </c>
      <c r="P41" s="617" t="n">
        <v>0</v>
      </c>
      <c r="Q41" s="47" t="inlineStr">
        <is>
          <t>-</t>
        </is>
      </c>
      <c r="R41" s="16" t="inlineStr">
        <is>
          <t>iii</t>
        </is>
      </c>
      <c r="S41" s="15" t="inlineStr">
        <is>
          <t>Dynamic Asset Allocation/Balanced Advantage Fund</t>
        </is>
      </c>
      <c r="T41" s="14" t="n">
        <v>35</v>
      </c>
      <c r="U41" s="14" t="n">
        <v>5288342</v>
      </c>
      <c r="V41" s="617" t="n">
        <v>4438.87577867</v>
      </c>
      <c r="W41" s="617" t="n">
        <v>3302.75959616</v>
      </c>
      <c r="X41" s="617" t="n">
        <v>1136.11618251</v>
      </c>
      <c r="Y41" s="617" t="n">
        <v>299506.75603659</v>
      </c>
      <c r="Z41" s="617" t="n">
        <v>296512.18956491</v>
      </c>
      <c r="AA41" s="14" t="n">
        <v>0</v>
      </c>
      <c r="AB41" s="617" t="n">
        <v>0</v>
      </c>
      <c r="AC41" s="47" t="inlineStr">
        <is>
          <t>-</t>
        </is>
      </c>
      <c r="AD41" s="16" t="inlineStr">
        <is>
          <t>iii</t>
        </is>
      </c>
      <c r="AE41" s="15" t="inlineStr">
        <is>
          <t>Dynamic Asset Allocation/Balanced Advantage Fund</t>
        </is>
      </c>
      <c r="AF41" s="14" t="n">
        <v>35</v>
      </c>
      <c r="AG41" s="14" t="n">
        <v>5342869</v>
      </c>
      <c r="AH41" s="617" t="n">
        <v>4913.13809265</v>
      </c>
      <c r="AI41" s="617" t="n">
        <v>3027.60818332</v>
      </c>
      <c r="AJ41" s="617" t="n">
        <v>1885.52990933</v>
      </c>
      <c r="AK41" s="617" t="n">
        <v>306648.51376395</v>
      </c>
      <c r="AL41" s="617" t="n">
        <v>303164.81967027</v>
      </c>
      <c r="AM41" s="14" t="n">
        <v>0</v>
      </c>
      <c r="AN41" s="617" t="n">
        <v>0</v>
      </c>
      <c r="AO41" s="47" t="inlineStr">
        <is>
          <t>-</t>
        </is>
      </c>
      <c r="AP41" s="16" t="inlineStr">
        <is>
          <t>iii</t>
        </is>
      </c>
      <c r="AQ41" s="15" t="inlineStr">
        <is>
          <t>Dynamic Asset Allocation/Balanced Advantage Fund</t>
        </is>
      </c>
      <c r="AR41" s="14" t="n">
        <v>35</v>
      </c>
      <c r="AS41" s="14" t="n">
        <v>5425213</v>
      </c>
      <c r="AT41" s="617" t="n">
        <v>5996.09936958</v>
      </c>
      <c r="AU41" s="617" t="n">
        <v>3384.91178734</v>
      </c>
      <c r="AV41" s="617" t="n">
        <v>2611.18758224</v>
      </c>
      <c r="AW41" s="617" t="n">
        <v>305086.55245353</v>
      </c>
      <c r="AX41" s="617" t="n">
        <v>307392.81551097</v>
      </c>
      <c r="AY41" s="14" t="n">
        <v>0</v>
      </c>
      <c r="AZ41" s="617" t="n">
        <v>0</v>
      </c>
      <c r="BA41" s="47" t="inlineStr">
        <is>
          <t>-</t>
        </is>
      </c>
      <c r="BB41" s="16" t="inlineStr">
        <is>
          <t>iii</t>
        </is>
      </c>
      <c r="BC41" s="15" t="inlineStr">
        <is>
          <t>Dynamic Asset Allocation/Balanced Advantage Fund</t>
        </is>
      </c>
      <c r="BD41" s="14" t="n">
        <v>35</v>
      </c>
      <c r="BE41" s="14" t="n">
        <v>5474637</v>
      </c>
      <c r="BF41" s="617" t="n">
        <v>4809.95660705</v>
      </c>
      <c r="BG41" s="617" t="n">
        <v>2493.47204157</v>
      </c>
      <c r="BH41" s="617" t="n">
        <v>2316.48456548</v>
      </c>
      <c r="BI41" s="617" t="n">
        <v>304727.49676332</v>
      </c>
      <c r="BJ41" s="617" t="n">
        <v>306186.21109805</v>
      </c>
      <c r="BK41" s="14" t="n">
        <v>0</v>
      </c>
      <c r="BL41" s="617" t="n">
        <v>0</v>
      </c>
      <c r="BM41" s="47" t="inlineStr">
        <is>
          <t>-</t>
        </is>
      </c>
      <c r="BN41" s="19" t="inlineStr">
        <is>
          <t>iii</t>
        </is>
      </c>
      <c r="BO41" s="15" t="inlineStr">
        <is>
          <t>Dynamic Asset Allocation/Balanced Advantage Fund</t>
        </is>
      </c>
      <c r="BP41" s="14" t="n">
        <v>35</v>
      </c>
      <c r="BQ41" s="14" t="n">
        <v>5509198</v>
      </c>
      <c r="BR41" s="617" t="n">
        <v>5003.98117913</v>
      </c>
      <c r="BS41" s="617" t="n">
        <v>3315.42555612</v>
      </c>
      <c r="BT41" s="617" t="n">
        <v>1688.55562301</v>
      </c>
      <c r="BU41" s="617" t="n">
        <v>309385.03705352</v>
      </c>
      <c r="BV41" s="617" t="n">
        <v>311226.52892934</v>
      </c>
      <c r="BW41" s="17" t="n">
        <v>0</v>
      </c>
      <c r="BX41" s="618" t="n">
        <v>0</v>
      </c>
      <c r="BY41" s="47" t="inlineStr">
        <is>
          <t>-</t>
        </is>
      </c>
      <c r="BZ41" s="19" t="inlineStr">
        <is>
          <t>iii</t>
        </is>
      </c>
      <c r="CA41" s="15" t="inlineStr">
        <is>
          <t>Dynamic Asset Allocation/Balanced Advantage Fund</t>
        </is>
      </c>
      <c r="CB41" s="14" t="n">
        <v>35</v>
      </c>
      <c r="CC41" s="14" t="n">
        <v>5530506</v>
      </c>
      <c r="CD41" s="617" t="n">
        <v>4233.78009903</v>
      </c>
      <c r="CE41" s="617" t="n">
        <v>3694.12805334</v>
      </c>
      <c r="CF41" s="617" t="n">
        <v>539.652045690003</v>
      </c>
      <c r="CG41" s="617" t="n">
        <v>318121.65810513</v>
      </c>
      <c r="CH41" s="617" t="n">
        <v>316548.76880734</v>
      </c>
      <c r="CI41" s="17" t="n">
        <v>0</v>
      </c>
      <c r="CJ41" s="618" t="n">
        <v>0</v>
      </c>
      <c r="CK41" s="47" t="inlineStr">
        <is>
          <t>-</t>
        </is>
      </c>
      <c r="CL41" s="16" t="inlineStr">
        <is>
          <t>iii</t>
        </is>
      </c>
      <c r="CM41" s="15" t="inlineStr">
        <is>
          <t>Dynamic Asset Allocation/Balanced Advantage Fund</t>
        </is>
      </c>
      <c r="CN41" s="14" t="n">
        <v>35</v>
      </c>
      <c r="CO41" s="14" t="n">
        <v>5565740</v>
      </c>
      <c r="CP41" s="617" t="n">
        <v>4482.1312459</v>
      </c>
      <c r="CQ41" s="617" t="n">
        <v>3072.12703079</v>
      </c>
      <c r="CR41" s="617" t="n">
        <v>1410.00421511</v>
      </c>
      <c r="CS41" s="617" t="n">
        <v>322208.64360129</v>
      </c>
      <c r="CT41" s="617" t="n">
        <v>320995.10429083</v>
      </c>
      <c r="CU41" s="17" t="n">
        <v>0</v>
      </c>
      <c r="CV41" s="617" t="n">
        <v>0</v>
      </c>
      <c r="CW41" s="47" t="inlineStr">
        <is>
          <t>-</t>
        </is>
      </c>
      <c r="CX41" s="16" t="inlineStr">
        <is>
          <t>iii</t>
        </is>
      </c>
      <c r="CY41" s="15" t="inlineStr">
        <is>
          <t>Dynamic Asset Allocation/Balanced Advantage Fund</t>
        </is>
      </c>
      <c r="CZ41" s="14" t="n">
        <v>35</v>
      </c>
      <c r="DA41" s="14" t="n">
        <v>5595687</v>
      </c>
      <c r="DB41" s="617" t="n">
        <v>4660.78024322</v>
      </c>
      <c r="DC41" s="617" t="n">
        <v>3563.58374918</v>
      </c>
      <c r="DD41" s="617" t="n">
        <v>1097.19649404001</v>
      </c>
      <c r="DE41" s="624" t="n">
        <v>323324.82594314</v>
      </c>
      <c r="DF41" s="617" t="n">
        <v>323093.24563239</v>
      </c>
      <c r="DG41" s="14" t="n">
        <v>0</v>
      </c>
      <c r="DH41" s="617" t="n">
        <v>0</v>
      </c>
      <c r="DI41" s="2" t="inlineStr">
        <is>
          <t>-</t>
        </is>
      </c>
      <c r="DJ41" s="620" t="inlineStr">
        <is>
          <t>iii</t>
        </is>
      </c>
      <c r="DK41" s="621" t="inlineStr">
        <is>
          <t>Dynamic Asset Allocation/Balanced Advantage Fund</t>
        </is>
      </c>
      <c r="DL41" s="83" t="n">
        <v>35</v>
      </c>
      <c r="DM41" s="83" t="n">
        <v>5624351</v>
      </c>
      <c r="DN41" s="622" t="n">
        <v>5279.51067633</v>
      </c>
      <c r="DO41" s="622" t="n">
        <v>3440.09599684</v>
      </c>
      <c r="DP41" s="622" t="n">
        <v>1839.41467949</v>
      </c>
      <c r="DQ41" s="625" t="n">
        <v>319902.63682003</v>
      </c>
      <c r="DR41" s="622" t="n">
        <v>322414.83701184</v>
      </c>
      <c r="DS41" s="83" t="n">
        <v>0</v>
      </c>
      <c r="DT41" s="622" t="n">
        <v>0</v>
      </c>
      <c r="DU41" s="2" t="inlineStr">
        <is>
          <t>-</t>
        </is>
      </c>
      <c r="DV41" s="127" t="n"/>
      <c r="DW41" s="128" t="n"/>
      <c r="DX41" s="2" t="inlineStr">
        <is>
          <t>-</t>
        </is>
      </c>
      <c r="DY41" s="127">
        <f>(DN41-DB41)/DB41</f>
        <v/>
      </c>
      <c r="DZ41" s="128">
        <f>(DP41-DD41)/DD41</f>
        <v/>
      </c>
      <c r="EA41" s="129">
        <f>(DR41-DF41)/DF41</f>
        <v/>
      </c>
    </row>
    <row r="42">
      <c r="A42" s="16" t="inlineStr">
        <is>
          <t>iv</t>
        </is>
      </c>
      <c r="B42" s="15" t="inlineStr">
        <is>
          <t>Multi Asset Allocation Fund</t>
        </is>
      </c>
      <c r="C42" s="617" t="n">
        <v>107094.49949546</v>
      </c>
      <c r="D42" s="617" t="n">
        <v>113587.79437768</v>
      </c>
      <c r="E42" s="47" t="inlineStr">
        <is>
          <t>-</t>
        </is>
      </c>
      <c r="F42" s="16" t="inlineStr">
        <is>
          <t>iv</t>
        </is>
      </c>
      <c r="G42" s="15" t="inlineStr">
        <is>
          <t>Multi Asset Allocation Fund</t>
        </is>
      </c>
      <c r="H42" s="14" t="n">
        <v>28</v>
      </c>
      <c r="I42" s="14" t="n">
        <v>3121223</v>
      </c>
      <c r="J42" s="617" t="n">
        <v>3583.91262654</v>
      </c>
      <c r="K42" s="617" t="n">
        <v>1478.16644631</v>
      </c>
      <c r="L42" s="617" t="n">
        <v>2105.74618023</v>
      </c>
      <c r="M42" s="617" t="n">
        <v>113009.40886162</v>
      </c>
      <c r="N42" s="617" t="n">
        <v>118248.56153799</v>
      </c>
      <c r="O42" s="14" t="n">
        <v>0</v>
      </c>
      <c r="P42" s="617" t="n">
        <v>0</v>
      </c>
      <c r="Q42" s="47" t="inlineStr">
        <is>
          <t>-</t>
        </is>
      </c>
      <c r="R42" s="16" t="inlineStr">
        <is>
          <t>iv</t>
        </is>
      </c>
      <c r="S42" s="15" t="inlineStr">
        <is>
          <t>Multi Asset Allocation Fund</t>
        </is>
      </c>
      <c r="T42" s="14" t="n">
        <v>29</v>
      </c>
      <c r="U42" s="14" t="n">
        <v>3226116</v>
      </c>
      <c r="V42" s="617" t="n">
        <v>4508.25540599</v>
      </c>
      <c r="W42" s="617" t="n">
        <v>1581.45566632</v>
      </c>
      <c r="X42" s="617" t="n">
        <v>2926.79973967</v>
      </c>
      <c r="Y42" s="617" t="n">
        <v>118153.72857389</v>
      </c>
      <c r="Z42" s="617" t="n">
        <v>123714.43664792</v>
      </c>
      <c r="AA42" s="14" t="n">
        <v>0</v>
      </c>
      <c r="AB42" s="617" t="n">
        <v>0</v>
      </c>
      <c r="AC42" s="47" t="inlineStr">
        <is>
          <t>-</t>
        </is>
      </c>
      <c r="AD42" s="16" t="inlineStr">
        <is>
          <t>iv</t>
        </is>
      </c>
      <c r="AE42" s="15" t="inlineStr">
        <is>
          <t>Multi Asset Allocation Fund</t>
        </is>
      </c>
      <c r="AF42" s="14" t="n">
        <v>29</v>
      </c>
      <c r="AG42" s="14" t="n">
        <v>3307121</v>
      </c>
      <c r="AH42" s="617" t="n">
        <v>4514.25146792</v>
      </c>
      <c r="AI42" s="617" t="n">
        <v>1304.27724682</v>
      </c>
      <c r="AJ42" s="617" t="n">
        <v>3209.9742211</v>
      </c>
      <c r="AK42" s="617" t="n">
        <v>123584.50152472</v>
      </c>
      <c r="AL42" s="617" t="n">
        <v>130104.79473783</v>
      </c>
      <c r="AM42" s="14" t="n">
        <v>0</v>
      </c>
      <c r="AN42" s="617" t="n">
        <v>0</v>
      </c>
      <c r="AO42" s="47" t="inlineStr">
        <is>
          <t>-</t>
        </is>
      </c>
      <c r="AP42" s="16" t="inlineStr">
        <is>
          <t>iv</t>
        </is>
      </c>
      <c r="AQ42" s="15" t="inlineStr">
        <is>
          <t>Multi Asset Allocation Fund</t>
        </is>
      </c>
      <c r="AR42" s="14" t="n">
        <v>29</v>
      </c>
      <c r="AS42" s="14" t="n">
        <v>3459194</v>
      </c>
      <c r="AT42" s="617" t="n">
        <v>7480.7754642</v>
      </c>
      <c r="AU42" s="617" t="n">
        <v>1283.55716764</v>
      </c>
      <c r="AV42" s="617" t="n">
        <v>6197.21829656</v>
      </c>
      <c r="AW42" s="617" t="n">
        <v>128426.74021118</v>
      </c>
      <c r="AX42" s="617" t="n">
        <v>135201.00381369</v>
      </c>
      <c r="AY42" s="14" t="n">
        <v>0</v>
      </c>
      <c r="AZ42" s="617" t="n">
        <v>0</v>
      </c>
      <c r="BA42" s="47" t="inlineStr">
        <is>
          <t>-</t>
        </is>
      </c>
      <c r="BB42" s="16" t="inlineStr">
        <is>
          <t>iv</t>
        </is>
      </c>
      <c r="BC42" s="15" t="inlineStr">
        <is>
          <t>Multi Asset Allocation Fund</t>
        </is>
      </c>
      <c r="BD42" s="14" t="n">
        <v>30</v>
      </c>
      <c r="BE42" s="14" t="n">
        <v>3560534</v>
      </c>
      <c r="BF42" s="617" t="n">
        <v>4633.00189559</v>
      </c>
      <c r="BG42" s="617" t="n">
        <v>1105.0928588</v>
      </c>
      <c r="BH42" s="617" t="n">
        <v>3527.90903679</v>
      </c>
      <c r="BI42" s="617" t="n">
        <v>132103.61548318</v>
      </c>
      <c r="BJ42" s="617" t="n">
        <v>139994.94141399</v>
      </c>
      <c r="BK42" s="14" t="n">
        <v>0</v>
      </c>
      <c r="BL42" s="617" t="n">
        <v>0</v>
      </c>
      <c r="BM42" s="47" t="inlineStr">
        <is>
          <t>-</t>
        </is>
      </c>
      <c r="BN42" s="19" t="inlineStr">
        <is>
          <t>iv</t>
        </is>
      </c>
      <c r="BO42" s="15" t="inlineStr">
        <is>
          <t>Multi Asset Allocation Fund</t>
        </is>
      </c>
      <c r="BP42" s="14" t="n">
        <v>31</v>
      </c>
      <c r="BQ42" s="14" t="n">
        <v>3704172</v>
      </c>
      <c r="BR42" s="617" t="n">
        <v>6608.03781985</v>
      </c>
      <c r="BS42" s="617" t="n">
        <v>1625.82584177</v>
      </c>
      <c r="BT42" s="617" t="n">
        <v>4982.21197808</v>
      </c>
      <c r="BU42" s="617" t="n">
        <v>140416.71757963</v>
      </c>
      <c r="BV42" s="617" t="n">
        <v>147700.94282839</v>
      </c>
      <c r="BW42" s="17" t="n">
        <v>0</v>
      </c>
      <c r="BX42" s="618" t="n">
        <v>0</v>
      </c>
      <c r="BY42" s="47" t="inlineStr">
        <is>
          <t>-</t>
        </is>
      </c>
      <c r="BZ42" s="19" t="inlineStr">
        <is>
          <t>iv</t>
        </is>
      </c>
      <c r="CA42" s="15" t="inlineStr">
        <is>
          <t>Multi Asset Allocation Fund</t>
        </is>
      </c>
      <c r="CB42" s="14" t="n">
        <v>31</v>
      </c>
      <c r="CC42" s="14" t="n">
        <v>3861455</v>
      </c>
      <c r="CD42" s="617" t="n">
        <v>6706.84553626</v>
      </c>
      <c r="CE42" s="617" t="n">
        <v>1362.66001393</v>
      </c>
      <c r="CF42" s="617" t="n">
        <v>5344.18552233</v>
      </c>
      <c r="CG42" s="617" t="n">
        <v>151071.71016208</v>
      </c>
      <c r="CH42" s="617" t="n">
        <v>157277.39439451</v>
      </c>
      <c r="CI42" s="17" t="n">
        <v>0</v>
      </c>
      <c r="CJ42" s="618" t="n">
        <v>0</v>
      </c>
      <c r="CK42" s="47" t="inlineStr">
        <is>
          <t>-</t>
        </is>
      </c>
      <c r="CL42" s="16" t="inlineStr">
        <is>
          <t>iv</t>
        </is>
      </c>
      <c r="CM42" s="15" t="inlineStr">
        <is>
          <t>Multi Asset Allocation Fund</t>
        </is>
      </c>
      <c r="CN42" s="14" t="n">
        <v>32</v>
      </c>
      <c r="CO42" s="14" t="n">
        <v>4016236</v>
      </c>
      <c r="CP42" s="617" t="n">
        <v>6655.48775234</v>
      </c>
      <c r="CQ42" s="617" t="n">
        <v>1340.62955947</v>
      </c>
      <c r="CR42" s="617" t="n">
        <v>5314.85819287</v>
      </c>
      <c r="CS42" s="617" t="n">
        <v>157266.6663929</v>
      </c>
      <c r="CT42" s="617" t="n">
        <v>164438.97614654</v>
      </c>
      <c r="CU42" s="17" t="n">
        <v>0</v>
      </c>
      <c r="CV42" s="617" t="n">
        <v>0</v>
      </c>
      <c r="CW42" s="47" t="inlineStr">
        <is>
          <t>-</t>
        </is>
      </c>
      <c r="CX42" s="16" t="inlineStr">
        <is>
          <t>iv</t>
        </is>
      </c>
      <c r="CY42" s="15" t="inlineStr">
        <is>
          <t>Multi Asset Allocation Fund</t>
        </is>
      </c>
      <c r="CZ42" s="14" t="n">
        <v>33</v>
      </c>
      <c r="DA42" s="14" t="n">
        <v>4249832</v>
      </c>
      <c r="DB42" s="617" t="n">
        <v>8927.230849160011</v>
      </c>
      <c r="DC42" s="617" t="n">
        <v>1501.25218819</v>
      </c>
      <c r="DD42" s="617" t="n">
        <v>7425.97866097001</v>
      </c>
      <c r="DE42" s="617" t="n">
        <v>164730.82674007</v>
      </c>
      <c r="DF42" s="617" t="n">
        <v>173823.59097283</v>
      </c>
      <c r="DG42" s="14" t="n">
        <v>0</v>
      </c>
      <c r="DH42" s="617" t="n">
        <v>0</v>
      </c>
      <c r="DI42" s="2" t="inlineStr">
        <is>
          <t>-</t>
        </is>
      </c>
      <c r="DJ42" s="620" t="inlineStr">
        <is>
          <t>iv</t>
        </is>
      </c>
      <c r="DK42" s="621" t="inlineStr">
        <is>
          <t>Multi Asset Allocation Fund</t>
        </is>
      </c>
      <c r="DL42" s="83" t="n">
        <v>33</v>
      </c>
      <c r="DM42" s="83" t="n">
        <v>4592478</v>
      </c>
      <c r="DN42" s="622" t="n">
        <v>12139.13351365</v>
      </c>
      <c r="DO42" s="622" t="n">
        <v>1653.75271226</v>
      </c>
      <c r="DP42" s="622" t="n">
        <v>10485.38080139</v>
      </c>
      <c r="DQ42" s="622" t="n">
        <v>174660.32231587</v>
      </c>
      <c r="DR42" s="622" t="n">
        <v>185088.94913086</v>
      </c>
      <c r="DS42" s="83" t="n">
        <v>0</v>
      </c>
      <c r="DT42" s="622" t="n">
        <v>0</v>
      </c>
      <c r="DU42" s="2" t="inlineStr">
        <is>
          <t>-</t>
        </is>
      </c>
      <c r="DV42" s="127" t="n"/>
      <c r="DW42" s="128" t="n"/>
      <c r="DX42" s="2" t="inlineStr">
        <is>
          <t>-</t>
        </is>
      </c>
      <c r="DY42" s="127">
        <f>(DN42-DB42)/DB42</f>
        <v/>
      </c>
      <c r="DZ42" s="128">
        <f>(DP42-DD42)/DD42</f>
        <v/>
      </c>
      <c r="EA42" s="129">
        <f>(DR42-DF42)/DF42</f>
        <v/>
      </c>
    </row>
    <row r="43">
      <c r="A43" s="16" t="inlineStr">
        <is>
          <t>v</t>
        </is>
      </c>
      <c r="B43" s="15" t="inlineStr">
        <is>
          <t>Arbitrage Fund</t>
        </is>
      </c>
      <c r="C43" s="617" t="n">
        <v>204086.87663099</v>
      </c>
      <c r="D43" s="617" t="n">
        <v>246994.0578094</v>
      </c>
      <c r="E43" s="47" t="inlineStr">
        <is>
          <t>-</t>
        </is>
      </c>
      <c r="F43" s="16" t="inlineStr">
        <is>
          <t>v</t>
        </is>
      </c>
      <c r="G43" s="15" t="inlineStr">
        <is>
          <t>Arbitrage Fund</t>
        </is>
      </c>
      <c r="H43" s="14" t="n">
        <v>32</v>
      </c>
      <c r="I43" s="14" t="n">
        <v>613752</v>
      </c>
      <c r="J43" s="617" t="n">
        <v>27058.80171607</v>
      </c>
      <c r="K43" s="617" t="n">
        <v>15268.43223004</v>
      </c>
      <c r="L43" s="617" t="n">
        <v>11790.36948603</v>
      </c>
      <c r="M43" s="617" t="n">
        <v>213013.57701301</v>
      </c>
      <c r="N43" s="617" t="n">
        <v>254278.6415878</v>
      </c>
      <c r="O43" s="14" t="n">
        <v>0</v>
      </c>
      <c r="P43" s="617" t="n">
        <v>0</v>
      </c>
      <c r="Q43" s="47" t="inlineStr">
        <is>
          <t>-</t>
        </is>
      </c>
      <c r="R43" s="16" t="inlineStr">
        <is>
          <t>v</t>
        </is>
      </c>
      <c r="S43" s="15" t="inlineStr">
        <is>
          <t>Arbitrage Fund</t>
        </is>
      </c>
      <c r="T43" s="14" t="n">
        <v>32</v>
      </c>
      <c r="U43" s="14" t="n">
        <v>631630</v>
      </c>
      <c r="V43" s="617" t="n">
        <v>29587.69520001</v>
      </c>
      <c r="W43" s="617" t="n">
        <v>13885.72210782</v>
      </c>
      <c r="X43" s="617" t="n">
        <v>15701.97309219</v>
      </c>
      <c r="Y43" s="617" t="n">
        <v>233962.91777182</v>
      </c>
      <c r="Z43" s="617" t="n">
        <v>269464.05152142</v>
      </c>
      <c r="AA43" s="14" t="n">
        <v>0</v>
      </c>
      <c r="AB43" s="617" t="n">
        <v>0</v>
      </c>
      <c r="AC43" s="47" t="inlineStr">
        <is>
          <t>-</t>
        </is>
      </c>
      <c r="AD43" s="16" t="inlineStr">
        <is>
          <t>v</t>
        </is>
      </c>
      <c r="AE43" s="15" t="inlineStr">
        <is>
          <t>Arbitrage Fund</t>
        </is>
      </c>
      <c r="AF43" s="14" t="n">
        <v>32</v>
      </c>
      <c r="AG43" s="14" t="n">
        <v>647318</v>
      </c>
      <c r="AH43" s="617" t="n">
        <v>33989.86262522</v>
      </c>
      <c r="AI43" s="617" t="n">
        <v>18405.29028648</v>
      </c>
      <c r="AJ43" s="617" t="n">
        <v>15584.57233874</v>
      </c>
      <c r="AK43" s="617" t="n">
        <v>249364.93168072</v>
      </c>
      <c r="AL43" s="617" t="n">
        <v>285570.19333137</v>
      </c>
      <c r="AM43" s="14" t="n">
        <v>0</v>
      </c>
      <c r="AN43" s="617" t="n">
        <v>0</v>
      </c>
      <c r="AO43" s="47" t="inlineStr">
        <is>
          <t>-</t>
        </is>
      </c>
      <c r="AP43" s="16" t="inlineStr">
        <is>
          <t>v</t>
        </is>
      </c>
      <c r="AQ43" s="15" t="inlineStr">
        <is>
          <t>Arbitrage Fund</t>
        </is>
      </c>
      <c r="AR43" s="14" t="n">
        <v>32</v>
      </c>
      <c r="AS43" s="14" t="n">
        <v>664338</v>
      </c>
      <c r="AT43" s="617" t="n">
        <v>29743.4019567</v>
      </c>
      <c r="AU43" s="617" t="n">
        <v>22447.70169238</v>
      </c>
      <c r="AV43" s="617" t="n">
        <v>7295.70026432001</v>
      </c>
      <c r="AW43" s="617" t="n">
        <v>256675.49446315</v>
      </c>
      <c r="AX43" s="617" t="n">
        <v>300840.51855547</v>
      </c>
      <c r="AY43" s="14" t="n">
        <v>0</v>
      </c>
      <c r="AZ43" s="617" t="n">
        <v>0</v>
      </c>
      <c r="BA43" s="47" t="inlineStr">
        <is>
          <t>-</t>
        </is>
      </c>
      <c r="BB43" s="16" t="inlineStr">
        <is>
          <t>v</t>
        </is>
      </c>
      <c r="BC43" s="15" t="inlineStr">
        <is>
          <t>Arbitrage Fund</t>
        </is>
      </c>
      <c r="BD43" s="14" t="n">
        <v>33</v>
      </c>
      <c r="BE43" s="14" t="n">
        <v>681565</v>
      </c>
      <c r="BF43" s="617" t="n">
        <v>27877.67050011</v>
      </c>
      <c r="BG43" s="617" t="n">
        <v>21211.1697875</v>
      </c>
      <c r="BH43" s="617" t="n">
        <v>6666.50071261</v>
      </c>
      <c r="BI43" s="617" t="n">
        <v>258923.3482866</v>
      </c>
      <c r="BJ43" s="617" t="n">
        <v>306405.4465182</v>
      </c>
      <c r="BK43" s="14" t="n">
        <v>0</v>
      </c>
      <c r="BL43" s="617" t="n">
        <v>0</v>
      </c>
      <c r="BM43" s="47" t="inlineStr">
        <is>
          <t>-</t>
        </is>
      </c>
      <c r="BN43" s="19" t="inlineStr">
        <is>
          <t>v</t>
        </is>
      </c>
      <c r="BO43" s="15" t="inlineStr">
        <is>
          <t>Arbitrage Fund</t>
        </is>
      </c>
      <c r="BP43" s="14" t="n">
        <v>33</v>
      </c>
      <c r="BQ43" s="14" t="n">
        <v>693596</v>
      </c>
      <c r="BR43" s="617" t="n">
        <v>29529.79592314</v>
      </c>
      <c r="BS43" s="617" t="n">
        <v>30518.04605009</v>
      </c>
      <c r="BT43" s="617" t="n">
        <v>-988.250126949992</v>
      </c>
      <c r="BU43" s="617" t="n">
        <v>263757.18100653</v>
      </c>
      <c r="BV43" s="617" t="n">
        <v>310801.91222257</v>
      </c>
      <c r="BW43" s="17" t="n">
        <v>0</v>
      </c>
      <c r="BX43" s="618" t="n">
        <v>0</v>
      </c>
      <c r="BY43" s="47" t="inlineStr">
        <is>
          <t>-</t>
        </is>
      </c>
      <c r="BZ43" s="19" t="inlineStr">
        <is>
          <t>v</t>
        </is>
      </c>
      <c r="CA43" s="15" t="inlineStr">
        <is>
          <t>Arbitrage Fund</t>
        </is>
      </c>
      <c r="CB43" s="14" t="n">
        <v>34</v>
      </c>
      <c r="CC43" s="14" t="n">
        <v>705317</v>
      </c>
      <c r="CD43" s="617" t="n">
        <v>29165.92240207</v>
      </c>
      <c r="CE43" s="617" t="n">
        <v>22246.15520465</v>
      </c>
      <c r="CF43" s="617" t="n">
        <v>6919.76719741999</v>
      </c>
      <c r="CG43" s="617" t="n">
        <v>271401.97071651</v>
      </c>
      <c r="CH43" s="617" t="n">
        <v>316817.81664431</v>
      </c>
      <c r="CI43" s="17" t="n">
        <v>0</v>
      </c>
      <c r="CJ43" s="618" t="n">
        <v>0</v>
      </c>
      <c r="CK43" s="47" t="inlineStr">
        <is>
          <t>-</t>
        </is>
      </c>
      <c r="CL43" s="16" t="inlineStr">
        <is>
          <t>v</t>
        </is>
      </c>
      <c r="CM43" s="15" t="inlineStr">
        <is>
          <t>Arbitrage Fund</t>
        </is>
      </c>
      <c r="CN43" s="14" t="n">
        <v>35</v>
      </c>
      <c r="CO43" s="14" t="n">
        <v>718209</v>
      </c>
      <c r="CP43" s="617" t="n">
        <v>22238.09602433</v>
      </c>
      <c r="CQ43" s="617" t="n">
        <v>18046.18933481</v>
      </c>
      <c r="CR43" s="617" t="n">
        <v>4191.90668952002</v>
      </c>
      <c r="CS43" s="617" t="n">
        <v>274612.25321546</v>
      </c>
      <c r="CT43" s="617" t="n">
        <v>324252.19516479</v>
      </c>
      <c r="CU43" s="17" t="n">
        <v>0</v>
      </c>
      <c r="CV43" s="617" t="n">
        <v>0</v>
      </c>
      <c r="CW43" s="47" t="inlineStr">
        <is>
          <t>-</t>
        </is>
      </c>
      <c r="CX43" s="16" t="inlineStr">
        <is>
          <t>v</t>
        </is>
      </c>
      <c r="CY43" s="15" t="inlineStr">
        <is>
          <t>Arbitrage Fund</t>
        </is>
      </c>
      <c r="CZ43" s="14" t="n">
        <v>36</v>
      </c>
      <c r="DA43" s="14" t="n">
        <v>741825</v>
      </c>
      <c r="DB43" s="617" t="n">
        <v>26537.84875746</v>
      </c>
      <c r="DC43" s="617" t="n">
        <v>26411.53554791</v>
      </c>
      <c r="DD43" s="617" t="n">
        <v>126.31320954996</v>
      </c>
      <c r="DE43" s="624" t="n">
        <v>278127.94472791</v>
      </c>
      <c r="DF43" s="617" t="n">
        <v>326834.53747684</v>
      </c>
      <c r="DG43" s="14" t="n">
        <v>0</v>
      </c>
      <c r="DH43" s="617" t="n">
        <v>0</v>
      </c>
      <c r="DI43" s="2" t="inlineStr">
        <is>
          <t>-</t>
        </is>
      </c>
      <c r="DJ43" s="620" t="inlineStr">
        <is>
          <t>v</t>
        </is>
      </c>
      <c r="DK43" s="621" t="inlineStr">
        <is>
          <t>Arbitrage Fund</t>
        </is>
      </c>
      <c r="DL43" s="83" t="n">
        <v>36</v>
      </c>
      <c r="DM43" s="83" t="n">
        <v>762151</v>
      </c>
      <c r="DN43" s="622" t="n">
        <v>27817.43893867</v>
      </c>
      <c r="DO43" s="622" t="n">
        <v>24524.13934794</v>
      </c>
      <c r="DP43" s="622" t="n">
        <v>3293.29959073002</v>
      </c>
      <c r="DQ43" s="625" t="n">
        <v>276654.07207346</v>
      </c>
      <c r="DR43" s="622" t="n">
        <v>333040.47966111</v>
      </c>
      <c r="DS43" s="83" t="n">
        <v>0</v>
      </c>
      <c r="DT43" s="622" t="n">
        <v>0</v>
      </c>
      <c r="DU43" s="2" t="inlineStr">
        <is>
          <t>-</t>
        </is>
      </c>
      <c r="DV43" s="127" t="n"/>
      <c r="DW43" s="128" t="n"/>
      <c r="DX43" s="2" t="inlineStr">
        <is>
          <t>-</t>
        </is>
      </c>
      <c r="DY43" s="127">
        <f>(DN43-DB43)/DB43</f>
        <v/>
      </c>
      <c r="DZ43" s="128">
        <f>(DP43-DD43)/DD43</f>
        <v/>
      </c>
      <c r="EA43" s="129">
        <f>(DR43-DF43)/DF43</f>
        <v/>
      </c>
    </row>
    <row r="44">
      <c r="A44" s="16" t="inlineStr">
        <is>
          <t>vi</t>
        </is>
      </c>
      <c r="B44" s="15" t="inlineStr">
        <is>
          <t>Equity Savings Fund</t>
        </is>
      </c>
      <c r="C44" s="617" t="n">
        <v>41260.38652007</v>
      </c>
      <c r="D44" s="617" t="n">
        <v>43262.12643945</v>
      </c>
      <c r="E44" s="47" t="inlineStr">
        <is>
          <t>-</t>
        </is>
      </c>
      <c r="F44" s="16" t="inlineStr">
        <is>
          <t>vi</t>
        </is>
      </c>
      <c r="G44" s="15" t="inlineStr">
        <is>
          <t>Equity Savings Fund</t>
        </is>
      </c>
      <c r="H44" s="14" t="n">
        <v>23</v>
      </c>
      <c r="I44" s="14" t="n">
        <v>480108</v>
      </c>
      <c r="J44" s="617" t="n">
        <v>1438.9389823</v>
      </c>
      <c r="K44" s="617" t="n">
        <v>1580.86250617</v>
      </c>
      <c r="L44" s="617" t="n">
        <v>-141.92352387</v>
      </c>
      <c r="M44" s="617" t="n">
        <v>41880.94011899</v>
      </c>
      <c r="N44" s="617" t="n">
        <v>43776.74204764</v>
      </c>
      <c r="O44" s="14" t="n">
        <v>1</v>
      </c>
      <c r="P44" s="617" t="n">
        <v>0</v>
      </c>
      <c r="Q44" s="47" t="inlineStr">
        <is>
          <t>-</t>
        </is>
      </c>
      <c r="R44" s="16" t="inlineStr">
        <is>
          <t>vi</t>
        </is>
      </c>
      <c r="S44" s="15" t="inlineStr">
        <is>
          <t>Equity Savings Fund</t>
        </is>
      </c>
      <c r="T44" s="14" t="n">
        <v>23</v>
      </c>
      <c r="U44" s="14" t="n">
        <v>482654</v>
      </c>
      <c r="V44" s="617" t="n">
        <v>1906.42799394</v>
      </c>
      <c r="W44" s="617" t="n">
        <v>1336.96340538</v>
      </c>
      <c r="X44" s="617" t="n">
        <v>569.46458856</v>
      </c>
      <c r="Y44" s="617" t="n">
        <v>43012.56637334</v>
      </c>
      <c r="Z44" s="617" t="n">
        <v>44756.3293588</v>
      </c>
      <c r="AA44" s="14" t="n">
        <v>1</v>
      </c>
      <c r="AB44" s="617" t="n">
        <v>0</v>
      </c>
      <c r="AC44" s="47" t="inlineStr">
        <is>
          <t>-</t>
        </is>
      </c>
      <c r="AD44" s="16" t="inlineStr">
        <is>
          <t>vi</t>
        </is>
      </c>
      <c r="AE44" s="15" t="inlineStr">
        <is>
          <t>Equity Savings Fund</t>
        </is>
      </c>
      <c r="AF44" s="14" t="n">
        <v>23</v>
      </c>
      <c r="AG44" s="14" t="n">
        <v>487952</v>
      </c>
      <c r="AH44" s="617" t="n">
        <v>2453.46758311</v>
      </c>
      <c r="AI44" s="617" t="n">
        <v>1380.57128117</v>
      </c>
      <c r="AJ44" s="617" t="n">
        <v>1072.89630194</v>
      </c>
      <c r="AK44" s="617" t="n">
        <v>44639.455151</v>
      </c>
      <c r="AL44" s="617" t="n">
        <v>46181.21970216</v>
      </c>
      <c r="AM44" s="14" t="n">
        <v>1</v>
      </c>
      <c r="AN44" s="617" t="n">
        <v>0</v>
      </c>
      <c r="AO44" s="47" t="inlineStr">
        <is>
          <t>-</t>
        </is>
      </c>
      <c r="AP44" s="16" t="inlineStr">
        <is>
          <t>vi</t>
        </is>
      </c>
      <c r="AQ44" s="15" t="inlineStr">
        <is>
          <t>Equity Savings Fund</t>
        </is>
      </c>
      <c r="AR44" s="14" t="n">
        <v>24</v>
      </c>
      <c r="AS44" s="14" t="n">
        <v>500437</v>
      </c>
      <c r="AT44" s="617" t="n">
        <v>3577.80073854</v>
      </c>
      <c r="AU44" s="617" t="n">
        <v>1474.17203784</v>
      </c>
      <c r="AV44" s="617" t="n">
        <v>2103.6287007</v>
      </c>
      <c r="AW44" s="617" t="n">
        <v>45727.48712074</v>
      </c>
      <c r="AX44" s="617" t="n">
        <v>48143.70818245</v>
      </c>
      <c r="AY44" s="14" t="n">
        <v>1</v>
      </c>
      <c r="AZ44" s="617" t="n">
        <v>0</v>
      </c>
      <c r="BA44" s="47" t="inlineStr">
        <is>
          <t>-</t>
        </is>
      </c>
      <c r="BB44" s="16" t="inlineStr">
        <is>
          <t>vi</t>
        </is>
      </c>
      <c r="BC44" s="15" t="inlineStr">
        <is>
          <t>Equity Savings Fund</t>
        </is>
      </c>
      <c r="BD44" s="14" t="n">
        <v>25</v>
      </c>
      <c r="BE44" s="14" t="n">
        <v>510097</v>
      </c>
      <c r="BF44" s="617" t="n">
        <v>2450.1994115</v>
      </c>
      <c r="BG44" s="617" t="n">
        <v>1581.41130438</v>
      </c>
      <c r="BH44" s="617" t="n">
        <v>868.788107119999</v>
      </c>
      <c r="BI44" s="617" t="n">
        <v>46236.22880863</v>
      </c>
      <c r="BJ44" s="617" t="n">
        <v>49345.62131335</v>
      </c>
      <c r="BK44" s="14" t="n">
        <v>1</v>
      </c>
      <c r="BL44" s="617" t="n">
        <v>0</v>
      </c>
      <c r="BM44" s="47" t="inlineStr">
        <is>
          <t>-</t>
        </is>
      </c>
      <c r="BN44" s="19" t="inlineStr">
        <is>
          <t>vi</t>
        </is>
      </c>
      <c r="BO44" s="15" t="inlineStr">
        <is>
          <t>Equity Savings Fund</t>
        </is>
      </c>
      <c r="BP44" s="14" t="n">
        <v>25</v>
      </c>
      <c r="BQ44" s="14" t="n">
        <v>515464</v>
      </c>
      <c r="BR44" s="617" t="n">
        <v>3261.02139915</v>
      </c>
      <c r="BS44" s="617" t="n">
        <v>1514.0551598</v>
      </c>
      <c r="BT44" s="617" t="n">
        <v>1746.96623935</v>
      </c>
      <c r="BU44" s="617" t="n">
        <v>48300.27868797</v>
      </c>
      <c r="BV44" s="617" t="n">
        <v>51243.41134466</v>
      </c>
      <c r="BW44" s="17" t="n">
        <v>1</v>
      </c>
      <c r="BX44" s="618" t="n">
        <v>0</v>
      </c>
      <c r="BY44" s="47" t="inlineStr">
        <is>
          <t>-</t>
        </is>
      </c>
      <c r="BZ44" s="19" t="inlineStr">
        <is>
          <t>vi</t>
        </is>
      </c>
      <c r="CA44" s="15" t="inlineStr">
        <is>
          <t>Equity Savings Fund</t>
        </is>
      </c>
      <c r="CB44" s="14" t="n">
        <v>25</v>
      </c>
      <c r="CC44" s="14" t="n">
        <v>517166</v>
      </c>
      <c r="CD44" s="617" t="n">
        <v>2043.11377259</v>
      </c>
      <c r="CE44" s="617" t="n">
        <v>1831.33465741</v>
      </c>
      <c r="CF44" s="617" t="n">
        <v>211.779115180001</v>
      </c>
      <c r="CG44" s="617" t="n">
        <v>49251.12080688</v>
      </c>
      <c r="CH44" s="617" t="n">
        <v>52601.99548891</v>
      </c>
      <c r="CI44" s="17" t="n">
        <v>1</v>
      </c>
      <c r="CJ44" s="618" t="n">
        <v>0</v>
      </c>
      <c r="CK44" s="47" t="inlineStr">
        <is>
          <t>-</t>
        </is>
      </c>
      <c r="CL44" s="16" t="inlineStr">
        <is>
          <t>vi</t>
        </is>
      </c>
      <c r="CM44" s="15" t="inlineStr">
        <is>
          <t>Equity Savings Fund</t>
        </is>
      </c>
      <c r="CN44" s="14" t="n">
        <v>25</v>
      </c>
      <c r="CO44" s="14" t="n">
        <v>521328</v>
      </c>
      <c r="CP44" s="617" t="n">
        <v>2590.48389665</v>
      </c>
      <c r="CQ44" s="617" t="n">
        <v>1498.92443755</v>
      </c>
      <c r="CR44" s="617" t="n">
        <v>1091.5594591</v>
      </c>
      <c r="CS44" s="617" t="n">
        <v>50672.79067735</v>
      </c>
      <c r="CT44" s="617" t="n">
        <v>53587.60500064</v>
      </c>
      <c r="CU44" s="17" t="n">
        <v>1</v>
      </c>
      <c r="CV44" s="617" t="n">
        <v>0</v>
      </c>
      <c r="CW44" s="47" t="inlineStr">
        <is>
          <t>-</t>
        </is>
      </c>
      <c r="CX44" s="16" t="inlineStr">
        <is>
          <t>vi</t>
        </is>
      </c>
      <c r="CY44" s="15" t="inlineStr">
        <is>
          <t>Equity Savings Fund</t>
        </is>
      </c>
      <c r="CZ44" s="14" t="n">
        <v>25</v>
      </c>
      <c r="DA44" s="14" t="n">
        <v>525857</v>
      </c>
      <c r="DB44" s="617" t="n">
        <v>2578.17438241</v>
      </c>
      <c r="DC44" s="617" t="n">
        <v>1867.55708482</v>
      </c>
      <c r="DD44" s="617" t="n">
        <v>710.617297590001</v>
      </c>
      <c r="DE44" s="624" t="n">
        <v>51235.16825588</v>
      </c>
      <c r="DF44" s="617" t="n">
        <v>54928.03265899</v>
      </c>
      <c r="DG44" s="14" t="n">
        <v>1</v>
      </c>
      <c r="DH44" s="617" t="n">
        <v>0</v>
      </c>
      <c r="DI44" s="2" t="inlineStr">
        <is>
          <t>-</t>
        </is>
      </c>
      <c r="DJ44" s="620" t="inlineStr">
        <is>
          <t>vi</t>
        </is>
      </c>
      <c r="DK44" s="621" t="inlineStr">
        <is>
          <t>Equity Savings Fund</t>
        </is>
      </c>
      <c r="DL44" s="83" t="n">
        <v>25</v>
      </c>
      <c r="DM44" s="83" t="n">
        <v>528385</v>
      </c>
      <c r="DN44" s="622" t="n">
        <v>1981.84684188</v>
      </c>
      <c r="DO44" s="622" t="n">
        <v>1844.87623062</v>
      </c>
      <c r="DP44" s="622" t="n">
        <v>136.97061126</v>
      </c>
      <c r="DQ44" s="625" t="n">
        <v>50740.46586491</v>
      </c>
      <c r="DR44" s="622" t="n">
        <v>55314.77908503</v>
      </c>
      <c r="DS44" s="83" t="n">
        <v>1</v>
      </c>
      <c r="DT44" s="622" t="n">
        <v>0</v>
      </c>
      <c r="DU44" s="2" t="inlineStr">
        <is>
          <t>-</t>
        </is>
      </c>
      <c r="DV44" s="127" t="n"/>
      <c r="DW44" s="128" t="n"/>
      <c r="DX44" s="2" t="inlineStr">
        <is>
          <t>-</t>
        </is>
      </c>
      <c r="DY44" s="127">
        <f>(DN44-DB44)/DB44</f>
        <v/>
      </c>
      <c r="DZ44" s="128">
        <f>(DP44-DD44)/DD44</f>
        <v/>
      </c>
      <c r="EA44" s="129">
        <f>(DR44-DF44)/DF44</f>
        <v/>
      </c>
    </row>
    <row r="45">
      <c r="A45" s="25" t="n"/>
      <c r="B45" s="25" t="inlineStr">
        <is>
          <t>Sub Total - III (i+ii+iii+iv+v+vi)</t>
        </is>
      </c>
      <c r="C45" s="24">
        <f>SUM(C39:C44)</f>
        <v/>
      </c>
      <c r="D45" s="24">
        <f>SUM(D39:D44)</f>
        <v/>
      </c>
      <c r="E45" s="47" t="inlineStr">
        <is>
          <t>-</t>
        </is>
      </c>
      <c r="F45" s="25" t="n"/>
      <c r="G45" s="25" t="inlineStr">
        <is>
          <t>Sub Total - III (i+ii+iii+iv+v+vi)</t>
        </is>
      </c>
      <c r="H45" s="24">
        <f>SUM(H39:H44)</f>
        <v/>
      </c>
      <c r="I45" s="24">
        <f>SUM(I39:I44)</f>
        <v/>
      </c>
      <c r="J45" s="24">
        <f>SUM(J39:J44)</f>
        <v/>
      </c>
      <c r="K45" s="24">
        <f>SUM(K39:K44)</f>
        <v/>
      </c>
      <c r="L45" s="24">
        <f>SUM(L39:L44)</f>
        <v/>
      </c>
      <c r="M45" s="24">
        <f>SUM(M39:M44)</f>
        <v/>
      </c>
      <c r="N45" s="24">
        <f>SUM(N39:N44)</f>
        <v/>
      </c>
      <c r="O45" s="24">
        <f>SUM(O39:O44)</f>
        <v/>
      </c>
      <c r="P45" s="24">
        <f>SUM(P39:P44)</f>
        <v/>
      </c>
      <c r="Q45" s="47" t="inlineStr">
        <is>
          <t>-</t>
        </is>
      </c>
      <c r="R45" s="25" t="n"/>
      <c r="S45" s="25" t="inlineStr">
        <is>
          <t>Sub Total - III (i+ii+iii+iv+v+vi)</t>
        </is>
      </c>
      <c r="T45" s="24">
        <f>SUM(T39:T44)</f>
        <v/>
      </c>
      <c r="U45" s="24">
        <f>SUM(U39:U44)</f>
        <v/>
      </c>
      <c r="V45" s="24">
        <f>SUM(V39:V44)</f>
        <v/>
      </c>
      <c r="W45" s="24">
        <f>SUM(W39:W44)</f>
        <v/>
      </c>
      <c r="X45" s="24">
        <f>SUM(X39:X44)</f>
        <v/>
      </c>
      <c r="Y45" s="24">
        <f>SUM(Y39:Y44)</f>
        <v/>
      </c>
      <c r="Z45" s="24">
        <f>SUM(Z39:Z44)</f>
        <v/>
      </c>
      <c r="AA45" s="24">
        <f>SUM(AA39:AA44)</f>
        <v/>
      </c>
      <c r="AB45" s="24">
        <f>SUM(AB39:AB44)</f>
        <v/>
      </c>
      <c r="AC45" s="47" t="inlineStr">
        <is>
          <t>-</t>
        </is>
      </c>
      <c r="AD45" s="25" t="n"/>
      <c r="AE45" s="25" t="inlineStr">
        <is>
          <t>Sub Total - III (i+ii+iii+iv+v+vi)</t>
        </is>
      </c>
      <c r="AF45" s="24">
        <f>SUM(AF39:AF44)</f>
        <v/>
      </c>
      <c r="AG45" s="24">
        <f>SUM(AG39:AG44)</f>
        <v/>
      </c>
      <c r="AH45" s="24">
        <f>SUM(AH39:AH44)</f>
        <v/>
      </c>
      <c r="AI45" s="24">
        <f>SUM(AI39:AI44)</f>
        <v/>
      </c>
      <c r="AJ45" s="24">
        <f>SUM(AJ39:AJ44)</f>
        <v/>
      </c>
      <c r="AK45" s="24">
        <f>SUM(AK39:AK44)</f>
        <v/>
      </c>
      <c r="AL45" s="24">
        <f>SUM(AL39:AL44)</f>
        <v/>
      </c>
      <c r="AM45" s="24">
        <f>SUM(AM39:AM44)</f>
        <v/>
      </c>
      <c r="AN45" s="24">
        <f>SUM(AN39:AN44)</f>
        <v/>
      </c>
      <c r="AO45" s="47" t="inlineStr">
        <is>
          <t>-</t>
        </is>
      </c>
      <c r="AP45" s="25" t="n"/>
      <c r="AQ45" s="25" t="inlineStr">
        <is>
          <t>Sub Total - III (i+ii+iii+iv+v+vi)</t>
        </is>
      </c>
      <c r="AR45" s="24">
        <f>SUM(AR39:AR44)</f>
        <v/>
      </c>
      <c r="AS45" s="24">
        <f>SUM(AS39:AS44)</f>
        <v/>
      </c>
      <c r="AT45" s="24">
        <f>SUM(AT39:AT44)</f>
        <v/>
      </c>
      <c r="AU45" s="24">
        <f>SUM(AU39:AU44)</f>
        <v/>
      </c>
      <c r="AV45" s="24">
        <f>SUM(AV39:AV44)</f>
        <v/>
      </c>
      <c r="AW45" s="24">
        <f>SUM(AW39:AW44)</f>
        <v/>
      </c>
      <c r="AX45" s="24">
        <f>SUM(AX39:AX44)</f>
        <v/>
      </c>
      <c r="AY45" s="24">
        <f>SUM(AY39:AY44)</f>
        <v/>
      </c>
      <c r="AZ45" s="24">
        <f>SUM(AZ39:AZ44)</f>
        <v/>
      </c>
      <c r="BA45" s="47" t="inlineStr">
        <is>
          <t>-</t>
        </is>
      </c>
      <c r="BB45" s="25" t="n"/>
      <c r="BC45" s="25" t="inlineStr">
        <is>
          <t>Sub Total - III (i+ii+iii+iv+v+vi)</t>
        </is>
      </c>
      <c r="BD45" s="24">
        <f>SUM(BD39:BD44)</f>
        <v/>
      </c>
      <c r="BE45" s="24">
        <f>SUM(BE39:BE44)</f>
        <v/>
      </c>
      <c r="BF45" s="24">
        <f>SUM(BF39:BF44)</f>
        <v/>
      </c>
      <c r="BG45" s="24">
        <f>SUM(BG39:BG44)</f>
        <v/>
      </c>
      <c r="BH45" s="24">
        <f>SUM(BH39:BH44)</f>
        <v/>
      </c>
      <c r="BI45" s="24">
        <f>SUM(BI39:BI44)</f>
        <v/>
      </c>
      <c r="BJ45" s="24">
        <f>SUM(BJ39:BJ44)</f>
        <v/>
      </c>
      <c r="BK45" s="24">
        <f>SUM(BK39:BK44)</f>
        <v/>
      </c>
      <c r="BL45" s="24">
        <f>SUM(BL39:BL44)</f>
        <v/>
      </c>
      <c r="BM45" s="47" t="inlineStr">
        <is>
          <t>-</t>
        </is>
      </c>
      <c r="BN45" s="25" t="n"/>
      <c r="BO45" s="25" t="inlineStr">
        <is>
          <t>Sub Total - III (i+ii+iii+iv+v+vi)</t>
        </is>
      </c>
      <c r="BP45" s="24">
        <f>SUM(BP39:BP44)</f>
        <v/>
      </c>
      <c r="BQ45" s="24">
        <f>SUM(BQ39:BQ44)</f>
        <v/>
      </c>
      <c r="BR45" s="24">
        <f>SUM(BR39:BR44)</f>
        <v/>
      </c>
      <c r="BS45" s="24">
        <f>SUM(BS39:BS44)</f>
        <v/>
      </c>
      <c r="BT45" s="24">
        <f>SUM(BT39:BT44)</f>
        <v/>
      </c>
      <c r="BU45" s="24">
        <f>SUM(BU39:BU44)</f>
        <v/>
      </c>
      <c r="BV45" s="24">
        <f>SUM(BV39:BV44)</f>
        <v/>
      </c>
      <c r="BW45" s="24">
        <f>SUM(BW39:BW44)</f>
        <v/>
      </c>
      <c r="BX45" s="24">
        <f>SUM(BX39:BX44)</f>
        <v/>
      </c>
      <c r="BY45" s="47" t="inlineStr">
        <is>
          <t>-</t>
        </is>
      </c>
      <c r="BZ45" s="25" t="n"/>
      <c r="CA45" s="25" t="inlineStr">
        <is>
          <t>Sub Total - III (i+ii+iii+iv+v+vi)</t>
        </is>
      </c>
      <c r="CB45" s="24">
        <f>SUM(CB39:CB44)</f>
        <v/>
      </c>
      <c r="CC45" s="24">
        <f>SUM(CC39:CC44)</f>
        <v/>
      </c>
      <c r="CD45" s="24">
        <f>SUM(CD39:CD44)</f>
        <v/>
      </c>
      <c r="CE45" s="24">
        <f>SUM(CE39:CE44)</f>
        <v/>
      </c>
      <c r="CF45" s="24">
        <f>SUM(CF39:CF44)</f>
        <v/>
      </c>
      <c r="CG45" s="24">
        <f>SUM(CG39:CG44)</f>
        <v/>
      </c>
      <c r="CH45" s="24">
        <f>SUM(CH39:CH44)</f>
        <v/>
      </c>
      <c r="CI45" s="24">
        <f>SUM(CI39:CI44)</f>
        <v/>
      </c>
      <c r="CJ45" s="24">
        <f>SUM(CJ39:CJ44)</f>
        <v/>
      </c>
      <c r="CK45" s="47" t="inlineStr">
        <is>
          <t>-</t>
        </is>
      </c>
      <c r="CL45" s="25" t="n"/>
      <c r="CM45" s="25" t="inlineStr">
        <is>
          <t>Sub Total - III (i+ii+iii+iv+v+vi)</t>
        </is>
      </c>
      <c r="CN45" s="24">
        <f>SUM(CN39:CN44)</f>
        <v/>
      </c>
      <c r="CO45" s="24">
        <f>SUM(CO39:CO44)</f>
        <v/>
      </c>
      <c r="CP45" s="24">
        <f>SUM(CP39:CP44)</f>
        <v/>
      </c>
      <c r="CQ45" s="24">
        <f>SUM(CQ39:CQ44)</f>
        <v/>
      </c>
      <c r="CR45" s="24">
        <f>SUM(CR39:CR44)</f>
        <v/>
      </c>
      <c r="CS45" s="24">
        <f>SUM(CS39:CS44)</f>
        <v/>
      </c>
      <c r="CT45" s="24">
        <f>SUM(CT39:CT44)</f>
        <v/>
      </c>
      <c r="CU45" s="24">
        <f>SUM(CU39:CU44)</f>
        <v/>
      </c>
      <c r="CV45" s="24">
        <f>SUM(CV39:CV44)</f>
        <v/>
      </c>
      <c r="CW45" s="47" t="inlineStr">
        <is>
          <t>-</t>
        </is>
      </c>
      <c r="CX45" s="25" t="n"/>
      <c r="CY45" s="25" t="inlineStr">
        <is>
          <t>Sub Total - III (i+ii+iii+iv+v+vi)</t>
        </is>
      </c>
      <c r="CZ45" s="24">
        <f>SUM(CZ39:CZ44)</f>
        <v/>
      </c>
      <c r="DA45" s="24">
        <f>SUM(DA39:DA44)</f>
        <v/>
      </c>
      <c r="DB45" s="24">
        <f>SUM(DB39:DB44)</f>
        <v/>
      </c>
      <c r="DC45" s="24">
        <f>SUM(DC39:DC44)</f>
        <v/>
      </c>
      <c r="DD45" s="74">
        <f>SUM(DD39:DD44)</f>
        <v/>
      </c>
      <c r="DE45" s="108">
        <f>SUM(DE39:DE44)</f>
        <v/>
      </c>
      <c r="DF45" s="24">
        <f>SUM(DF39:DF44)</f>
        <v/>
      </c>
      <c r="DG45" s="24">
        <f>SUM(DG39:DG44)</f>
        <v/>
      </c>
      <c r="DH45" s="24">
        <f>SUM(DH39:DH44)</f>
        <v/>
      </c>
      <c r="DI45" s="47" t="inlineStr">
        <is>
          <t>-</t>
        </is>
      </c>
      <c r="DJ45" s="627" t="n"/>
      <c r="DK45" s="627" t="inlineStr">
        <is>
          <t>Sub Total - III (i+ii+iii+iv+v+vi)</t>
        </is>
      </c>
      <c r="DL45" s="24">
        <f>SUM(DL39:DL44)</f>
        <v/>
      </c>
      <c r="DM45" s="24">
        <f>SUM(DM39:DM44)</f>
        <v/>
      </c>
      <c r="DN45" s="24">
        <f>SUM(DN39:DN44)</f>
        <v/>
      </c>
      <c r="DO45" s="24">
        <f>SUM(DO39:DO44)</f>
        <v/>
      </c>
      <c r="DP45" s="74">
        <f>SUM(DP39:DP44)</f>
        <v/>
      </c>
      <c r="DQ45" s="108">
        <f>SUM(DQ39:DQ44)</f>
        <v/>
      </c>
      <c r="DR45" s="24">
        <f>SUM(DR39:DR44)</f>
        <v/>
      </c>
      <c r="DS45" s="24">
        <f>SUM(DS39:DS44)</f>
        <v/>
      </c>
      <c r="DT45" s="24">
        <f>SUM(DT39:DT44)</f>
        <v/>
      </c>
      <c r="DU45" s="47" t="inlineStr">
        <is>
          <t>-</t>
        </is>
      </c>
      <c r="DV45" s="127" t="n"/>
      <c r="DW45" s="128" t="n"/>
      <c r="DX45" s="47" t="inlineStr">
        <is>
          <t>-</t>
        </is>
      </c>
      <c r="DY45" s="127">
        <f>(DN45-DB45)/DB45</f>
        <v/>
      </c>
      <c r="DZ45" s="128">
        <f>(DP45-DD45)/DD45</f>
        <v/>
      </c>
      <c r="EA45" s="129">
        <f>(DR45-DF45)/DF45</f>
        <v/>
      </c>
    </row>
    <row r="46">
      <c r="A46" s="504" t="n"/>
      <c r="B46" s="7" t="n"/>
      <c r="C46" s="628" t="n"/>
      <c r="D46" s="628" t="n"/>
      <c r="E46" s="47" t="inlineStr">
        <is>
          <t>-</t>
        </is>
      </c>
      <c r="F46" s="504" t="n"/>
      <c r="G46" s="7" t="n"/>
      <c r="H46" s="53" t="n"/>
      <c r="I46" s="53" t="n"/>
      <c r="J46" s="628" t="n"/>
      <c r="K46" s="628" t="n"/>
      <c r="L46" s="628" t="n"/>
      <c r="M46" s="628" t="n"/>
      <c r="N46" s="628" t="n"/>
      <c r="O46" s="53" t="n"/>
      <c r="P46" s="628" t="n"/>
      <c r="Q46" s="47" t="inlineStr">
        <is>
          <t>-</t>
        </is>
      </c>
      <c r="R46" s="504" t="n"/>
      <c r="S46" s="7" t="n"/>
      <c r="T46" s="53" t="n"/>
      <c r="U46" s="53" t="n"/>
      <c r="V46" s="628" t="n"/>
      <c r="W46" s="628" t="n"/>
      <c r="X46" s="628" t="n"/>
      <c r="Y46" s="628" t="n"/>
      <c r="Z46" s="628" t="n"/>
      <c r="AA46" s="53" t="n"/>
      <c r="AB46" s="628" t="n"/>
      <c r="AC46" s="47" t="inlineStr">
        <is>
          <t>-</t>
        </is>
      </c>
      <c r="AD46" s="504" t="n"/>
      <c r="AE46" s="7" t="n"/>
      <c r="AF46" s="53" t="n"/>
      <c r="AG46" s="53" t="n"/>
      <c r="AH46" s="628" t="n"/>
      <c r="AI46" s="628" t="n"/>
      <c r="AJ46" s="628" t="n"/>
      <c r="AK46" s="628" t="n"/>
      <c r="AL46" s="628" t="n"/>
      <c r="AM46" s="53" t="n"/>
      <c r="AN46" s="628" t="n"/>
      <c r="AO46" s="47" t="inlineStr">
        <is>
          <t>-</t>
        </is>
      </c>
      <c r="AP46" s="504" t="n"/>
      <c r="AQ46" s="7" t="n"/>
      <c r="AR46" s="53" t="n"/>
      <c r="AS46" s="53" t="n"/>
      <c r="AT46" s="628" t="n"/>
      <c r="AU46" s="628" t="n"/>
      <c r="AV46" s="628" t="n"/>
      <c r="AW46" s="628" t="n"/>
      <c r="AX46" s="628" t="n"/>
      <c r="AY46" s="53" t="n"/>
      <c r="AZ46" s="628" t="n"/>
      <c r="BA46" s="47" t="inlineStr">
        <is>
          <t>-</t>
        </is>
      </c>
      <c r="BB46" s="504" t="n"/>
      <c r="BC46" s="7" t="n"/>
      <c r="BD46" s="53" t="n"/>
      <c r="BE46" s="53" t="n"/>
      <c r="BF46" s="628" t="n"/>
      <c r="BG46" s="628" t="n"/>
      <c r="BH46" s="628" t="n"/>
      <c r="BI46" s="628" t="n"/>
      <c r="BJ46" s="628" t="n"/>
      <c r="BK46" s="53" t="n"/>
      <c r="BL46" s="628" t="n"/>
      <c r="BM46" s="47" t="inlineStr">
        <is>
          <t>-</t>
        </is>
      </c>
      <c r="BN46" s="55" t="n"/>
      <c r="BO46" s="7" t="n"/>
      <c r="BP46" s="53" t="n"/>
      <c r="BQ46" s="53" t="n"/>
      <c r="BR46" s="628" t="n"/>
      <c r="BS46" s="628" t="n"/>
      <c r="BT46" s="628" t="n"/>
      <c r="BU46" s="628" t="n"/>
      <c r="BV46" s="628" t="n"/>
      <c r="BW46" s="56" t="n"/>
      <c r="BX46" s="629" t="n"/>
      <c r="BY46" s="47" t="inlineStr">
        <is>
          <t>-</t>
        </is>
      </c>
      <c r="BZ46" s="55" t="n"/>
      <c r="CA46" s="7" t="n"/>
      <c r="CB46" s="53" t="n"/>
      <c r="CC46" s="53" t="n"/>
      <c r="CD46" s="628" t="n"/>
      <c r="CE46" s="628" t="n"/>
      <c r="CF46" s="628" t="n"/>
      <c r="CG46" s="628" t="n"/>
      <c r="CH46" s="628" t="n"/>
      <c r="CI46" s="56" t="n"/>
      <c r="CJ46" s="629" t="n"/>
      <c r="CK46" s="47" t="inlineStr">
        <is>
          <t>-</t>
        </is>
      </c>
      <c r="CL46" s="504" t="n"/>
      <c r="CM46" s="7" t="n"/>
      <c r="CN46" s="53" t="n"/>
      <c r="CO46" s="53" t="n"/>
      <c r="CP46" s="628" t="n"/>
      <c r="CQ46" s="628" t="n"/>
      <c r="CR46" s="628" t="n"/>
      <c r="CS46" s="628" t="n"/>
      <c r="CT46" s="628" t="n"/>
      <c r="CU46" s="56" t="n"/>
      <c r="CV46" s="628" t="n"/>
      <c r="CW46" s="47" t="inlineStr">
        <is>
          <t>-</t>
        </is>
      </c>
      <c r="CX46" s="504" t="n"/>
      <c r="CY46" s="7" t="n"/>
      <c r="CZ46" s="53" t="n"/>
      <c r="DA46" s="53" t="n"/>
      <c r="DB46" s="628" t="n"/>
      <c r="DC46" s="628" t="n"/>
      <c r="DD46" s="628" t="n"/>
      <c r="DE46" s="628" t="n"/>
      <c r="DF46" s="628" t="n"/>
      <c r="DG46" s="53" t="n"/>
      <c r="DH46" s="628" t="n"/>
      <c r="DI46" s="2" t="inlineStr">
        <is>
          <t>-</t>
        </is>
      </c>
      <c r="DJ46" s="616" t="n"/>
      <c r="DK46" s="630" t="n"/>
      <c r="DL46" s="79" t="n"/>
      <c r="DM46" s="79" t="n"/>
      <c r="DN46" s="616" t="n"/>
      <c r="DO46" s="616" t="n"/>
      <c r="DP46" s="616" t="n"/>
      <c r="DQ46" s="616" t="n"/>
      <c r="DR46" s="616" t="n"/>
      <c r="DS46" s="79" t="n"/>
      <c r="DT46" s="616" t="n"/>
      <c r="DU46" s="2" t="inlineStr">
        <is>
          <t>-</t>
        </is>
      </c>
      <c r="DV46" s="103" t="n"/>
      <c r="DW46" s="103" t="n"/>
      <c r="DX46" s="2" t="inlineStr">
        <is>
          <t>-</t>
        </is>
      </c>
      <c r="DY46" s="103" t="inlineStr">
        <is>
          <t>-</t>
        </is>
      </c>
      <c r="DZ46" s="103" t="inlineStr">
        <is>
          <t>-</t>
        </is>
      </c>
      <c r="EA46" s="103" t="inlineStr">
        <is>
          <t>-</t>
        </is>
      </c>
    </row>
    <row r="47">
      <c r="A47" s="503" t="inlineStr">
        <is>
          <t>IV</t>
        </is>
      </c>
      <c r="B47" s="20" t="inlineStr">
        <is>
          <t>Solution Oriented Schemes</t>
        </is>
      </c>
      <c r="C47" s="628" t="n"/>
      <c r="D47" s="628" t="n"/>
      <c r="E47" s="47" t="inlineStr">
        <is>
          <t>-</t>
        </is>
      </c>
      <c r="F47" s="503" t="inlineStr">
        <is>
          <t>IV</t>
        </is>
      </c>
      <c r="G47" s="20" t="inlineStr">
        <is>
          <t>Solution Oriented Schemes</t>
        </is>
      </c>
      <c r="H47" s="53" t="n"/>
      <c r="I47" s="53" t="n"/>
      <c r="J47" s="628" t="n"/>
      <c r="K47" s="628" t="n"/>
      <c r="L47" s="628" t="n"/>
      <c r="M47" s="628" t="n"/>
      <c r="N47" s="628" t="n"/>
      <c r="O47" s="53" t="n"/>
      <c r="P47" s="628" t="n"/>
      <c r="Q47" s="47" t="inlineStr">
        <is>
          <t>-</t>
        </is>
      </c>
      <c r="R47" s="503" t="inlineStr">
        <is>
          <t>IV</t>
        </is>
      </c>
      <c r="S47" s="20" t="inlineStr">
        <is>
          <t>Solution Oriented Schemes</t>
        </is>
      </c>
      <c r="T47" s="53" t="n"/>
      <c r="U47" s="53" t="n"/>
      <c r="V47" s="628" t="n"/>
      <c r="W47" s="628" t="n"/>
      <c r="X47" s="628" t="n"/>
      <c r="Y47" s="628" t="n"/>
      <c r="Z47" s="628" t="n"/>
      <c r="AA47" s="53" t="n"/>
      <c r="AB47" s="628" t="n"/>
      <c r="AC47" s="47" t="inlineStr">
        <is>
          <t>-</t>
        </is>
      </c>
      <c r="AD47" s="503" t="inlineStr">
        <is>
          <t>IV</t>
        </is>
      </c>
      <c r="AE47" s="20" t="inlineStr">
        <is>
          <t>Solution Oriented Schemes</t>
        </is>
      </c>
      <c r="AF47" s="53" t="n"/>
      <c r="AG47" s="53" t="n"/>
      <c r="AH47" s="628" t="n"/>
      <c r="AI47" s="628" t="n"/>
      <c r="AJ47" s="628" t="n"/>
      <c r="AK47" s="628" t="n"/>
      <c r="AL47" s="628" t="n"/>
      <c r="AM47" s="53" t="n"/>
      <c r="AN47" s="628" t="n"/>
      <c r="AO47" s="47" t="inlineStr">
        <is>
          <t>-</t>
        </is>
      </c>
      <c r="AP47" s="503" t="inlineStr">
        <is>
          <t>IV</t>
        </is>
      </c>
      <c r="AQ47" s="20" t="inlineStr">
        <is>
          <t>Solution Oriented Schemes</t>
        </is>
      </c>
      <c r="AR47" s="53" t="n"/>
      <c r="AS47" s="53" t="n"/>
      <c r="AT47" s="628" t="n"/>
      <c r="AU47" s="628" t="n"/>
      <c r="AV47" s="628" t="n"/>
      <c r="AW47" s="628" t="n"/>
      <c r="AX47" s="628" t="n"/>
      <c r="AY47" s="53" t="n"/>
      <c r="AZ47" s="628" t="n"/>
      <c r="BA47" s="47" t="inlineStr">
        <is>
          <t>-</t>
        </is>
      </c>
      <c r="BB47" s="503" t="inlineStr">
        <is>
          <t>IV</t>
        </is>
      </c>
      <c r="BC47" s="20" t="inlineStr">
        <is>
          <t>Solution Oriented Schemes</t>
        </is>
      </c>
      <c r="BD47" s="53" t="n"/>
      <c r="BE47" s="53" t="n"/>
      <c r="BF47" s="628" t="n"/>
      <c r="BG47" s="628" t="n"/>
      <c r="BH47" s="628" t="n"/>
      <c r="BI47" s="628" t="n"/>
      <c r="BJ47" s="628" t="n"/>
      <c r="BK47" s="53" t="n"/>
      <c r="BL47" s="628" t="n"/>
      <c r="BM47" s="47" t="inlineStr">
        <is>
          <t>-</t>
        </is>
      </c>
      <c r="BN47" s="514" t="inlineStr">
        <is>
          <t>IV</t>
        </is>
      </c>
      <c r="BO47" s="20" t="inlineStr">
        <is>
          <t>Solution Oriented Schemes</t>
        </is>
      </c>
      <c r="BP47" s="53" t="n"/>
      <c r="BQ47" s="53" t="n"/>
      <c r="BR47" s="628" t="n"/>
      <c r="BS47" s="628" t="n"/>
      <c r="BT47" s="628" t="n"/>
      <c r="BU47" s="628" t="n"/>
      <c r="BV47" s="628" t="n"/>
      <c r="BW47" s="56" t="n"/>
      <c r="BX47" s="629" t="n"/>
      <c r="BY47" s="47" t="inlineStr">
        <is>
          <t>-</t>
        </is>
      </c>
      <c r="BZ47" s="514" t="inlineStr">
        <is>
          <t>IV</t>
        </is>
      </c>
      <c r="CA47" s="20" t="inlineStr">
        <is>
          <t>Solution Oriented Schemes</t>
        </is>
      </c>
      <c r="CB47" s="53" t="n"/>
      <c r="CC47" s="53" t="n"/>
      <c r="CD47" s="628" t="n"/>
      <c r="CE47" s="628" t="n"/>
      <c r="CF47" s="628" t="n"/>
      <c r="CG47" s="628" t="n"/>
      <c r="CH47" s="628" t="n"/>
      <c r="CI47" s="56" t="n"/>
      <c r="CJ47" s="629" t="n"/>
      <c r="CK47" s="47" t="inlineStr">
        <is>
          <t>-</t>
        </is>
      </c>
      <c r="CL47" s="503" t="inlineStr">
        <is>
          <t>IV</t>
        </is>
      </c>
      <c r="CM47" s="20" t="inlineStr">
        <is>
          <t>Solution Oriented Schemes</t>
        </is>
      </c>
      <c r="CN47" s="53" t="n"/>
      <c r="CO47" s="53" t="n"/>
      <c r="CP47" s="628" t="n"/>
      <c r="CQ47" s="628" t="n"/>
      <c r="CR47" s="628" t="n"/>
      <c r="CS47" s="628" t="n"/>
      <c r="CT47" s="628" t="n"/>
      <c r="CU47" s="56" t="n"/>
      <c r="CV47" s="628" t="n"/>
      <c r="CW47" s="47" t="inlineStr">
        <is>
          <t>-</t>
        </is>
      </c>
      <c r="CX47" s="503" t="inlineStr">
        <is>
          <t>IV</t>
        </is>
      </c>
      <c r="CY47" s="20" t="inlineStr">
        <is>
          <t>Solution Oriented Schemes</t>
        </is>
      </c>
      <c r="CZ47" s="53" t="n"/>
      <c r="DA47" s="53" t="n"/>
      <c r="DB47" s="628" t="n"/>
      <c r="DC47" s="628" t="n"/>
      <c r="DD47" s="628" t="n"/>
      <c r="DE47" s="628" t="n"/>
      <c r="DF47" s="628" t="n"/>
      <c r="DG47" s="53" t="n"/>
      <c r="DH47" s="628" t="n"/>
      <c r="DI47" s="2" t="inlineStr">
        <is>
          <t>-</t>
        </is>
      </c>
      <c r="DJ47" s="612" t="inlineStr">
        <is>
          <t>IV</t>
        </is>
      </c>
      <c r="DK47" s="615" t="inlineStr">
        <is>
          <t>Solution Oriented Schemes</t>
        </is>
      </c>
      <c r="DL47" s="79" t="n"/>
      <c r="DM47" s="79" t="n"/>
      <c r="DN47" s="616" t="n"/>
      <c r="DO47" s="616" t="n"/>
      <c r="DP47" s="616" t="n"/>
      <c r="DQ47" s="616" t="n"/>
      <c r="DR47" s="616" t="n"/>
      <c r="DS47" s="79" t="n"/>
      <c r="DT47" s="616" t="n"/>
      <c r="DU47" s="2" t="inlineStr">
        <is>
          <t>-</t>
        </is>
      </c>
      <c r="DV47" s="103" t="n"/>
      <c r="DW47" s="103" t="n"/>
      <c r="DX47" s="2" t="inlineStr">
        <is>
          <t>-</t>
        </is>
      </c>
      <c r="DY47" s="103" t="inlineStr">
        <is>
          <t>-</t>
        </is>
      </c>
      <c r="DZ47" s="103" t="inlineStr">
        <is>
          <t>-</t>
        </is>
      </c>
      <c r="EA47" s="103" t="inlineStr">
        <is>
          <t>-</t>
        </is>
      </c>
    </row>
    <row r="48">
      <c r="A48" s="16" t="inlineStr">
        <is>
          <t>i</t>
        </is>
      </c>
      <c r="B48" s="15" t="inlineStr">
        <is>
          <t>Retirement Fund</t>
        </is>
      </c>
      <c r="C48" s="617" t="n">
        <v>29104.49821802</v>
      </c>
      <c r="D48" s="617" t="n">
        <v>28388.19481321</v>
      </c>
      <c r="E48" s="47" t="inlineStr">
        <is>
          <t>-</t>
        </is>
      </c>
      <c r="F48" s="16" t="inlineStr">
        <is>
          <t>i</t>
        </is>
      </c>
      <c r="G48" s="15" t="inlineStr">
        <is>
          <t>Retirement Fund</t>
        </is>
      </c>
      <c r="H48" s="14" t="n">
        <v>29</v>
      </c>
      <c r="I48" s="14" t="n">
        <v>2999887</v>
      </c>
      <c r="J48" s="617" t="n">
        <v>254.96061386</v>
      </c>
      <c r="K48" s="617" t="n">
        <v>178.95675274</v>
      </c>
      <c r="L48" s="617" t="n">
        <v>76.00386112</v>
      </c>
      <c r="M48" s="617" t="n">
        <v>29996.2074238</v>
      </c>
      <c r="N48" s="617" t="n">
        <v>29245.2622979</v>
      </c>
      <c r="O48" s="14" t="n">
        <v>0</v>
      </c>
      <c r="P48" s="617" t="n">
        <v>0</v>
      </c>
      <c r="Q48" s="47" t="inlineStr">
        <is>
          <t>-</t>
        </is>
      </c>
      <c r="R48" s="16" t="inlineStr">
        <is>
          <t>i</t>
        </is>
      </c>
      <c r="S48" s="15" t="inlineStr">
        <is>
          <t>Retirement Fund</t>
        </is>
      </c>
      <c r="T48" s="14" t="n">
        <v>29</v>
      </c>
      <c r="U48" s="14" t="n">
        <v>3003234</v>
      </c>
      <c r="V48" s="617" t="n">
        <v>251.43797408</v>
      </c>
      <c r="W48" s="617" t="n">
        <v>198.52860463</v>
      </c>
      <c r="X48" s="617" t="n">
        <v>52.9093694500001</v>
      </c>
      <c r="Y48" s="617" t="n">
        <v>31006.98156368</v>
      </c>
      <c r="Z48" s="617" t="n">
        <v>30588.37175671</v>
      </c>
      <c r="AA48" s="14" t="n">
        <v>0</v>
      </c>
      <c r="AB48" s="617" t="n">
        <v>0</v>
      </c>
      <c r="AC48" s="47" t="inlineStr">
        <is>
          <t>-</t>
        </is>
      </c>
      <c r="AD48" s="16" t="inlineStr">
        <is>
          <t>i</t>
        </is>
      </c>
      <c r="AE48" s="15" t="inlineStr">
        <is>
          <t>Retirement Fund</t>
        </is>
      </c>
      <c r="AF48" s="14" t="n">
        <v>29</v>
      </c>
      <c r="AG48" s="14" t="n">
        <v>3009203</v>
      </c>
      <c r="AH48" s="617" t="n">
        <v>271.58924686</v>
      </c>
      <c r="AI48" s="617" t="n">
        <v>193.11502427</v>
      </c>
      <c r="AJ48" s="617" t="n">
        <v>78.4742225899999</v>
      </c>
      <c r="AK48" s="617" t="n">
        <v>31973.26483048</v>
      </c>
      <c r="AL48" s="617" t="n">
        <v>31446.29259718</v>
      </c>
      <c r="AM48" s="14" t="n">
        <v>0</v>
      </c>
      <c r="AN48" s="617" t="n">
        <v>0</v>
      </c>
      <c r="AO48" s="47" t="inlineStr">
        <is>
          <t>-</t>
        </is>
      </c>
      <c r="AP48" s="16" t="inlineStr">
        <is>
          <t>i</t>
        </is>
      </c>
      <c r="AQ48" s="15" t="inlineStr">
        <is>
          <t>Retirement Fund</t>
        </is>
      </c>
      <c r="AR48" s="14" t="n">
        <v>29</v>
      </c>
      <c r="AS48" s="14" t="n">
        <v>3016170</v>
      </c>
      <c r="AT48" s="617" t="n">
        <v>316.29630371</v>
      </c>
      <c r="AU48" s="617" t="n">
        <v>197.39610628</v>
      </c>
      <c r="AV48" s="617" t="n">
        <v>118.90019743</v>
      </c>
      <c r="AW48" s="617" t="n">
        <v>31415.74661142</v>
      </c>
      <c r="AX48" s="617" t="n">
        <v>31812.87332464</v>
      </c>
      <c r="AY48" s="14" t="n">
        <v>0</v>
      </c>
      <c r="AZ48" s="617" t="n">
        <v>0</v>
      </c>
      <c r="BA48" s="47" t="inlineStr">
        <is>
          <t>-</t>
        </is>
      </c>
      <c r="BB48" s="16" t="inlineStr">
        <is>
          <t>i</t>
        </is>
      </c>
      <c r="BC48" s="15" t="inlineStr">
        <is>
          <t>Retirement Fund</t>
        </is>
      </c>
      <c r="BD48" s="14" t="n">
        <v>29</v>
      </c>
      <c r="BE48" s="14" t="n">
        <v>3022062</v>
      </c>
      <c r="BF48" s="617" t="n">
        <v>274.7205739</v>
      </c>
      <c r="BG48" s="617" t="n">
        <v>140.24965792</v>
      </c>
      <c r="BH48" s="617" t="n">
        <v>134.47091598</v>
      </c>
      <c r="BI48" s="617" t="n">
        <v>31058.4351055</v>
      </c>
      <c r="BJ48" s="617" t="n">
        <v>31359.24221839</v>
      </c>
      <c r="BK48" s="14" t="n">
        <v>0</v>
      </c>
      <c r="BL48" s="617" t="n">
        <v>0</v>
      </c>
      <c r="BM48" s="47" t="inlineStr">
        <is>
          <t>-</t>
        </is>
      </c>
      <c r="BN48" s="19" t="inlineStr">
        <is>
          <t>i</t>
        </is>
      </c>
      <c r="BO48" s="15" t="inlineStr">
        <is>
          <t>Retirement Fund</t>
        </is>
      </c>
      <c r="BP48" s="14" t="n">
        <v>29</v>
      </c>
      <c r="BQ48" s="14" t="n">
        <v>3027172</v>
      </c>
      <c r="BR48" s="617" t="n">
        <v>291.37090552</v>
      </c>
      <c r="BS48" s="617" t="n">
        <v>194.55247765</v>
      </c>
      <c r="BT48" s="617" t="n">
        <v>96.81842787000031</v>
      </c>
      <c r="BU48" s="617" t="n">
        <v>31454.41516288</v>
      </c>
      <c r="BV48" s="617" t="n">
        <v>31800.74340252</v>
      </c>
      <c r="BW48" s="17" t="n">
        <v>0</v>
      </c>
      <c r="BX48" s="618" t="n">
        <v>0</v>
      </c>
      <c r="BY48" s="47" t="inlineStr">
        <is>
          <t>-</t>
        </is>
      </c>
      <c r="BZ48" s="19" t="inlineStr">
        <is>
          <t>i</t>
        </is>
      </c>
      <c r="CA48" s="15" t="inlineStr">
        <is>
          <t>Retirement Fund</t>
        </is>
      </c>
      <c r="CB48" s="14" t="n">
        <v>29</v>
      </c>
      <c r="CC48" s="14" t="n">
        <v>3032112</v>
      </c>
      <c r="CD48" s="617" t="n">
        <v>274.53561349</v>
      </c>
      <c r="CE48" s="617" t="n">
        <v>170.50776878</v>
      </c>
      <c r="CF48" s="617" t="n">
        <v>104.02784471</v>
      </c>
      <c r="CG48" s="617" t="n">
        <v>32512.29817342</v>
      </c>
      <c r="CH48" s="617" t="n">
        <v>32307.95825214</v>
      </c>
      <c r="CI48" s="17" t="n">
        <v>0</v>
      </c>
      <c r="CJ48" s="618" t="n">
        <v>0</v>
      </c>
      <c r="CK48" s="47" t="inlineStr">
        <is>
          <t>-</t>
        </is>
      </c>
      <c r="CL48" s="16" t="inlineStr">
        <is>
          <t>i</t>
        </is>
      </c>
      <c r="CM48" s="15" t="inlineStr">
        <is>
          <t>Retirement Fund</t>
        </is>
      </c>
      <c r="CN48" s="14" t="n">
        <v>29</v>
      </c>
      <c r="CO48" s="14" t="n">
        <v>3037674</v>
      </c>
      <c r="CP48" s="617" t="n">
        <v>268.39014058</v>
      </c>
      <c r="CQ48" s="617" t="n">
        <v>162.00462272</v>
      </c>
      <c r="CR48" s="617" t="n">
        <v>106.38551786</v>
      </c>
      <c r="CS48" s="617" t="n">
        <v>32835.3327408</v>
      </c>
      <c r="CT48" s="617" t="n">
        <v>32694.49063389</v>
      </c>
      <c r="CU48" s="17" t="n">
        <v>0</v>
      </c>
      <c r="CV48" s="617" t="n">
        <v>0</v>
      </c>
      <c r="CW48" s="47" t="inlineStr">
        <is>
          <t>-</t>
        </is>
      </c>
      <c r="CX48" s="16" t="inlineStr">
        <is>
          <t>i</t>
        </is>
      </c>
      <c r="CY48" s="15" t="inlineStr">
        <is>
          <t>Retirement Fund</t>
        </is>
      </c>
      <c r="CZ48" s="14" t="n">
        <v>29</v>
      </c>
      <c r="DA48" s="14" t="n">
        <v>3042915</v>
      </c>
      <c r="DB48" s="617" t="n">
        <v>299.8941114</v>
      </c>
      <c r="DC48" s="617" t="n">
        <v>178.8978223</v>
      </c>
      <c r="DD48" s="617" t="n">
        <v>120.9962891</v>
      </c>
      <c r="DE48" s="624" t="n">
        <v>32828.50598059</v>
      </c>
      <c r="DF48" s="617" t="n">
        <v>32711.55552021</v>
      </c>
      <c r="DG48" s="14" t="n">
        <v>0</v>
      </c>
      <c r="DH48" s="617" t="n">
        <v>0</v>
      </c>
      <c r="DI48" s="2" t="inlineStr">
        <is>
          <t>-</t>
        </is>
      </c>
      <c r="DJ48" s="620" t="inlineStr">
        <is>
          <t>i</t>
        </is>
      </c>
      <c r="DK48" s="621" t="inlineStr">
        <is>
          <t>Retirement Fund</t>
        </is>
      </c>
      <c r="DL48" s="83" t="n">
        <v>29</v>
      </c>
      <c r="DM48" s="83" t="n">
        <v>3049871</v>
      </c>
      <c r="DN48" s="622" t="n">
        <v>279.23072788</v>
      </c>
      <c r="DO48" s="622" t="n">
        <v>174.71369077</v>
      </c>
      <c r="DP48" s="622" t="n">
        <v>104.51703711</v>
      </c>
      <c r="DQ48" s="625" t="n">
        <v>32044.11324269</v>
      </c>
      <c r="DR48" s="622" t="n">
        <v>32448.64347446</v>
      </c>
      <c r="DS48" s="83" t="n">
        <v>0</v>
      </c>
      <c r="DT48" s="622" t="n">
        <v>0</v>
      </c>
      <c r="DU48" s="2" t="inlineStr">
        <is>
          <t>-</t>
        </is>
      </c>
      <c r="DV48" s="127" t="n"/>
      <c r="DW48" s="128" t="n"/>
      <c r="DX48" s="2" t="inlineStr">
        <is>
          <t>-</t>
        </is>
      </c>
      <c r="DY48" s="127">
        <f>(DN48-DB48)/DB48</f>
        <v/>
      </c>
      <c r="DZ48" s="128">
        <f>(DP48-DD48)/DD48</f>
        <v/>
      </c>
      <c r="EA48" s="129">
        <f>(DR48-DF48)/DF48</f>
        <v/>
      </c>
    </row>
    <row r="49">
      <c r="A49" s="16" t="inlineStr">
        <is>
          <t>ii</t>
        </is>
      </c>
      <c r="B49" s="15" t="inlineStr">
        <is>
          <t>Childrens Fund</t>
        </is>
      </c>
      <c r="C49" s="617" t="n">
        <v>22077.51044131</v>
      </c>
      <c r="D49" s="617" t="n">
        <v>21510.81981227</v>
      </c>
      <c r="E49" s="47" t="inlineStr">
        <is>
          <t>-</t>
        </is>
      </c>
      <c r="F49" s="16" t="inlineStr">
        <is>
          <t>ii</t>
        </is>
      </c>
      <c r="G49" s="15" t="inlineStr">
        <is>
          <t>Childrens Fund</t>
        </is>
      </c>
      <c r="H49" s="14" t="n">
        <v>12</v>
      </c>
      <c r="I49" s="14" t="n">
        <v>3084694</v>
      </c>
      <c r="J49" s="617" t="n">
        <v>188.0674771</v>
      </c>
      <c r="K49" s="617" t="n">
        <v>58.17380093</v>
      </c>
      <c r="L49" s="617" t="n">
        <v>129.89367617</v>
      </c>
      <c r="M49" s="617" t="n">
        <v>22686.10244157</v>
      </c>
      <c r="N49" s="617" t="n">
        <v>22235.04925119</v>
      </c>
      <c r="O49" s="14" t="n">
        <v>0</v>
      </c>
      <c r="P49" s="617" t="n">
        <v>0</v>
      </c>
      <c r="Q49" s="47" t="inlineStr">
        <is>
          <t>-</t>
        </is>
      </c>
      <c r="R49" s="16" t="inlineStr">
        <is>
          <t>ii</t>
        </is>
      </c>
      <c r="S49" s="15" t="inlineStr">
        <is>
          <t>Childrens Fund</t>
        </is>
      </c>
      <c r="T49" s="14" t="n">
        <v>12</v>
      </c>
      <c r="U49" s="14" t="n">
        <v>3093038</v>
      </c>
      <c r="V49" s="617" t="n">
        <v>192.32983709</v>
      </c>
      <c r="W49" s="617" t="n">
        <v>67.91381436</v>
      </c>
      <c r="X49" s="617" t="n">
        <v>124.41602273</v>
      </c>
      <c r="Y49" s="617" t="n">
        <v>23523.85217774</v>
      </c>
      <c r="Z49" s="617" t="n">
        <v>23161.28473655</v>
      </c>
      <c r="AA49" s="14" t="n">
        <v>0</v>
      </c>
      <c r="AB49" s="617" t="n">
        <v>0</v>
      </c>
      <c r="AC49" s="47" t="inlineStr">
        <is>
          <t>-</t>
        </is>
      </c>
      <c r="AD49" s="16" t="inlineStr">
        <is>
          <t>ii</t>
        </is>
      </c>
      <c r="AE49" s="15" t="inlineStr">
        <is>
          <t>Childrens Fund</t>
        </is>
      </c>
      <c r="AF49" s="14" t="n">
        <v>12</v>
      </c>
      <c r="AG49" s="14" t="n">
        <v>3103506</v>
      </c>
      <c r="AH49" s="617" t="n">
        <v>206.54642601</v>
      </c>
      <c r="AI49" s="617" t="n">
        <v>78.52162102</v>
      </c>
      <c r="AJ49" s="617" t="n">
        <v>128.02480499</v>
      </c>
      <c r="AK49" s="617" t="n">
        <v>24174.5573652</v>
      </c>
      <c r="AL49" s="617" t="n">
        <v>23790.14690509</v>
      </c>
      <c r="AM49" s="14" t="n">
        <v>0</v>
      </c>
      <c r="AN49" s="617" t="n">
        <v>0</v>
      </c>
      <c r="AO49" s="47" t="inlineStr">
        <is>
          <t>-</t>
        </is>
      </c>
      <c r="AP49" s="16" t="inlineStr">
        <is>
          <t>ii</t>
        </is>
      </c>
      <c r="AQ49" s="15" t="inlineStr">
        <is>
          <t>Childrens Fund</t>
        </is>
      </c>
      <c r="AR49" s="14" t="n">
        <v>12</v>
      </c>
      <c r="AS49" s="14" t="n">
        <v>3117371</v>
      </c>
      <c r="AT49" s="617" t="n">
        <v>245.87798831</v>
      </c>
      <c r="AU49" s="617" t="n">
        <v>82.1905441</v>
      </c>
      <c r="AV49" s="617" t="n">
        <v>163.68744421</v>
      </c>
      <c r="AW49" s="617" t="n">
        <v>24138.40785882</v>
      </c>
      <c r="AX49" s="617" t="n">
        <v>24283.23114404</v>
      </c>
      <c r="AY49" s="14" t="n">
        <v>0</v>
      </c>
      <c r="AZ49" s="617" t="n">
        <v>0</v>
      </c>
      <c r="BA49" s="47" t="inlineStr">
        <is>
          <t>-</t>
        </is>
      </c>
      <c r="BB49" s="16" t="inlineStr">
        <is>
          <t>ii</t>
        </is>
      </c>
      <c r="BC49" s="15" t="inlineStr">
        <is>
          <t>Childrens Fund</t>
        </is>
      </c>
      <c r="BD49" s="14" t="n">
        <v>12</v>
      </c>
      <c r="BE49" s="14" t="n">
        <v>3130503</v>
      </c>
      <c r="BF49" s="617" t="n">
        <v>241.97477131</v>
      </c>
      <c r="BG49" s="617" t="n">
        <v>56.33644502</v>
      </c>
      <c r="BH49" s="617" t="n">
        <v>185.63832629</v>
      </c>
      <c r="BI49" s="617" t="n">
        <v>23924.5750218</v>
      </c>
      <c r="BJ49" s="617" t="n">
        <v>24055.3184535</v>
      </c>
      <c r="BK49" s="14" t="n">
        <v>0</v>
      </c>
      <c r="BL49" s="617" t="n">
        <v>0</v>
      </c>
      <c r="BM49" s="47" t="inlineStr">
        <is>
          <t>-</t>
        </is>
      </c>
      <c r="BN49" s="19" t="inlineStr">
        <is>
          <t>ii</t>
        </is>
      </c>
      <c r="BO49" s="15" t="inlineStr">
        <is>
          <t>Childrens Fund</t>
        </is>
      </c>
      <c r="BP49" s="14" t="n">
        <v>12</v>
      </c>
      <c r="BQ49" s="14" t="n">
        <v>3144415</v>
      </c>
      <c r="BR49" s="617" t="n">
        <v>255.41370773</v>
      </c>
      <c r="BS49" s="617" t="n">
        <v>66.05160565</v>
      </c>
      <c r="BT49" s="617" t="n">
        <v>189.36210208</v>
      </c>
      <c r="BU49" s="617" t="n">
        <v>24327.78924193</v>
      </c>
      <c r="BV49" s="617" t="n">
        <v>24510.65592534</v>
      </c>
      <c r="BW49" s="17" t="n">
        <v>0</v>
      </c>
      <c r="BX49" s="618" t="n">
        <v>0</v>
      </c>
      <c r="BY49" s="47" t="inlineStr">
        <is>
          <t>-</t>
        </is>
      </c>
      <c r="BZ49" s="19" t="inlineStr">
        <is>
          <t>ii</t>
        </is>
      </c>
      <c r="CA49" s="15" t="inlineStr">
        <is>
          <t>Childrens Fund</t>
        </is>
      </c>
      <c r="CB49" s="14" t="n">
        <v>12</v>
      </c>
      <c r="CC49" s="14" t="n">
        <v>3155666</v>
      </c>
      <c r="CD49" s="617" t="n">
        <v>236.96109271</v>
      </c>
      <c r="CE49" s="617" t="n">
        <v>79.97061617</v>
      </c>
      <c r="CF49" s="617" t="n">
        <v>156.99047654</v>
      </c>
      <c r="CG49" s="617" t="n">
        <v>25213.26683201</v>
      </c>
      <c r="CH49" s="617" t="n">
        <v>24944.0795322</v>
      </c>
      <c r="CI49" s="17" t="n">
        <v>0</v>
      </c>
      <c r="CJ49" s="618" t="n">
        <v>0</v>
      </c>
      <c r="CK49" s="47" t="inlineStr">
        <is>
          <t>-</t>
        </is>
      </c>
      <c r="CL49" s="16" t="inlineStr">
        <is>
          <t>ii</t>
        </is>
      </c>
      <c r="CM49" s="15" t="inlineStr">
        <is>
          <t>Childrens Fund</t>
        </is>
      </c>
      <c r="CN49" s="14" t="n">
        <v>12</v>
      </c>
      <c r="CO49" s="14" t="n">
        <v>3171929</v>
      </c>
      <c r="CP49" s="617" t="n">
        <v>283.45317252</v>
      </c>
      <c r="CQ49" s="617" t="n">
        <v>69.8084066600001</v>
      </c>
      <c r="CR49" s="617" t="n">
        <v>213.64476586</v>
      </c>
      <c r="CS49" s="617" t="n">
        <v>25675.48897993</v>
      </c>
      <c r="CT49" s="617" t="n">
        <v>25440.81232151</v>
      </c>
      <c r="CU49" s="17" t="n">
        <v>0</v>
      </c>
      <c r="CV49" s="617" t="n">
        <v>0</v>
      </c>
      <c r="CW49" s="47" t="inlineStr">
        <is>
          <t>-</t>
        </is>
      </c>
      <c r="CX49" s="16" t="inlineStr">
        <is>
          <t>ii</t>
        </is>
      </c>
      <c r="CY49" s="15" t="inlineStr">
        <is>
          <t>Childrens Fund</t>
        </is>
      </c>
      <c r="CZ49" s="14" t="n">
        <v>12</v>
      </c>
      <c r="DA49" s="14" t="n">
        <v>3191201</v>
      </c>
      <c r="DB49" s="617" t="n">
        <v>302.72179743</v>
      </c>
      <c r="DC49" s="617" t="n">
        <v>78.3922074</v>
      </c>
      <c r="DD49" s="617" t="n">
        <v>224.32959003</v>
      </c>
      <c r="DE49" s="624" t="n">
        <v>25626.163155</v>
      </c>
      <c r="DF49" s="617" t="n">
        <v>25571.76571083</v>
      </c>
      <c r="DG49" s="14" t="n">
        <v>0</v>
      </c>
      <c r="DH49" s="617" t="n">
        <v>0</v>
      </c>
      <c r="DI49" s="2" t="inlineStr">
        <is>
          <t>-</t>
        </is>
      </c>
      <c r="DJ49" s="620" t="inlineStr">
        <is>
          <t>ii</t>
        </is>
      </c>
      <c r="DK49" s="621" t="inlineStr">
        <is>
          <t>Childrens Fund</t>
        </is>
      </c>
      <c r="DL49" s="83" t="n">
        <v>12</v>
      </c>
      <c r="DM49" s="83" t="n">
        <v>3212128</v>
      </c>
      <c r="DN49" s="622" t="n">
        <v>309.12658818</v>
      </c>
      <c r="DO49" s="622" t="n">
        <v>71.8939698099999</v>
      </c>
      <c r="DP49" s="622" t="n">
        <v>237.23261837</v>
      </c>
      <c r="DQ49" s="625" t="n">
        <v>25230.05351667</v>
      </c>
      <c r="DR49" s="622" t="n">
        <v>25380.15080634</v>
      </c>
      <c r="DS49" s="83" t="n">
        <v>0</v>
      </c>
      <c r="DT49" s="622" t="n">
        <v>0</v>
      </c>
      <c r="DU49" s="2" t="inlineStr">
        <is>
          <t>-</t>
        </is>
      </c>
      <c r="DV49" s="127" t="n"/>
      <c r="DW49" s="128" t="n"/>
      <c r="DX49" s="2" t="inlineStr">
        <is>
          <t>-</t>
        </is>
      </c>
      <c r="DY49" s="127">
        <f>(DN49-DB49)/DB49</f>
        <v/>
      </c>
      <c r="DZ49" s="128">
        <f>(DP49-DD49)/DD49</f>
        <v/>
      </c>
      <c r="EA49" s="129">
        <f>(DR49-DF49)/DF49</f>
        <v/>
      </c>
    </row>
    <row r="50">
      <c r="A50" s="25" t="n"/>
      <c r="B50" s="25" t="inlineStr">
        <is>
          <t>Sub Total - IV (i+ii)</t>
        </is>
      </c>
      <c r="C50" s="24">
        <f>SUM(C48:C49)</f>
        <v/>
      </c>
      <c r="D50" s="24">
        <f>SUM(D48:D49)</f>
        <v/>
      </c>
      <c r="E50" s="47" t="inlineStr">
        <is>
          <t>-</t>
        </is>
      </c>
      <c r="F50" s="25" t="n"/>
      <c r="G50" s="25" t="inlineStr">
        <is>
          <t>Sub Total - IV (i+ii)</t>
        </is>
      </c>
      <c r="H50" s="24">
        <f>SUM(H48:H49)</f>
        <v/>
      </c>
      <c r="I50" s="24">
        <f>SUM(I48:I49)</f>
        <v/>
      </c>
      <c r="J50" s="24">
        <f>SUM(J48:J49)</f>
        <v/>
      </c>
      <c r="K50" s="24">
        <f>SUM(K48:K49)</f>
        <v/>
      </c>
      <c r="L50" s="24">
        <f>SUM(L48:L49)</f>
        <v/>
      </c>
      <c r="M50" s="24">
        <f>SUM(M48:M49)</f>
        <v/>
      </c>
      <c r="N50" s="24">
        <f>SUM(N48:N49)</f>
        <v/>
      </c>
      <c r="O50" s="24">
        <f>SUM(O48:O49)</f>
        <v/>
      </c>
      <c r="P50" s="24">
        <f>SUM(P48:P49)</f>
        <v/>
      </c>
      <c r="Q50" s="47" t="inlineStr">
        <is>
          <t>-</t>
        </is>
      </c>
      <c r="R50" s="25" t="n"/>
      <c r="S50" s="25" t="inlineStr">
        <is>
          <t>Sub Total - IV (i+ii)</t>
        </is>
      </c>
      <c r="T50" s="24">
        <f>SUM(T48:T49)</f>
        <v/>
      </c>
      <c r="U50" s="24">
        <f>SUM(U48:U49)</f>
        <v/>
      </c>
      <c r="V50" s="24">
        <f>SUM(V48:V49)</f>
        <v/>
      </c>
      <c r="W50" s="24">
        <f>SUM(W48:W49)</f>
        <v/>
      </c>
      <c r="X50" s="24">
        <f>SUM(X48:X49)</f>
        <v/>
      </c>
      <c r="Y50" s="24">
        <f>SUM(Y48:Y49)</f>
        <v/>
      </c>
      <c r="Z50" s="24">
        <f>SUM(Z48:Z49)</f>
        <v/>
      </c>
      <c r="AA50" s="24">
        <f>SUM(AA48:AA49)</f>
        <v/>
      </c>
      <c r="AB50" s="24">
        <f>SUM(AB48:AB49)</f>
        <v/>
      </c>
      <c r="AC50" s="47" t="inlineStr">
        <is>
          <t>-</t>
        </is>
      </c>
      <c r="AD50" s="25" t="n"/>
      <c r="AE50" s="25" t="inlineStr">
        <is>
          <t>Sub Total - IV (i+ii)</t>
        </is>
      </c>
      <c r="AF50" s="24">
        <f>SUM(AF48:AF49)</f>
        <v/>
      </c>
      <c r="AG50" s="24">
        <f>SUM(AG48:AG49)</f>
        <v/>
      </c>
      <c r="AH50" s="24">
        <f>SUM(AH48:AH49)</f>
        <v/>
      </c>
      <c r="AI50" s="24">
        <f>SUM(AI48:AI49)</f>
        <v/>
      </c>
      <c r="AJ50" s="24">
        <f>SUM(AJ48:AJ49)</f>
        <v/>
      </c>
      <c r="AK50" s="24">
        <f>SUM(AK48:AK49)</f>
        <v/>
      </c>
      <c r="AL50" s="24">
        <f>SUM(AL48:AL49)</f>
        <v/>
      </c>
      <c r="AM50" s="24">
        <f>SUM(AM48:AM49)</f>
        <v/>
      </c>
      <c r="AN50" s="24">
        <f>SUM(AN48:AN49)</f>
        <v/>
      </c>
      <c r="AO50" s="47" t="inlineStr">
        <is>
          <t>-</t>
        </is>
      </c>
      <c r="AP50" s="25" t="n"/>
      <c r="AQ50" s="25" t="inlineStr">
        <is>
          <t>Sub Total - IV (i+ii)</t>
        </is>
      </c>
      <c r="AR50" s="24">
        <f>SUM(AR48:AR49)</f>
        <v/>
      </c>
      <c r="AS50" s="24">
        <f>SUM(AS48:AS49)</f>
        <v/>
      </c>
      <c r="AT50" s="24">
        <f>SUM(AT48:AT49)</f>
        <v/>
      </c>
      <c r="AU50" s="24">
        <f>SUM(AU48:AU49)</f>
        <v/>
      </c>
      <c r="AV50" s="24">
        <f>SUM(AV48:AV49)</f>
        <v/>
      </c>
      <c r="AW50" s="24">
        <f>SUM(AW48:AW49)</f>
        <v/>
      </c>
      <c r="AX50" s="24">
        <f>SUM(AX48:AX49)</f>
        <v/>
      </c>
      <c r="AY50" s="24">
        <f>SUM(AY48:AY49)</f>
        <v/>
      </c>
      <c r="AZ50" s="24">
        <f>SUM(AZ48:AZ49)</f>
        <v/>
      </c>
      <c r="BA50" s="47" t="inlineStr">
        <is>
          <t>-</t>
        </is>
      </c>
      <c r="BB50" s="25" t="n"/>
      <c r="BC50" s="25" t="inlineStr">
        <is>
          <t>Sub Total - IV (i+ii)</t>
        </is>
      </c>
      <c r="BD50" s="24">
        <f>SUM(BD48:BD49)</f>
        <v/>
      </c>
      <c r="BE50" s="24">
        <f>SUM(BE48:BE49)</f>
        <v/>
      </c>
      <c r="BF50" s="24">
        <f>SUM(BF48:BF49)</f>
        <v/>
      </c>
      <c r="BG50" s="24">
        <f>SUM(BG48:BG49)</f>
        <v/>
      </c>
      <c r="BH50" s="24">
        <f>SUM(BH48:BH49)</f>
        <v/>
      </c>
      <c r="BI50" s="24">
        <f>SUM(BI48:BI49)</f>
        <v/>
      </c>
      <c r="BJ50" s="24">
        <f>SUM(BJ48:BJ49)</f>
        <v/>
      </c>
      <c r="BK50" s="24">
        <f>SUM(BK48:BK49)</f>
        <v/>
      </c>
      <c r="BL50" s="24">
        <f>SUM(BL48:BL49)</f>
        <v/>
      </c>
      <c r="BM50" s="47" t="inlineStr">
        <is>
          <t>-</t>
        </is>
      </c>
      <c r="BN50" s="25" t="n"/>
      <c r="BO50" s="25" t="inlineStr">
        <is>
          <t>Sub Total - IV (i+ii)</t>
        </is>
      </c>
      <c r="BP50" s="24">
        <f>SUM(BP48:BP49)</f>
        <v/>
      </c>
      <c r="BQ50" s="24">
        <f>SUM(BQ48:BQ49)</f>
        <v/>
      </c>
      <c r="BR50" s="24">
        <f>SUM(BR48:BR49)</f>
        <v/>
      </c>
      <c r="BS50" s="24">
        <f>SUM(BS48:BS49)</f>
        <v/>
      </c>
      <c r="BT50" s="24">
        <f>SUM(BT48:BT49)</f>
        <v/>
      </c>
      <c r="BU50" s="24">
        <f>SUM(BU48:BU49)</f>
        <v/>
      </c>
      <c r="BV50" s="24">
        <f>SUM(BV48:BV49)</f>
        <v/>
      </c>
      <c r="BW50" s="24">
        <f>SUM(BW48:BW49)</f>
        <v/>
      </c>
      <c r="BX50" s="24">
        <f>SUM(BX48:BX49)</f>
        <v/>
      </c>
      <c r="BY50" s="47" t="inlineStr">
        <is>
          <t>-</t>
        </is>
      </c>
      <c r="BZ50" s="25" t="n"/>
      <c r="CA50" s="25" t="inlineStr">
        <is>
          <t>Sub Total - IV (i+ii)</t>
        </is>
      </c>
      <c r="CB50" s="24">
        <f>SUM(CB48:CB49)</f>
        <v/>
      </c>
      <c r="CC50" s="24">
        <f>SUM(CC48:CC49)</f>
        <v/>
      </c>
      <c r="CD50" s="24">
        <f>SUM(CD48:CD49)</f>
        <v/>
      </c>
      <c r="CE50" s="24">
        <f>SUM(CE48:CE49)</f>
        <v/>
      </c>
      <c r="CF50" s="24">
        <f>SUM(CF48:CF49)</f>
        <v/>
      </c>
      <c r="CG50" s="24">
        <f>SUM(CG48:CG49)</f>
        <v/>
      </c>
      <c r="CH50" s="24">
        <f>SUM(CH48:CH49)</f>
        <v/>
      </c>
      <c r="CI50" s="24">
        <f>SUM(CI48:CI49)</f>
        <v/>
      </c>
      <c r="CJ50" s="24">
        <f>SUM(CJ48:CJ49)</f>
        <v/>
      </c>
      <c r="CK50" s="47" t="inlineStr">
        <is>
          <t>-</t>
        </is>
      </c>
      <c r="CL50" s="25" t="n"/>
      <c r="CM50" s="25" t="inlineStr">
        <is>
          <t>Sub Total - IV (i+ii)</t>
        </is>
      </c>
      <c r="CN50" s="24">
        <f>SUM(CN48:CN49)</f>
        <v/>
      </c>
      <c r="CO50" s="24">
        <f>SUM(CO48:CO49)</f>
        <v/>
      </c>
      <c r="CP50" s="24">
        <f>SUM(CP48:CP49)</f>
        <v/>
      </c>
      <c r="CQ50" s="24">
        <f>SUM(CQ48:CQ49)</f>
        <v/>
      </c>
      <c r="CR50" s="24">
        <f>SUM(CR48:CR49)</f>
        <v/>
      </c>
      <c r="CS50" s="24">
        <f>SUM(CS48:CS49)</f>
        <v/>
      </c>
      <c r="CT50" s="24">
        <f>SUM(CT48:CT49)</f>
        <v/>
      </c>
      <c r="CU50" s="24">
        <f>SUM(CU48:CU49)</f>
        <v/>
      </c>
      <c r="CV50" s="24">
        <f>SUM(CV48:CV49)</f>
        <v/>
      </c>
      <c r="CW50" s="47" t="inlineStr">
        <is>
          <t>-</t>
        </is>
      </c>
      <c r="CX50" s="25" t="n"/>
      <c r="CY50" s="25" t="inlineStr">
        <is>
          <t>Sub Total - IV (i+ii)</t>
        </is>
      </c>
      <c r="CZ50" s="24">
        <f>SUM(CZ48:CZ49)</f>
        <v/>
      </c>
      <c r="DA50" s="24">
        <f>SUM(DA48:DA49)</f>
        <v/>
      </c>
      <c r="DB50" s="24">
        <f>SUM(DB48:DB49)</f>
        <v/>
      </c>
      <c r="DC50" s="24">
        <f>SUM(DC48:DC49)</f>
        <v/>
      </c>
      <c r="DD50" s="74">
        <f>SUM(DD48:DD49)</f>
        <v/>
      </c>
      <c r="DE50" s="108">
        <f>SUM(DE48:DE49)</f>
        <v/>
      </c>
      <c r="DF50" s="24">
        <f>SUM(DF48:DF49)</f>
        <v/>
      </c>
      <c r="DG50" s="24">
        <f>SUM(DG48:DG49)</f>
        <v/>
      </c>
      <c r="DH50" s="24">
        <f>SUM(DH48:DH49)</f>
        <v/>
      </c>
      <c r="DI50" s="47" t="inlineStr">
        <is>
          <t>-</t>
        </is>
      </c>
      <c r="DJ50" s="627" t="n"/>
      <c r="DK50" s="627" t="inlineStr">
        <is>
          <t>Sub Total - IV (i+ii)</t>
        </is>
      </c>
      <c r="DL50" s="24">
        <f>SUM(DL48:DL49)</f>
        <v/>
      </c>
      <c r="DM50" s="24">
        <f>SUM(DM48:DM49)</f>
        <v/>
      </c>
      <c r="DN50" s="24">
        <f>SUM(DN48:DN49)</f>
        <v/>
      </c>
      <c r="DO50" s="24">
        <f>SUM(DO48:DO49)</f>
        <v/>
      </c>
      <c r="DP50" s="74">
        <f>SUM(DP48:DP49)</f>
        <v/>
      </c>
      <c r="DQ50" s="108">
        <f>SUM(DQ48:DQ49)</f>
        <v/>
      </c>
      <c r="DR50" s="24">
        <f>SUM(DR48:DR49)</f>
        <v/>
      </c>
      <c r="DS50" s="24">
        <f>SUM(DS48:DS49)</f>
        <v/>
      </c>
      <c r="DT50" s="24">
        <f>SUM(DT48:DT49)</f>
        <v/>
      </c>
      <c r="DU50" s="47" t="inlineStr">
        <is>
          <t>-</t>
        </is>
      </c>
      <c r="DV50" s="127" t="n"/>
      <c r="DW50" s="128" t="n"/>
      <c r="DX50" s="47" t="inlineStr">
        <is>
          <t>-</t>
        </is>
      </c>
      <c r="DY50" s="127">
        <f>(DN50-DB50)/DB50</f>
        <v/>
      </c>
      <c r="DZ50" s="128">
        <f>(DP50-DD50)/DD50</f>
        <v/>
      </c>
      <c r="EA50" s="129">
        <f>(DR50-DF50)/DF50</f>
        <v/>
      </c>
    </row>
    <row r="51">
      <c r="A51" s="504" t="n"/>
      <c r="B51" s="7" t="n"/>
      <c r="C51" s="628" t="n"/>
      <c r="D51" s="628" t="n"/>
      <c r="E51" s="47" t="inlineStr">
        <is>
          <t>-</t>
        </is>
      </c>
      <c r="F51" s="504" t="n"/>
      <c r="G51" s="7" t="n"/>
      <c r="H51" s="53" t="n"/>
      <c r="I51" s="53" t="n"/>
      <c r="J51" s="628" t="n"/>
      <c r="K51" s="628" t="n"/>
      <c r="L51" s="628" t="n"/>
      <c r="M51" s="628" t="n"/>
      <c r="N51" s="628" t="n"/>
      <c r="O51" s="53" t="n"/>
      <c r="P51" s="628" t="n"/>
      <c r="Q51" s="47" t="inlineStr">
        <is>
          <t>-</t>
        </is>
      </c>
      <c r="R51" s="504" t="n"/>
      <c r="S51" s="7" t="n"/>
      <c r="T51" s="53" t="n"/>
      <c r="U51" s="53" t="n"/>
      <c r="V51" s="628" t="n"/>
      <c r="W51" s="628" t="n"/>
      <c r="X51" s="628" t="n"/>
      <c r="Y51" s="628" t="n"/>
      <c r="Z51" s="628" t="n"/>
      <c r="AA51" s="53" t="n"/>
      <c r="AB51" s="628" t="n"/>
      <c r="AC51" s="47" t="inlineStr">
        <is>
          <t>-</t>
        </is>
      </c>
      <c r="AD51" s="504" t="n"/>
      <c r="AE51" s="7" t="n"/>
      <c r="AF51" s="53" t="n"/>
      <c r="AG51" s="53" t="n"/>
      <c r="AH51" s="628" t="n"/>
      <c r="AI51" s="628" t="n"/>
      <c r="AJ51" s="628" t="n"/>
      <c r="AK51" s="628" t="n"/>
      <c r="AL51" s="628" t="n"/>
      <c r="AM51" s="53" t="n"/>
      <c r="AN51" s="628" t="n"/>
      <c r="AO51" s="47" t="inlineStr">
        <is>
          <t>-</t>
        </is>
      </c>
      <c r="AP51" s="504" t="n"/>
      <c r="AQ51" s="7" t="n"/>
      <c r="AR51" s="53" t="n"/>
      <c r="AS51" s="53" t="n"/>
      <c r="AT51" s="628" t="n"/>
      <c r="AU51" s="628" t="n"/>
      <c r="AV51" s="628" t="n"/>
      <c r="AW51" s="628" t="n"/>
      <c r="AX51" s="628" t="n"/>
      <c r="AY51" s="53" t="n"/>
      <c r="AZ51" s="628" t="n"/>
      <c r="BA51" s="47" t="inlineStr">
        <is>
          <t>-</t>
        </is>
      </c>
      <c r="BB51" s="504" t="n"/>
      <c r="BC51" s="7" t="n"/>
      <c r="BD51" s="53" t="n"/>
      <c r="BE51" s="53" t="n"/>
      <c r="BF51" s="628" t="n"/>
      <c r="BG51" s="628" t="n"/>
      <c r="BH51" s="628" t="n"/>
      <c r="BI51" s="628" t="n"/>
      <c r="BJ51" s="628" t="n"/>
      <c r="BK51" s="53" t="n"/>
      <c r="BL51" s="628" t="n"/>
      <c r="BM51" s="47" t="inlineStr">
        <is>
          <t>-</t>
        </is>
      </c>
      <c r="BN51" s="55" t="n"/>
      <c r="BO51" s="7" t="n"/>
      <c r="BP51" s="53" t="n"/>
      <c r="BQ51" s="53" t="n"/>
      <c r="BR51" s="628" t="n"/>
      <c r="BS51" s="628" t="n"/>
      <c r="BT51" s="628" t="n"/>
      <c r="BU51" s="628" t="n"/>
      <c r="BV51" s="628" t="n"/>
      <c r="BW51" s="56" t="n"/>
      <c r="BX51" s="629" t="n"/>
      <c r="BY51" s="47" t="inlineStr">
        <is>
          <t>-</t>
        </is>
      </c>
      <c r="BZ51" s="55" t="n"/>
      <c r="CA51" s="7" t="n"/>
      <c r="CB51" s="53" t="n"/>
      <c r="CC51" s="53" t="n"/>
      <c r="CD51" s="628" t="n"/>
      <c r="CE51" s="628" t="n"/>
      <c r="CF51" s="628" t="n"/>
      <c r="CG51" s="628" t="n"/>
      <c r="CH51" s="628" t="n"/>
      <c r="CI51" s="56" t="n"/>
      <c r="CJ51" s="629" t="n"/>
      <c r="CK51" s="47" t="inlineStr">
        <is>
          <t>-</t>
        </is>
      </c>
      <c r="CL51" s="504" t="n"/>
      <c r="CM51" s="7" t="n"/>
      <c r="CN51" s="53" t="n"/>
      <c r="CO51" s="53" t="n"/>
      <c r="CP51" s="628" t="n"/>
      <c r="CQ51" s="628" t="n"/>
      <c r="CR51" s="628" t="n"/>
      <c r="CS51" s="628" t="n"/>
      <c r="CT51" s="628" t="n"/>
      <c r="CU51" s="56" t="n"/>
      <c r="CV51" s="628" t="n"/>
      <c r="CW51" s="47" t="inlineStr">
        <is>
          <t>-</t>
        </is>
      </c>
      <c r="CX51" s="504" t="n"/>
      <c r="CY51" s="7" t="n"/>
      <c r="CZ51" s="53" t="n"/>
      <c r="DA51" s="53" t="n"/>
      <c r="DB51" s="628" t="n"/>
      <c r="DC51" s="628" t="n"/>
      <c r="DD51" s="628" t="n"/>
      <c r="DE51" s="628" t="n"/>
      <c r="DF51" s="628" t="n"/>
      <c r="DG51" s="53" t="n"/>
      <c r="DH51" s="628" t="n"/>
      <c r="DI51" s="2" t="inlineStr">
        <is>
          <t>-</t>
        </is>
      </c>
      <c r="DJ51" s="616" t="n"/>
      <c r="DK51" s="630" t="n"/>
      <c r="DL51" s="79" t="n"/>
      <c r="DM51" s="79" t="n"/>
      <c r="DN51" s="616" t="n"/>
      <c r="DO51" s="616" t="n"/>
      <c r="DP51" s="616" t="n"/>
      <c r="DQ51" s="616" t="n"/>
      <c r="DR51" s="616" t="n"/>
      <c r="DS51" s="79" t="n"/>
      <c r="DT51" s="616" t="n"/>
      <c r="DU51" s="2" t="inlineStr">
        <is>
          <t>-</t>
        </is>
      </c>
      <c r="DV51" s="103" t="n"/>
      <c r="DW51" s="103" t="n"/>
      <c r="DX51" s="2" t="inlineStr">
        <is>
          <t>-</t>
        </is>
      </c>
      <c r="DY51" s="103" t="inlineStr">
        <is>
          <t>-</t>
        </is>
      </c>
      <c r="DZ51" s="103" t="inlineStr">
        <is>
          <t>-</t>
        </is>
      </c>
      <c r="EA51" s="103" t="inlineStr">
        <is>
          <t>-</t>
        </is>
      </c>
    </row>
    <row r="52">
      <c r="A52" s="503" t="inlineStr">
        <is>
          <t>V</t>
        </is>
      </c>
      <c r="B52" s="20" t="inlineStr">
        <is>
          <t>Other Schemes</t>
        </is>
      </c>
      <c r="C52" s="628" t="n"/>
      <c r="D52" s="628" t="n"/>
      <c r="E52" s="47" t="inlineStr">
        <is>
          <t>-</t>
        </is>
      </c>
      <c r="F52" s="503" t="inlineStr">
        <is>
          <t>V</t>
        </is>
      </c>
      <c r="G52" s="20" t="inlineStr">
        <is>
          <t>Other Schemes</t>
        </is>
      </c>
      <c r="H52" s="53" t="n"/>
      <c r="I52" s="53" t="n"/>
      <c r="J52" s="628" t="n"/>
      <c r="K52" s="628" t="n"/>
      <c r="L52" s="628" t="n"/>
      <c r="M52" s="628" t="n"/>
      <c r="N52" s="628" t="n"/>
      <c r="O52" s="53" t="n"/>
      <c r="P52" s="628" t="n"/>
      <c r="Q52" s="47" t="inlineStr">
        <is>
          <t>-</t>
        </is>
      </c>
      <c r="R52" s="503" t="inlineStr">
        <is>
          <t>V</t>
        </is>
      </c>
      <c r="S52" s="20" t="inlineStr">
        <is>
          <t>Other Schemes</t>
        </is>
      </c>
      <c r="T52" s="53" t="n"/>
      <c r="U52" s="53" t="n"/>
      <c r="V52" s="628" t="n"/>
      <c r="W52" s="628" t="n"/>
      <c r="X52" s="628" t="n"/>
      <c r="Y52" s="628" t="n"/>
      <c r="Z52" s="628" t="n"/>
      <c r="AA52" s="53" t="n"/>
      <c r="AB52" s="628" t="n"/>
      <c r="AC52" s="47" t="inlineStr">
        <is>
          <t>-</t>
        </is>
      </c>
      <c r="AD52" s="503" t="inlineStr">
        <is>
          <t>V</t>
        </is>
      </c>
      <c r="AE52" s="20" t="inlineStr">
        <is>
          <t>Other Schemes</t>
        </is>
      </c>
      <c r="AF52" s="53" t="n"/>
      <c r="AG52" s="53" t="n"/>
      <c r="AH52" s="628" t="n"/>
      <c r="AI52" s="628" t="n"/>
      <c r="AJ52" s="628" t="n"/>
      <c r="AK52" s="628" t="n"/>
      <c r="AL52" s="628" t="n"/>
      <c r="AM52" s="53" t="n"/>
      <c r="AN52" s="628" t="n"/>
      <c r="AO52" s="47" t="inlineStr">
        <is>
          <t>-</t>
        </is>
      </c>
      <c r="AP52" s="503" t="inlineStr">
        <is>
          <t>V</t>
        </is>
      </c>
      <c r="AQ52" s="20" t="inlineStr">
        <is>
          <t>Other Schemes</t>
        </is>
      </c>
      <c r="AR52" s="53" t="n"/>
      <c r="AS52" s="53" t="n"/>
      <c r="AT52" s="628" t="n"/>
      <c r="AU52" s="628" t="n"/>
      <c r="AV52" s="628" t="n"/>
      <c r="AW52" s="628" t="n"/>
      <c r="AX52" s="628" t="n"/>
      <c r="AY52" s="53" t="n"/>
      <c r="AZ52" s="628" t="n"/>
      <c r="BA52" s="47" t="inlineStr">
        <is>
          <t>-</t>
        </is>
      </c>
      <c r="BB52" s="503" t="inlineStr">
        <is>
          <t>V</t>
        </is>
      </c>
      <c r="BC52" s="20" t="inlineStr">
        <is>
          <t>Other Schemes</t>
        </is>
      </c>
      <c r="BD52" s="53" t="n"/>
      <c r="BE52" s="53" t="n"/>
      <c r="BF52" s="628" t="n"/>
      <c r="BG52" s="628" t="n"/>
      <c r="BH52" s="628" t="n"/>
      <c r="BI52" s="628" t="n"/>
      <c r="BJ52" s="628" t="n"/>
      <c r="BK52" s="53" t="n"/>
      <c r="BL52" s="628" t="n"/>
      <c r="BM52" s="47" t="inlineStr">
        <is>
          <t>-</t>
        </is>
      </c>
      <c r="BN52" s="514" t="inlineStr">
        <is>
          <t>V</t>
        </is>
      </c>
      <c r="BO52" s="20" t="inlineStr">
        <is>
          <t>Other Schemes</t>
        </is>
      </c>
      <c r="BP52" s="53" t="n"/>
      <c r="BQ52" s="53" t="n"/>
      <c r="BR52" s="628" t="n"/>
      <c r="BS52" s="628" t="n"/>
      <c r="BT52" s="628" t="n"/>
      <c r="BU52" s="628" t="n"/>
      <c r="BV52" s="628" t="n"/>
      <c r="BW52" s="56" t="n"/>
      <c r="BX52" s="629" t="n"/>
      <c r="BY52" s="47" t="inlineStr">
        <is>
          <t>-</t>
        </is>
      </c>
      <c r="BZ52" s="514" t="inlineStr">
        <is>
          <t>V</t>
        </is>
      </c>
      <c r="CA52" s="20" t="inlineStr">
        <is>
          <t>Other Schemes</t>
        </is>
      </c>
      <c r="CB52" s="53" t="n"/>
      <c r="CC52" s="53" t="n"/>
      <c r="CD52" s="628" t="n"/>
      <c r="CE52" s="628" t="n"/>
      <c r="CF52" s="628" t="n"/>
      <c r="CG52" s="628" t="n"/>
      <c r="CH52" s="628" t="n"/>
      <c r="CI52" s="56" t="n"/>
      <c r="CJ52" s="629" t="n"/>
      <c r="CK52" s="47" t="inlineStr">
        <is>
          <t>-</t>
        </is>
      </c>
      <c r="CL52" s="503" t="inlineStr">
        <is>
          <t>V</t>
        </is>
      </c>
      <c r="CM52" s="20" t="inlineStr">
        <is>
          <t>Other Schemes</t>
        </is>
      </c>
      <c r="CN52" s="53" t="n"/>
      <c r="CO52" s="53" t="n"/>
      <c r="CP52" s="628" t="n"/>
      <c r="CQ52" s="628" t="n"/>
      <c r="CR52" s="628" t="n"/>
      <c r="CS52" s="628" t="n"/>
      <c r="CT52" s="628" t="n"/>
      <c r="CU52" s="56" t="n"/>
      <c r="CV52" s="628" t="n"/>
      <c r="CW52" s="47" t="inlineStr">
        <is>
          <t>-</t>
        </is>
      </c>
      <c r="CX52" s="503" t="inlineStr">
        <is>
          <t>V</t>
        </is>
      </c>
      <c r="CY52" s="20" t="inlineStr">
        <is>
          <t>Other Schemes</t>
        </is>
      </c>
      <c r="CZ52" s="53" t="n"/>
      <c r="DA52" s="53" t="n"/>
      <c r="DB52" s="628" t="n"/>
      <c r="DC52" s="628" t="n"/>
      <c r="DD52" s="628" t="n"/>
      <c r="DE52" s="628" t="n"/>
      <c r="DF52" s="628" t="n"/>
      <c r="DG52" s="53" t="n"/>
      <c r="DH52" s="628" t="n"/>
      <c r="DI52" s="2" t="inlineStr">
        <is>
          <t>-</t>
        </is>
      </c>
      <c r="DJ52" s="612" t="inlineStr">
        <is>
          <t>V</t>
        </is>
      </c>
      <c r="DK52" s="615" t="inlineStr">
        <is>
          <t>Other Schemes</t>
        </is>
      </c>
      <c r="DL52" s="79" t="n"/>
      <c r="DM52" s="79" t="n"/>
      <c r="DN52" s="616" t="n"/>
      <c r="DO52" s="616" t="n"/>
      <c r="DP52" s="616" t="n"/>
      <c r="DQ52" s="616" t="n"/>
      <c r="DR52" s="616" t="n"/>
      <c r="DS52" s="79" t="n"/>
      <c r="DT52" s="616" t="n"/>
      <c r="DU52" s="2" t="inlineStr">
        <is>
          <t>-</t>
        </is>
      </c>
      <c r="DV52" s="103" t="n"/>
      <c r="DW52" s="103" t="n"/>
      <c r="DX52" s="2" t="inlineStr">
        <is>
          <t>-</t>
        </is>
      </c>
      <c r="DY52" s="103" t="inlineStr">
        <is>
          <t>-</t>
        </is>
      </c>
      <c r="DZ52" s="103" t="inlineStr">
        <is>
          <t>-</t>
        </is>
      </c>
      <c r="EA52" s="103" t="inlineStr">
        <is>
          <t>-</t>
        </is>
      </c>
    </row>
    <row r="53">
      <c r="A53" s="16" t="inlineStr">
        <is>
          <t>i</t>
        </is>
      </c>
      <c r="B53" s="15" t="inlineStr">
        <is>
          <t>Index Funds</t>
        </is>
      </c>
      <c r="C53" s="617" t="n">
        <v>283397.12510876</v>
      </c>
      <c r="D53" s="617" t="n">
        <v>276621.48471293</v>
      </c>
      <c r="E53" s="47" t="inlineStr">
        <is>
          <t>-</t>
        </is>
      </c>
      <c r="F53" s="16" t="inlineStr">
        <is>
          <t>i</t>
        </is>
      </c>
      <c r="G53" s="15" t="inlineStr">
        <is>
          <t>Index Funds</t>
        </is>
      </c>
      <c r="H53" s="14" t="n">
        <v>309</v>
      </c>
      <c r="I53" s="14" t="n">
        <v>13142219</v>
      </c>
      <c r="J53" s="617" t="n">
        <v>8880.925218460001</v>
      </c>
      <c r="K53" s="617" t="n">
        <v>7325.48668853</v>
      </c>
      <c r="L53" s="617" t="n">
        <v>1555.43852993</v>
      </c>
      <c r="M53" s="617" t="n">
        <v>292205.90642052</v>
      </c>
      <c r="N53" s="617" t="n">
        <v>286063.23617967</v>
      </c>
      <c r="O53" s="14" t="n">
        <v>0</v>
      </c>
      <c r="P53" s="617" t="n">
        <v>0</v>
      </c>
      <c r="Q53" s="47" t="inlineStr">
        <is>
          <t>-</t>
        </is>
      </c>
      <c r="R53" s="16" t="inlineStr">
        <is>
          <t>i</t>
        </is>
      </c>
      <c r="S53" s="15" t="inlineStr">
        <is>
          <t>Index Funds</t>
        </is>
      </c>
      <c r="T53" s="14" t="n">
        <v>316</v>
      </c>
      <c r="U53" s="14" t="n">
        <v>13234811</v>
      </c>
      <c r="V53" s="617" t="n">
        <v>8578.58019169</v>
      </c>
      <c r="W53" s="617" t="n">
        <v>7474.16001433</v>
      </c>
      <c r="X53" s="617" t="n">
        <v>1104.42017736</v>
      </c>
      <c r="Y53" s="617" t="n">
        <v>300811.48274813</v>
      </c>
      <c r="Z53" s="617" t="n">
        <v>296889.6268577</v>
      </c>
      <c r="AA53" s="14" t="n">
        <v>0</v>
      </c>
      <c r="AB53" s="617" t="n">
        <v>0</v>
      </c>
      <c r="AC53" s="47" t="inlineStr">
        <is>
          <t>-</t>
        </is>
      </c>
      <c r="AD53" s="16" t="inlineStr">
        <is>
          <t>i</t>
        </is>
      </c>
      <c r="AE53" s="15" t="inlineStr">
        <is>
          <t>Index Funds</t>
        </is>
      </c>
      <c r="AF53" s="14" t="n">
        <v>324</v>
      </c>
      <c r="AG53" s="14" t="n">
        <v>13498534</v>
      </c>
      <c r="AH53" s="617" t="n">
        <v>8041.9698718</v>
      </c>
      <c r="AI53" s="617" t="n">
        <v>6998.88330847</v>
      </c>
      <c r="AJ53" s="617" t="n">
        <v>1043.08656333</v>
      </c>
      <c r="AK53" s="617" t="n">
        <v>308996.38662273</v>
      </c>
      <c r="AL53" s="617" t="n">
        <v>304566.89408759</v>
      </c>
      <c r="AM53" s="14" t="n">
        <v>0</v>
      </c>
      <c r="AN53" s="617" t="n">
        <v>0</v>
      </c>
      <c r="AO53" s="47" t="inlineStr">
        <is>
          <t>-</t>
        </is>
      </c>
      <c r="AP53" s="16" t="inlineStr">
        <is>
          <t>i</t>
        </is>
      </c>
      <c r="AQ53" s="15" t="inlineStr">
        <is>
          <t>Index Funds</t>
        </is>
      </c>
      <c r="AR53" s="14" t="n">
        <v>330</v>
      </c>
      <c r="AS53" s="14" t="n">
        <v>13698815</v>
      </c>
      <c r="AT53" s="617" t="n">
        <v>9229.247950200001</v>
      </c>
      <c r="AU53" s="617" t="n">
        <v>6899.37473794</v>
      </c>
      <c r="AV53" s="617" t="n">
        <v>2329.87321226</v>
      </c>
      <c r="AW53" s="617" t="n">
        <v>305829.45866728</v>
      </c>
      <c r="AX53" s="617" t="n">
        <v>308319.11238421</v>
      </c>
      <c r="AY53" s="14" t="n">
        <v>0</v>
      </c>
      <c r="AZ53" s="617" t="n">
        <v>0</v>
      </c>
      <c r="BA53" s="47" t="inlineStr">
        <is>
          <t>-</t>
        </is>
      </c>
      <c r="BB53" s="16" t="inlineStr">
        <is>
          <t>i</t>
        </is>
      </c>
      <c r="BC53" s="15" t="inlineStr">
        <is>
          <t>Index Funds</t>
        </is>
      </c>
      <c r="BD53" s="14" t="n">
        <v>341</v>
      </c>
      <c r="BE53" s="14" t="n">
        <v>13953213</v>
      </c>
      <c r="BF53" s="617" t="n">
        <v>7684.61883498</v>
      </c>
      <c r="BG53" s="617" t="n">
        <v>6182.04889243</v>
      </c>
      <c r="BH53" s="617" t="n">
        <v>1502.56994255</v>
      </c>
      <c r="BI53" s="617" t="n">
        <v>304234.99076246</v>
      </c>
      <c r="BJ53" s="617" t="n">
        <v>305471.68981967</v>
      </c>
      <c r="BK53" s="14" t="n">
        <v>0</v>
      </c>
      <c r="BL53" s="617" t="n">
        <v>0</v>
      </c>
      <c r="BM53" s="47" t="inlineStr">
        <is>
          <t>-</t>
        </is>
      </c>
      <c r="BN53" s="19" t="inlineStr">
        <is>
          <t>i</t>
        </is>
      </c>
      <c r="BO53" s="15" t="inlineStr">
        <is>
          <t>Index Funds</t>
        </is>
      </c>
      <c r="BP53" s="14" t="n">
        <v>344</v>
      </c>
      <c r="BQ53" s="14" t="n">
        <v>14089501</v>
      </c>
      <c r="BR53" s="617" t="n">
        <v>9066.096533600001</v>
      </c>
      <c r="BS53" s="617" t="n">
        <v>7485.4446908</v>
      </c>
      <c r="BT53" s="617" t="n">
        <v>1580.6518428</v>
      </c>
      <c r="BU53" s="617" t="n">
        <v>308893.41279822</v>
      </c>
      <c r="BV53" s="617" t="n">
        <v>310802.27239178</v>
      </c>
      <c r="BW53" s="17" t="n">
        <v>0</v>
      </c>
      <c r="BX53" s="618" t="n">
        <v>0</v>
      </c>
      <c r="BY53" s="47" t="inlineStr">
        <is>
          <t>-</t>
        </is>
      </c>
      <c r="BZ53" s="19" t="inlineStr">
        <is>
          <t>i</t>
        </is>
      </c>
      <c r="CA53" s="15" t="inlineStr">
        <is>
          <t>Index Funds</t>
        </is>
      </c>
      <c r="CB53" s="14" t="n">
        <v>345</v>
      </c>
      <c r="CC53" s="14" t="n">
        <v>14179440</v>
      </c>
      <c r="CD53" s="617" t="n">
        <v>9475.09019477</v>
      </c>
      <c r="CE53" s="617" t="n">
        <v>7545.6673567</v>
      </c>
      <c r="CF53" s="617" t="n">
        <v>1929.42283807001</v>
      </c>
      <c r="CG53" s="617" t="n">
        <v>320075.91746133</v>
      </c>
      <c r="CH53" s="617" t="n">
        <v>316924.74489379</v>
      </c>
      <c r="CI53" s="17" t="n">
        <v>0</v>
      </c>
      <c r="CJ53" s="618" t="n">
        <v>0</v>
      </c>
      <c r="CK53" s="47" t="inlineStr">
        <is>
          <t>-</t>
        </is>
      </c>
      <c r="CL53" s="16" t="inlineStr">
        <is>
          <t>i</t>
        </is>
      </c>
      <c r="CM53" s="15" t="inlineStr">
        <is>
          <t>Index Funds</t>
        </is>
      </c>
      <c r="CN53" s="14" t="n">
        <v>348</v>
      </c>
      <c r="CO53" s="14" t="n">
        <v>14338654</v>
      </c>
      <c r="CP53" s="617" t="n">
        <v>8701.84516676999</v>
      </c>
      <c r="CQ53" s="617" t="n">
        <v>6975.03964279001</v>
      </c>
      <c r="CR53" s="617" t="n">
        <v>1726.80552397999</v>
      </c>
      <c r="CS53" s="617" t="n">
        <v>324848.00347473</v>
      </c>
      <c r="CT53" s="617" t="n">
        <v>322516.83930914</v>
      </c>
      <c r="CU53" s="17" t="n">
        <v>0</v>
      </c>
      <c r="CV53" s="617" t="n">
        <v>0</v>
      </c>
      <c r="CW53" s="47" t="inlineStr">
        <is>
          <t>-</t>
        </is>
      </c>
      <c r="CX53" s="16" t="inlineStr">
        <is>
          <t>i</t>
        </is>
      </c>
      <c r="CY53" s="15" t="inlineStr">
        <is>
          <t>Index Funds</t>
        </is>
      </c>
      <c r="CZ53" s="14" t="n">
        <v>352</v>
      </c>
      <c r="DA53" s="14" t="n">
        <v>14401091</v>
      </c>
      <c r="DB53" s="617" t="n">
        <v>10596.36559904</v>
      </c>
      <c r="DC53" s="617" t="n">
        <v>8865.86870882</v>
      </c>
      <c r="DD53" s="617" t="n">
        <v>1730.49689022</v>
      </c>
      <c r="DE53" s="624" t="n">
        <v>325821.39601515</v>
      </c>
      <c r="DF53" s="617" t="n">
        <v>323759.43324819</v>
      </c>
      <c r="DG53" s="14" t="n">
        <v>0</v>
      </c>
      <c r="DH53" s="617" t="n">
        <v>0</v>
      </c>
      <c r="DI53" s="2" t="inlineStr">
        <is>
          <t>-</t>
        </is>
      </c>
      <c r="DJ53" s="620" t="inlineStr">
        <is>
          <t>i</t>
        </is>
      </c>
      <c r="DK53" s="621" t="inlineStr">
        <is>
          <t>Index Funds</t>
        </is>
      </c>
      <c r="DL53" s="83" t="n">
        <v>354</v>
      </c>
      <c r="DM53" s="83" t="n">
        <v>14524940</v>
      </c>
      <c r="DN53" s="622" t="n">
        <v>8526.22221529001</v>
      </c>
      <c r="DO53" s="622" t="n">
        <v>8498.925395050001</v>
      </c>
      <c r="DP53" s="622" t="n">
        <v>27.2968202400079</v>
      </c>
      <c r="DQ53" s="625" t="n">
        <v>320493.8634555</v>
      </c>
      <c r="DR53" s="622" t="n">
        <v>322963.6431282</v>
      </c>
      <c r="DS53" s="83" t="n">
        <v>0</v>
      </c>
      <c r="DT53" s="622" t="n">
        <v>0</v>
      </c>
      <c r="DU53" s="2" t="inlineStr">
        <is>
          <t>-</t>
        </is>
      </c>
      <c r="DV53" s="127" t="n"/>
      <c r="DW53" s="128" t="n"/>
      <c r="DX53" s="2" t="inlineStr">
        <is>
          <t>-</t>
        </is>
      </c>
      <c r="DY53" s="127">
        <f>(DN53-DB53)/DB53</f>
        <v/>
      </c>
      <c r="DZ53" s="128">
        <f>(DP53-DD53)/DD53</f>
        <v/>
      </c>
      <c r="EA53" s="129">
        <f>(DR53-DF53)/DF53</f>
        <v/>
      </c>
    </row>
    <row r="54">
      <c r="A54" s="16" t="inlineStr">
        <is>
          <t>ii</t>
        </is>
      </c>
      <c r="B54" s="15" t="inlineStr">
        <is>
          <t>GOLD ETF</t>
        </is>
      </c>
      <c r="C54" s="617" t="n">
        <v>58887.99146981</v>
      </c>
      <c r="D54" s="617" t="n">
        <v>57101.28740112</v>
      </c>
      <c r="E54" s="47" t="inlineStr">
        <is>
          <t>-</t>
        </is>
      </c>
      <c r="F54" s="16" t="inlineStr">
        <is>
          <t>ii</t>
        </is>
      </c>
      <c r="G54" s="15" t="inlineStr">
        <is>
          <t>GOLD ETF</t>
        </is>
      </c>
      <c r="H54" s="14" t="n">
        <v>20</v>
      </c>
      <c r="I54" s="14" t="n">
        <v>7144848</v>
      </c>
      <c r="J54" s="617" t="n">
        <v>1663.2590498</v>
      </c>
      <c r="K54" s="617" t="n">
        <v>1669.0787759</v>
      </c>
      <c r="L54" s="617" t="n">
        <v>-5.81972610000003</v>
      </c>
      <c r="M54" s="617" t="n">
        <v>61422.19464526</v>
      </c>
      <c r="N54" s="617" t="n">
        <v>60631.36701374</v>
      </c>
      <c r="O54" s="14" t="n">
        <v>0</v>
      </c>
      <c r="P54" s="617" t="n">
        <v>0</v>
      </c>
      <c r="Q54" s="47" t="inlineStr">
        <is>
          <t>-</t>
        </is>
      </c>
      <c r="R54" s="16" t="inlineStr">
        <is>
          <t>ii</t>
        </is>
      </c>
      <c r="S54" s="15" t="inlineStr">
        <is>
          <t>GOLD ETF</t>
        </is>
      </c>
      <c r="T54" s="14" t="n">
        <v>20</v>
      </c>
      <c r="U54" s="14" t="n">
        <v>7368808</v>
      </c>
      <c r="V54" s="617" t="n">
        <v>1266.1922899</v>
      </c>
      <c r="W54" s="617" t="n">
        <v>974.2807452</v>
      </c>
      <c r="X54" s="617" t="n">
        <v>291.9115447</v>
      </c>
      <c r="Y54" s="617" t="n">
        <v>62452.93589264</v>
      </c>
      <c r="Z54" s="617" t="n">
        <v>62124.92518729</v>
      </c>
      <c r="AA54" s="14" t="n">
        <v>0</v>
      </c>
      <c r="AB54" s="617" t="n">
        <v>0</v>
      </c>
      <c r="AC54" s="47" t="inlineStr">
        <is>
          <t>-</t>
        </is>
      </c>
      <c r="AD54" s="16" t="inlineStr">
        <is>
          <t>ii</t>
        </is>
      </c>
      <c r="AE54" s="15" t="inlineStr">
        <is>
          <t>GOLD ETF</t>
        </is>
      </c>
      <c r="AF54" s="14" t="n">
        <v>20</v>
      </c>
      <c r="AG54" s="14" t="n">
        <v>7654158</v>
      </c>
      <c r="AH54" s="617" t="n">
        <v>2368.9897559</v>
      </c>
      <c r="AI54" s="617" t="n">
        <v>288.1441202</v>
      </c>
      <c r="AJ54" s="617" t="n">
        <v>2080.8456357</v>
      </c>
      <c r="AK54" s="617" t="n">
        <v>64777.22585041</v>
      </c>
      <c r="AL54" s="617" t="n">
        <v>64833.42999959</v>
      </c>
      <c r="AM54" s="14" t="n">
        <v>0</v>
      </c>
      <c r="AN54" s="617" t="n">
        <v>0</v>
      </c>
      <c r="AO54" s="47" t="inlineStr">
        <is>
          <t>-</t>
        </is>
      </c>
      <c r="AP54" s="16" t="inlineStr">
        <is>
          <t>ii</t>
        </is>
      </c>
      <c r="AQ54" s="15" t="inlineStr">
        <is>
          <t>GOLD ETF</t>
        </is>
      </c>
      <c r="AR54" s="14" t="n">
        <v>21</v>
      </c>
      <c r="AS54" s="14" t="n">
        <v>7869544</v>
      </c>
      <c r="AT54" s="617" t="n">
        <v>1444.3175497</v>
      </c>
      <c r="AU54" s="617" t="n">
        <v>188.2230642</v>
      </c>
      <c r="AV54" s="617" t="n">
        <v>1256.0944855</v>
      </c>
      <c r="AW54" s="617" t="n">
        <v>67634.5185222</v>
      </c>
      <c r="AX54" s="617" t="n">
        <v>66664.07388025</v>
      </c>
      <c r="AY54" s="14" t="n">
        <v>0</v>
      </c>
      <c r="AZ54" s="617" t="n">
        <v>0</v>
      </c>
      <c r="BA54" s="47" t="inlineStr">
        <is>
          <t>-</t>
        </is>
      </c>
      <c r="BB54" s="16" t="inlineStr">
        <is>
          <t>ii</t>
        </is>
      </c>
      <c r="BC54" s="15" t="inlineStr">
        <is>
          <t>GOLD ETF</t>
        </is>
      </c>
      <c r="BD54" s="14" t="n">
        <v>21</v>
      </c>
      <c r="BE54" s="14" t="n">
        <v>8033855</v>
      </c>
      <c r="BF54" s="617" t="n">
        <v>2334.2308077</v>
      </c>
      <c r="BG54" s="617" t="n">
        <v>144.7178775</v>
      </c>
      <c r="BH54" s="617" t="n">
        <v>2189.5129302</v>
      </c>
      <c r="BI54" s="617" t="n">
        <v>72495.59670494001</v>
      </c>
      <c r="BJ54" s="617" t="n">
        <v>69918.71608411</v>
      </c>
      <c r="BK54" s="14" t="n">
        <v>0</v>
      </c>
      <c r="BL54" s="617" t="n">
        <v>0</v>
      </c>
      <c r="BM54" s="47" t="inlineStr">
        <is>
          <t>-</t>
        </is>
      </c>
      <c r="BN54" s="19" t="inlineStr">
        <is>
          <t>ii</t>
        </is>
      </c>
      <c r="BO54" s="15" t="inlineStr">
        <is>
          <t>GOLD ETF</t>
        </is>
      </c>
      <c r="BP54" s="14" t="n">
        <v>22</v>
      </c>
      <c r="BQ54" s="14" t="n">
        <v>8663662</v>
      </c>
      <c r="BR54" s="617" t="n">
        <v>8460.846153660001</v>
      </c>
      <c r="BS54" s="617" t="n">
        <v>97.71593196000001</v>
      </c>
      <c r="BT54" s="617" t="n">
        <v>8363.130221699999</v>
      </c>
      <c r="BU54" s="617" t="n">
        <v>90135.98388837</v>
      </c>
      <c r="BV54" s="617" t="n">
        <v>81700.39073638</v>
      </c>
      <c r="BW54" s="17" t="n">
        <v>0</v>
      </c>
      <c r="BX54" s="618" t="n">
        <v>0</v>
      </c>
      <c r="BY54" s="47" t="inlineStr">
        <is>
          <t>-</t>
        </is>
      </c>
      <c r="BZ54" s="19" t="inlineStr">
        <is>
          <t>ii</t>
        </is>
      </c>
      <c r="CA54" s="15" t="inlineStr">
        <is>
          <t>GOLD ETF</t>
        </is>
      </c>
      <c r="CB54" s="14" t="n">
        <v>22</v>
      </c>
      <c r="CC54" s="14" t="n">
        <v>9575399</v>
      </c>
      <c r="CD54" s="617" t="n">
        <v>9898.634401200001</v>
      </c>
      <c r="CE54" s="617" t="n">
        <v>2155.444523</v>
      </c>
      <c r="CF54" s="617" t="n">
        <v>7743.1898782</v>
      </c>
      <c r="CG54" s="617" t="n">
        <v>102119.86345666</v>
      </c>
      <c r="CH54" s="617" t="n">
        <v>102088.98556689</v>
      </c>
      <c r="CI54" s="17" t="n">
        <v>0</v>
      </c>
      <c r="CJ54" s="618" t="n">
        <v>0</v>
      </c>
      <c r="CK54" s="47" t="inlineStr">
        <is>
          <t>-</t>
        </is>
      </c>
      <c r="CL54" s="16" t="inlineStr">
        <is>
          <t>ii</t>
        </is>
      </c>
      <c r="CM54" s="15" t="inlineStr">
        <is>
          <t>GOLD ETF</t>
        </is>
      </c>
      <c r="CN54" s="14" t="n">
        <v>23</v>
      </c>
      <c r="CO54" s="14" t="n">
        <v>9784310</v>
      </c>
      <c r="CP54" s="617" t="n">
        <v>4137.60761543</v>
      </c>
      <c r="CQ54" s="617" t="n">
        <v>395.81274115</v>
      </c>
      <c r="CR54" s="617" t="n">
        <v>3741.79487428</v>
      </c>
      <c r="CS54" s="617" t="n">
        <v>110517.75938486</v>
      </c>
      <c r="CT54" s="617" t="n">
        <v>106020.76040516</v>
      </c>
      <c r="CU54" s="17" t="n">
        <v>0</v>
      </c>
      <c r="CV54" s="617" t="n">
        <v>0</v>
      </c>
      <c r="CW54" s="47" t="inlineStr">
        <is>
          <t>-</t>
        </is>
      </c>
      <c r="CX54" s="16" t="inlineStr">
        <is>
          <t>ii</t>
        </is>
      </c>
      <c r="CY54" s="15" t="inlineStr">
        <is>
          <t>GOLD ETF</t>
        </is>
      </c>
      <c r="CZ54" s="14" t="n">
        <v>25</v>
      </c>
      <c r="DA54" s="14" t="n">
        <v>10225561</v>
      </c>
      <c r="DB54" s="617" t="n">
        <v>11850.58781109</v>
      </c>
      <c r="DC54" s="617" t="n">
        <v>203.84816419</v>
      </c>
      <c r="DD54" s="617" t="n">
        <v>11646.7396469</v>
      </c>
      <c r="DE54" s="617" t="n">
        <v>127896.38428562</v>
      </c>
      <c r="DF54" s="617" t="n">
        <v>120867.21752365</v>
      </c>
      <c r="DG54" s="14" t="n">
        <v>0</v>
      </c>
      <c r="DH54" s="617" t="n">
        <v>0</v>
      </c>
      <c r="DI54" s="2" t="inlineStr">
        <is>
          <t>-</t>
        </is>
      </c>
      <c r="DJ54" s="620" t="inlineStr">
        <is>
          <t>ii</t>
        </is>
      </c>
      <c r="DK54" s="621" t="inlineStr">
        <is>
          <t>GOLD ETF</t>
        </is>
      </c>
      <c r="DL54" s="83" t="n">
        <v>25</v>
      </c>
      <c r="DM54" s="83" t="n">
        <v>11437218</v>
      </c>
      <c r="DN54" s="622" t="n">
        <v>24351.57736374</v>
      </c>
      <c r="DO54" s="622" t="n">
        <v>311.6168897</v>
      </c>
      <c r="DP54" s="622" t="n">
        <v>24039.96047404</v>
      </c>
      <c r="DQ54" s="622" t="n">
        <v>184276.95609375</v>
      </c>
      <c r="DR54" s="622" t="n">
        <v>150380.66235501</v>
      </c>
      <c r="DS54" s="83" t="n">
        <v>0</v>
      </c>
      <c r="DT54" s="622" t="n">
        <v>0</v>
      </c>
      <c r="DU54" s="2" t="inlineStr">
        <is>
          <t>-</t>
        </is>
      </c>
      <c r="DV54" s="127" t="n"/>
      <c r="DW54" s="128" t="n"/>
      <c r="DX54" s="2" t="inlineStr">
        <is>
          <t>-</t>
        </is>
      </c>
      <c r="DY54" s="127">
        <f>(DN54-DB54)/DB54</f>
        <v/>
      </c>
      <c r="DZ54" s="128">
        <f>(DP54-DD54)/DD54</f>
        <v/>
      </c>
      <c r="EA54" s="129">
        <f>(DR54-DF54)/DF54</f>
        <v/>
      </c>
    </row>
    <row r="55">
      <c r="A55" s="16" t="inlineStr">
        <is>
          <t>iii</t>
        </is>
      </c>
      <c r="B55" s="15" t="inlineStr">
        <is>
          <t>Other ETFs</t>
        </is>
      </c>
      <c r="C55" s="617" t="n">
        <v>779630.18569931</v>
      </c>
      <c r="D55" s="617" t="n">
        <v>753854.49690951</v>
      </c>
      <c r="E55" s="47" t="inlineStr">
        <is>
          <t>-</t>
        </is>
      </c>
      <c r="F55" s="16" t="inlineStr">
        <is>
          <t>iii</t>
        </is>
      </c>
      <c r="G55" s="15" t="inlineStr">
        <is>
          <t>Other ETFs</t>
        </is>
      </c>
      <c r="H55" s="14" t="n">
        <v>233</v>
      </c>
      <c r="I55" s="14" t="n">
        <v>20228722</v>
      </c>
      <c r="J55" s="617" t="n">
        <v>32840.78752134</v>
      </c>
      <c r="K55" s="617" t="n">
        <v>13784.12872992</v>
      </c>
      <c r="L55" s="617" t="n">
        <v>19056.65879142</v>
      </c>
      <c r="M55" s="617" t="n">
        <v>813120.652839</v>
      </c>
      <c r="N55" s="617" t="n">
        <v>785026.3103401</v>
      </c>
      <c r="O55" s="14" t="n">
        <v>0</v>
      </c>
      <c r="P55" s="617" t="n">
        <v>0</v>
      </c>
      <c r="Q55" s="47" t="inlineStr">
        <is>
          <t>-</t>
        </is>
      </c>
      <c r="R55" s="16" t="inlineStr">
        <is>
          <t>iii</t>
        </is>
      </c>
      <c r="S55" s="15" t="inlineStr">
        <is>
          <t>Other ETFs</t>
        </is>
      </c>
      <c r="T55" s="14" t="n">
        <v>240</v>
      </c>
      <c r="U55" s="14" t="n">
        <v>20493330</v>
      </c>
      <c r="V55" s="617" t="n">
        <v>18281.26533872</v>
      </c>
      <c r="W55" s="617" t="n">
        <v>14194.45070613</v>
      </c>
      <c r="X55" s="617" t="n">
        <v>4086.81463259</v>
      </c>
      <c r="Y55" s="617" t="n">
        <v>833965.8501908</v>
      </c>
      <c r="Z55" s="617" t="n">
        <v>826197.95298677</v>
      </c>
      <c r="AA55" s="14" t="n">
        <v>0</v>
      </c>
      <c r="AB55" s="617" t="n">
        <v>0</v>
      </c>
      <c r="AC55" s="47" t="inlineStr">
        <is>
          <t>-</t>
        </is>
      </c>
      <c r="AD55" s="16" t="inlineStr">
        <is>
          <t>iii</t>
        </is>
      </c>
      <c r="AE55" s="15" t="inlineStr">
        <is>
          <t>Other ETFs</t>
        </is>
      </c>
      <c r="AF55" s="14" t="n">
        <v>246</v>
      </c>
      <c r="AG55" s="14" t="n">
        <v>20613868</v>
      </c>
      <c r="AH55" s="617" t="n">
        <v>16480.75774305</v>
      </c>
      <c r="AI55" s="617" t="n">
        <v>15636.33136378</v>
      </c>
      <c r="AJ55" s="617" t="n">
        <v>844.42637927</v>
      </c>
      <c r="AK55" s="617" t="n">
        <v>859260.58904124</v>
      </c>
      <c r="AL55" s="617" t="n">
        <v>843878.10686522</v>
      </c>
      <c r="AM55" s="14" t="n">
        <v>0</v>
      </c>
      <c r="AN55" s="617" t="n">
        <v>0</v>
      </c>
      <c r="AO55" s="47" t="inlineStr">
        <is>
          <t>-</t>
        </is>
      </c>
      <c r="AP55" s="16" t="inlineStr">
        <is>
          <t>iii</t>
        </is>
      </c>
      <c r="AQ55" s="15" t="inlineStr">
        <is>
          <t>Other ETFs</t>
        </is>
      </c>
      <c r="AR55" s="14" t="n">
        <v>252</v>
      </c>
      <c r="AS55" s="14" t="n">
        <v>20810327</v>
      </c>
      <c r="AT55" s="617" t="n">
        <v>18136.0568436</v>
      </c>
      <c r="AU55" s="617" t="n">
        <v>13659.14441881</v>
      </c>
      <c r="AV55" s="617" t="n">
        <v>4476.91242479</v>
      </c>
      <c r="AW55" s="617" t="n">
        <v>844401.98576881</v>
      </c>
      <c r="AX55" s="617" t="n">
        <v>852466.9415185601</v>
      </c>
      <c r="AY55" s="14" t="n">
        <v>0</v>
      </c>
      <c r="AZ55" s="617" t="n">
        <v>0</v>
      </c>
      <c r="BA55" s="47" t="inlineStr">
        <is>
          <t>-</t>
        </is>
      </c>
      <c r="BB55" s="16" t="inlineStr">
        <is>
          <t>iii</t>
        </is>
      </c>
      <c r="BC55" s="15" t="inlineStr">
        <is>
          <t>Other ETFs</t>
        </is>
      </c>
      <c r="BD55" s="14" t="n">
        <v>258</v>
      </c>
      <c r="BE55" s="14" t="n">
        <v>21252597</v>
      </c>
      <c r="BF55" s="617" t="n">
        <v>15315.89250985</v>
      </c>
      <c r="BG55" s="617" t="n">
        <v>8071.77936465</v>
      </c>
      <c r="BH55" s="617" t="n">
        <v>7244.11314519999</v>
      </c>
      <c r="BI55" s="617" t="n">
        <v>842201.47235244</v>
      </c>
      <c r="BJ55" s="617" t="n">
        <v>846007.59189492</v>
      </c>
      <c r="BK55" s="14" t="n">
        <v>0</v>
      </c>
      <c r="BL55" s="617" t="n">
        <v>0</v>
      </c>
      <c r="BM55" s="47" t="inlineStr">
        <is>
          <t>-</t>
        </is>
      </c>
      <c r="BN55" s="19" t="inlineStr">
        <is>
          <t>iii</t>
        </is>
      </c>
      <c r="BO55" s="15" t="inlineStr">
        <is>
          <t>Other ETFs</t>
        </is>
      </c>
      <c r="BP55" s="14" t="n">
        <v>260</v>
      </c>
      <c r="BQ55" s="14" t="n">
        <v>21740194</v>
      </c>
      <c r="BR55" s="617" t="n">
        <v>20731.1746059</v>
      </c>
      <c r="BS55" s="617" t="n">
        <v>12580.38110474</v>
      </c>
      <c r="BT55" s="617" t="n">
        <v>8150.79350116</v>
      </c>
      <c r="BU55" s="617" t="n">
        <v>865687.55522619</v>
      </c>
      <c r="BV55" s="617" t="n">
        <v>866031.76950049</v>
      </c>
      <c r="BW55" s="17" t="n">
        <v>0</v>
      </c>
      <c r="BX55" s="618" t="n">
        <v>0</v>
      </c>
      <c r="BY55" s="47" t="inlineStr">
        <is>
          <t>-</t>
        </is>
      </c>
      <c r="BZ55" s="19" t="inlineStr">
        <is>
          <t>iii</t>
        </is>
      </c>
      <c r="CA55" s="15" t="inlineStr">
        <is>
          <t>Other ETFs</t>
        </is>
      </c>
      <c r="CB55" s="14" t="n">
        <v>268</v>
      </c>
      <c r="CC55" s="14" t="n">
        <v>22859737</v>
      </c>
      <c r="CD55" s="617" t="n">
        <v>22739.32323338</v>
      </c>
      <c r="CE55" s="617" t="n">
        <v>16557.62460047</v>
      </c>
      <c r="CF55" s="617" t="n">
        <v>6181.69863291002</v>
      </c>
      <c r="CG55" s="617" t="n">
        <v>908398.92463526</v>
      </c>
      <c r="CH55" s="617" t="n">
        <v>900452.505276</v>
      </c>
      <c r="CI55" s="17" t="n">
        <v>0</v>
      </c>
      <c r="CJ55" s="618" t="n">
        <v>0</v>
      </c>
      <c r="CK55" s="47" t="inlineStr">
        <is>
          <t>-</t>
        </is>
      </c>
      <c r="CL55" s="16" t="inlineStr">
        <is>
          <t>iii</t>
        </is>
      </c>
      <c r="CM55" s="15" t="inlineStr">
        <is>
          <t>Other ETFs</t>
        </is>
      </c>
      <c r="CN55" s="14" t="n">
        <v>278</v>
      </c>
      <c r="CO55" s="14" t="n">
        <v>23129290</v>
      </c>
      <c r="CP55" s="617" t="n">
        <v>18339.92516174</v>
      </c>
      <c r="CQ55" s="617" t="n">
        <v>8619.18331745001</v>
      </c>
      <c r="CR55" s="617" t="n">
        <v>9720.74184428998</v>
      </c>
      <c r="CS55" s="617" t="n">
        <v>936137.6373647701</v>
      </c>
      <c r="CT55" s="617" t="n">
        <v>919060.94359673</v>
      </c>
      <c r="CU55" s="17" t="n">
        <v>0</v>
      </c>
      <c r="CV55" s="617" t="n">
        <v>0</v>
      </c>
      <c r="CW55" s="47" t="inlineStr">
        <is>
          <t>-</t>
        </is>
      </c>
      <c r="CX55" s="16" t="inlineStr">
        <is>
          <t>iii</t>
        </is>
      </c>
      <c r="CY55" s="15" t="inlineStr">
        <is>
          <t>Other ETFs</t>
        </is>
      </c>
      <c r="CZ55" s="14" t="n">
        <v>286</v>
      </c>
      <c r="DA55" s="14" t="n">
        <v>23969652</v>
      </c>
      <c r="DB55" s="617" t="n">
        <v>25716.54631898</v>
      </c>
      <c r="DC55" s="617" t="n">
        <v>12517.10892582</v>
      </c>
      <c r="DD55" s="617" t="n">
        <v>13199.43739316</v>
      </c>
      <c r="DE55" s="617" t="n">
        <v>966503.97067096</v>
      </c>
      <c r="DF55" s="617" t="n">
        <v>947036.17915982</v>
      </c>
      <c r="DG55" s="14" t="n">
        <v>0</v>
      </c>
      <c r="DH55" s="617" t="n">
        <v>0</v>
      </c>
      <c r="DI55" s="2" t="inlineStr">
        <is>
          <t>-</t>
        </is>
      </c>
      <c r="DJ55" s="620" t="inlineStr">
        <is>
          <t>iii</t>
        </is>
      </c>
      <c r="DK55" s="621" t="inlineStr">
        <is>
          <t>Other ETFs</t>
        </is>
      </c>
      <c r="DL55" s="83" t="n">
        <v>289</v>
      </c>
      <c r="DM55" s="83" t="n">
        <v>26057440</v>
      </c>
      <c r="DN55" s="622" t="n">
        <v>34387.69612044</v>
      </c>
      <c r="DO55" s="622" t="n">
        <v>19381.8304025</v>
      </c>
      <c r="DP55" s="622" t="n">
        <v>15005.86571794</v>
      </c>
      <c r="DQ55" s="622" t="n">
        <v>997350.40860863</v>
      </c>
      <c r="DR55" s="622" t="n">
        <v>979921.32761106</v>
      </c>
      <c r="DS55" s="83" t="n">
        <v>0</v>
      </c>
      <c r="DT55" s="622" t="n">
        <v>0</v>
      </c>
      <c r="DU55" s="2" t="inlineStr">
        <is>
          <t>-</t>
        </is>
      </c>
      <c r="DV55" s="127" t="n"/>
      <c r="DW55" s="128" t="n"/>
      <c r="DX55" s="2" t="inlineStr">
        <is>
          <t>-</t>
        </is>
      </c>
      <c r="DY55" s="127">
        <f>(DN55-DB55)/DB55</f>
        <v/>
      </c>
      <c r="DZ55" s="128">
        <f>(DP55-DD55)/DD55</f>
        <v/>
      </c>
      <c r="EA55" s="129">
        <f>(DR55-DF55)/DF55</f>
        <v/>
      </c>
    </row>
    <row r="56">
      <c r="A56" s="16" t="inlineStr">
        <is>
          <t>iv</t>
        </is>
      </c>
      <c r="B56" s="15" t="inlineStr">
        <is>
          <t>Fund of funds investing overseas</t>
        </is>
      </c>
      <c r="C56" s="617" t="n">
        <v>25030.80859536</v>
      </c>
      <c r="D56" s="617" t="n">
        <v>26287.87223356</v>
      </c>
      <c r="E56" s="47" t="inlineStr">
        <is>
          <t>-</t>
        </is>
      </c>
      <c r="F56" s="16" t="inlineStr">
        <is>
          <t>iv</t>
        </is>
      </c>
      <c r="G56" s="15" t="inlineStr">
        <is>
          <t>Fund of funds investing overseas</t>
        </is>
      </c>
      <c r="H56" s="14" t="n">
        <v>53</v>
      </c>
      <c r="I56" s="14" t="n">
        <v>1382180</v>
      </c>
      <c r="J56" s="617" t="n">
        <v>334.90833284</v>
      </c>
      <c r="K56" s="617" t="n">
        <v>711.73127901</v>
      </c>
      <c r="L56" s="617" t="n">
        <v>-376.82294617</v>
      </c>
      <c r="M56" s="617" t="n">
        <v>24836.17097025</v>
      </c>
      <c r="N56" s="617" t="n">
        <v>24101.52482882</v>
      </c>
      <c r="O56" s="14" t="n">
        <v>0</v>
      </c>
      <c r="P56" s="617" t="n">
        <v>0</v>
      </c>
      <c r="Q56" s="47" t="inlineStr">
        <is>
          <t>-</t>
        </is>
      </c>
      <c r="R56" s="16" t="inlineStr">
        <is>
          <t>iv</t>
        </is>
      </c>
      <c r="S56" s="15" t="inlineStr">
        <is>
          <t>Fund of funds investing overseas</t>
        </is>
      </c>
      <c r="T56" s="14" t="n">
        <v>53</v>
      </c>
      <c r="U56" s="14" t="n">
        <v>1377236</v>
      </c>
      <c r="V56" s="617" t="n">
        <v>394.07504035</v>
      </c>
      <c r="W56" s="617" t="n">
        <v>351.24607208</v>
      </c>
      <c r="X56" s="617" t="n">
        <v>42.82896827</v>
      </c>
      <c r="Y56" s="617" t="n">
        <v>27014.14923911</v>
      </c>
      <c r="Z56" s="617" t="n">
        <v>26413.73321141</v>
      </c>
      <c r="AA56" s="14" t="n">
        <v>0</v>
      </c>
      <c r="AB56" s="617" t="n">
        <v>0</v>
      </c>
      <c r="AC56" s="47" t="inlineStr">
        <is>
          <t>-</t>
        </is>
      </c>
      <c r="AD56" s="16" t="inlineStr">
        <is>
          <t>iv</t>
        </is>
      </c>
      <c r="AE56" s="15" t="inlineStr">
        <is>
          <t>Fund of funds investing overseas</t>
        </is>
      </c>
      <c r="AF56" s="14" t="n">
        <v>52</v>
      </c>
      <c r="AG56" s="14" t="n">
        <v>1375052</v>
      </c>
      <c r="AH56" s="617" t="n">
        <v>406.33591069</v>
      </c>
      <c r="AI56" s="617" t="n">
        <v>377.53758264</v>
      </c>
      <c r="AJ56" s="617" t="n">
        <v>28.7983280500001</v>
      </c>
      <c r="AK56" s="617" t="n">
        <v>28695.42836012</v>
      </c>
      <c r="AL56" s="617" t="n">
        <v>27984.34227738</v>
      </c>
      <c r="AM56" s="14" t="n">
        <v>0</v>
      </c>
      <c r="AN56" s="617" t="n">
        <v>0</v>
      </c>
      <c r="AO56" s="47" t="inlineStr">
        <is>
          <t>-</t>
        </is>
      </c>
      <c r="AP56" s="16" t="inlineStr">
        <is>
          <t>iv</t>
        </is>
      </c>
      <c r="AQ56" s="15" t="inlineStr">
        <is>
          <t>Fund of funds investing overseas</t>
        </is>
      </c>
      <c r="AR56" s="14" t="n">
        <v>52</v>
      </c>
      <c r="AS56" s="14" t="n">
        <v>1391034</v>
      </c>
      <c r="AT56" s="617" t="n">
        <v>562.11439195</v>
      </c>
      <c r="AU56" s="617" t="n">
        <v>365.51825126</v>
      </c>
      <c r="AV56" s="617" t="n">
        <v>196.59614069</v>
      </c>
      <c r="AW56" s="617" t="n">
        <v>30167.65388854</v>
      </c>
      <c r="AX56" s="617" t="n">
        <v>29233.80878351</v>
      </c>
      <c r="AY56" s="14" t="n">
        <v>0</v>
      </c>
      <c r="AZ56" s="617" t="n">
        <v>0</v>
      </c>
      <c r="BA56" s="47" t="inlineStr">
        <is>
          <t>-</t>
        </is>
      </c>
      <c r="BB56" s="16" t="inlineStr">
        <is>
          <t>iv</t>
        </is>
      </c>
      <c r="BC56" s="15" t="inlineStr">
        <is>
          <t>Fund of funds investing overseas</t>
        </is>
      </c>
      <c r="BD56" s="14" t="n">
        <v>52</v>
      </c>
      <c r="BE56" s="14" t="n">
        <v>1415559</v>
      </c>
      <c r="BF56" s="617" t="n">
        <v>789.7045921599999</v>
      </c>
      <c r="BG56" s="617" t="n">
        <v>289.10395736</v>
      </c>
      <c r="BH56" s="617" t="n">
        <v>500.6006348</v>
      </c>
      <c r="BI56" s="617" t="n">
        <v>31358.49413</v>
      </c>
      <c r="BJ56" s="617" t="n">
        <v>30632.00988215</v>
      </c>
      <c r="BK56" s="14" t="n">
        <v>0</v>
      </c>
      <c r="BL56" s="617" t="n">
        <v>0</v>
      </c>
      <c r="BM56" s="47" t="inlineStr">
        <is>
          <t>-</t>
        </is>
      </c>
      <c r="BN56" s="19" t="inlineStr">
        <is>
          <t>iv</t>
        </is>
      </c>
      <c r="BO56" s="15" t="inlineStr">
        <is>
          <t>Fund of funds investing overseas</t>
        </is>
      </c>
      <c r="BP56" s="14" t="n">
        <v>52</v>
      </c>
      <c r="BQ56" s="14" t="n">
        <v>1483745</v>
      </c>
      <c r="BR56" s="617" t="n">
        <v>1375.02808962</v>
      </c>
      <c r="BS56" s="617" t="n">
        <v>413.09120795</v>
      </c>
      <c r="BT56" s="617" t="n">
        <v>961.93688167</v>
      </c>
      <c r="BU56" s="617" t="n">
        <v>34424.15377894</v>
      </c>
      <c r="BV56" s="617" t="n">
        <v>33100.71017679</v>
      </c>
      <c r="BW56" s="17" t="n">
        <v>0</v>
      </c>
      <c r="BX56" s="618" t="n">
        <v>0</v>
      </c>
      <c r="BY56" s="47" t="inlineStr">
        <is>
          <t>-</t>
        </is>
      </c>
      <c r="BZ56" s="19" t="inlineStr">
        <is>
          <t>iv</t>
        </is>
      </c>
      <c r="CA56" s="15" t="inlineStr">
        <is>
          <t>Fund of funds investing overseas</t>
        </is>
      </c>
      <c r="CB56" s="14" t="n">
        <v>52</v>
      </c>
      <c r="CC56" s="14" t="n">
        <v>1558989</v>
      </c>
      <c r="CD56" s="617" t="n">
        <v>1333.69076197</v>
      </c>
      <c r="CE56" s="617" t="n">
        <v>519.58062022</v>
      </c>
      <c r="CF56" s="617" t="n">
        <v>814.110141749999</v>
      </c>
      <c r="CG56" s="617" t="n">
        <v>36090.86421521</v>
      </c>
      <c r="CH56" s="617" t="n">
        <v>35039.36636958</v>
      </c>
      <c r="CI56" s="17" t="n">
        <v>0</v>
      </c>
      <c r="CJ56" s="618" t="n">
        <v>0</v>
      </c>
      <c r="CK56" s="47" t="inlineStr">
        <is>
          <t>-</t>
        </is>
      </c>
      <c r="CL56" s="16" t="inlineStr">
        <is>
          <t>iv</t>
        </is>
      </c>
      <c r="CM56" s="15" t="inlineStr">
        <is>
          <t>Fund of funds investing overseas</t>
        </is>
      </c>
      <c r="CN56" s="14" t="n">
        <v>52</v>
      </c>
      <c r="CO56" s="14" t="n">
        <v>1612175</v>
      </c>
      <c r="CP56" s="617" t="n">
        <v>753.8052229500011</v>
      </c>
      <c r="CQ56" s="617" t="n">
        <v>558.12624361</v>
      </c>
      <c r="CR56" s="617" t="n">
        <v>195.678979340001</v>
      </c>
      <c r="CS56" s="617" t="n">
        <v>35964.96763646</v>
      </c>
      <c r="CT56" s="617" t="n">
        <v>35287.94955255</v>
      </c>
      <c r="CU56" s="17" t="n">
        <v>0</v>
      </c>
      <c r="CV56" s="617" t="n">
        <v>0</v>
      </c>
      <c r="CW56" s="47" t="inlineStr">
        <is>
          <t>-</t>
        </is>
      </c>
      <c r="CX56" s="16" t="inlineStr">
        <is>
          <t>iv</t>
        </is>
      </c>
      <c r="CY56" s="15" t="inlineStr">
        <is>
          <t>Fund of funds investing overseas</t>
        </is>
      </c>
      <c r="CZ56" s="14" t="n">
        <v>52</v>
      </c>
      <c r="DA56" s="14" t="n">
        <v>1638654</v>
      </c>
      <c r="DB56" s="617" t="n">
        <v>829.615128259999</v>
      </c>
      <c r="DC56" s="617" t="n">
        <v>683.0461666899999</v>
      </c>
      <c r="DD56" s="617" t="n">
        <v>146.56896157</v>
      </c>
      <c r="DE56" s="617" t="n">
        <v>36584.5293266</v>
      </c>
      <c r="DF56" s="617" t="n">
        <v>36466.87294917</v>
      </c>
      <c r="DG56" s="14" t="n">
        <v>0</v>
      </c>
      <c r="DH56" s="617" t="n">
        <v>0</v>
      </c>
      <c r="DI56" s="2" t="inlineStr">
        <is>
          <t>-</t>
        </is>
      </c>
      <c r="DJ56" s="620" t="inlineStr">
        <is>
          <t>iv</t>
        </is>
      </c>
      <c r="DK56" s="621" t="inlineStr">
        <is>
          <t>Fund of funds investing overseas</t>
        </is>
      </c>
      <c r="DL56" s="83" t="n">
        <v>52</v>
      </c>
      <c r="DM56" s="83" t="n">
        <v>1682977</v>
      </c>
      <c r="DN56" s="622" t="n">
        <v>1285.52006361</v>
      </c>
      <c r="DO56" s="622" t="n">
        <v>404.01516667</v>
      </c>
      <c r="DP56" s="622" t="n">
        <v>881.50489694</v>
      </c>
      <c r="DQ56" s="622" t="n">
        <v>39229.08223425</v>
      </c>
      <c r="DR56" s="622" t="n">
        <v>38154.74231265</v>
      </c>
      <c r="DS56" s="83" t="n">
        <v>0</v>
      </c>
      <c r="DT56" s="622" t="n">
        <v>0</v>
      </c>
      <c r="DU56" s="2" t="inlineStr">
        <is>
          <t>-</t>
        </is>
      </c>
      <c r="DV56" s="127" t="n"/>
      <c r="DW56" s="128" t="n"/>
      <c r="DX56" s="2" t="inlineStr">
        <is>
          <t>-</t>
        </is>
      </c>
      <c r="DY56" s="127">
        <f>(DN56-DB56)/DB56</f>
        <v/>
      </c>
      <c r="DZ56" s="128">
        <f>(DP56-DD56)/DD56</f>
        <v/>
      </c>
      <c r="EA56" s="129">
        <f>(DR56-DF56)/DF56</f>
        <v/>
      </c>
    </row>
    <row r="57">
      <c r="A57" s="25" t="n"/>
      <c r="B57" s="25" t="inlineStr">
        <is>
          <t>Sub Total - V (i+ii+iii+iv)</t>
        </is>
      </c>
      <c r="C57" s="24">
        <f>SUM(C53:C56)</f>
        <v/>
      </c>
      <c r="D57" s="24">
        <f>SUM(D53:D56)</f>
        <v/>
      </c>
      <c r="E57" s="47" t="inlineStr">
        <is>
          <t>-</t>
        </is>
      </c>
      <c r="F57" s="25" t="n"/>
      <c r="G57" s="25" t="inlineStr">
        <is>
          <t>Sub Total - V (i+ii+iii+iv)</t>
        </is>
      </c>
      <c r="H57" s="24">
        <f>SUM(H53:H56)</f>
        <v/>
      </c>
      <c r="I57" s="24">
        <f>SUM(I53:I56)</f>
        <v/>
      </c>
      <c r="J57" s="24">
        <f>SUM(J53:J56)</f>
        <v/>
      </c>
      <c r="K57" s="24">
        <f>SUM(K53:K56)</f>
        <v/>
      </c>
      <c r="L57" s="24">
        <f>SUM(L53:L56)</f>
        <v/>
      </c>
      <c r="M57" s="24">
        <f>SUM(M53:M56)</f>
        <v/>
      </c>
      <c r="N57" s="24">
        <f>SUM(N53:N56)</f>
        <v/>
      </c>
      <c r="O57" s="24">
        <f>SUM(O53:O56)</f>
        <v/>
      </c>
      <c r="P57" s="24">
        <f>SUM(P53:P56)</f>
        <v/>
      </c>
      <c r="Q57" s="47" t="inlineStr">
        <is>
          <t>-</t>
        </is>
      </c>
      <c r="R57" s="25" t="n"/>
      <c r="S57" s="25" t="inlineStr">
        <is>
          <t>Sub Total - V (i+ii+iii+iv)</t>
        </is>
      </c>
      <c r="T57" s="24">
        <f>SUM(T53:T56)</f>
        <v/>
      </c>
      <c r="U57" s="24">
        <f>SUM(U53:U56)</f>
        <v/>
      </c>
      <c r="V57" s="24">
        <f>SUM(V53:V56)</f>
        <v/>
      </c>
      <c r="W57" s="24">
        <f>SUM(W53:W56)</f>
        <v/>
      </c>
      <c r="X57" s="24">
        <f>SUM(X53:X56)</f>
        <v/>
      </c>
      <c r="Y57" s="24">
        <f>SUM(Y53:Y56)</f>
        <v/>
      </c>
      <c r="Z57" s="24">
        <f>SUM(Z53:Z56)</f>
        <v/>
      </c>
      <c r="AA57" s="24">
        <f>SUM(AA53:AA56)</f>
        <v/>
      </c>
      <c r="AB57" s="24">
        <f>SUM(AB53:AB56)</f>
        <v/>
      </c>
      <c r="AC57" s="47" t="inlineStr">
        <is>
          <t>-</t>
        </is>
      </c>
      <c r="AD57" s="25" t="n"/>
      <c r="AE57" s="25" t="inlineStr">
        <is>
          <t>Sub Total - V (i+ii+iii+iv)</t>
        </is>
      </c>
      <c r="AF57" s="24">
        <f>SUM(AF53:AF56)</f>
        <v/>
      </c>
      <c r="AG57" s="24">
        <f>SUM(AG53:AG56)</f>
        <v/>
      </c>
      <c r="AH57" s="24">
        <f>SUM(AH53:AH56)</f>
        <v/>
      </c>
      <c r="AI57" s="24">
        <f>SUM(AI53:AI56)</f>
        <v/>
      </c>
      <c r="AJ57" s="24">
        <f>SUM(AJ53:AJ56)</f>
        <v/>
      </c>
      <c r="AK57" s="24">
        <f>SUM(AK53:AK56)</f>
        <v/>
      </c>
      <c r="AL57" s="24">
        <f>SUM(AL53:AL56)</f>
        <v/>
      </c>
      <c r="AM57" s="24">
        <f>SUM(AM53:AM56)</f>
        <v/>
      </c>
      <c r="AN57" s="24">
        <f>SUM(AN53:AN56)</f>
        <v/>
      </c>
      <c r="AO57" s="47" t="inlineStr">
        <is>
          <t>-</t>
        </is>
      </c>
      <c r="AP57" s="25" t="n"/>
      <c r="AQ57" s="25" t="inlineStr">
        <is>
          <t>Sub Total - V (i+ii+iii+iv)</t>
        </is>
      </c>
      <c r="AR57" s="24">
        <f>SUM(AR53:AR56)</f>
        <v/>
      </c>
      <c r="AS57" s="24">
        <f>SUM(AS53:AS56)</f>
        <v/>
      </c>
      <c r="AT57" s="24">
        <f>SUM(AT53:AT56)</f>
        <v/>
      </c>
      <c r="AU57" s="24">
        <f>SUM(AU53:AU56)</f>
        <v/>
      </c>
      <c r="AV57" s="24">
        <f>SUM(AV53:AV56)</f>
        <v/>
      </c>
      <c r="AW57" s="24">
        <f>SUM(AW53:AW56)</f>
        <v/>
      </c>
      <c r="AX57" s="24">
        <f>SUM(AX53:AX56)</f>
        <v/>
      </c>
      <c r="AY57" s="24">
        <f>SUM(AY53:AY56)</f>
        <v/>
      </c>
      <c r="AZ57" s="24">
        <f>SUM(AZ53:AZ56)</f>
        <v/>
      </c>
      <c r="BA57" s="47" t="inlineStr">
        <is>
          <t>-</t>
        </is>
      </c>
      <c r="BB57" s="25" t="n"/>
      <c r="BC57" s="25" t="inlineStr">
        <is>
          <t>Sub Total - V (i+ii+iii+iv)</t>
        </is>
      </c>
      <c r="BD57" s="24">
        <f>SUM(BD53:BD56)</f>
        <v/>
      </c>
      <c r="BE57" s="24">
        <f>SUM(BE53:BE56)</f>
        <v/>
      </c>
      <c r="BF57" s="24">
        <f>SUM(BF53:BF56)</f>
        <v/>
      </c>
      <c r="BG57" s="24">
        <f>SUM(BG53:BG56)</f>
        <v/>
      </c>
      <c r="BH57" s="24">
        <f>SUM(BH53:BH56)</f>
        <v/>
      </c>
      <c r="BI57" s="24">
        <f>SUM(BI53:BI56)</f>
        <v/>
      </c>
      <c r="BJ57" s="24">
        <f>SUM(BJ53:BJ56)</f>
        <v/>
      </c>
      <c r="BK57" s="24">
        <f>SUM(BK53:BK56)</f>
        <v/>
      </c>
      <c r="BL57" s="24">
        <f>SUM(BL53:BL56)</f>
        <v/>
      </c>
      <c r="BM57" s="47" t="inlineStr">
        <is>
          <t>-</t>
        </is>
      </c>
      <c r="BN57" s="25" t="n"/>
      <c r="BO57" s="25" t="inlineStr">
        <is>
          <t>Sub Total - V (i+ii+iii+iv)</t>
        </is>
      </c>
      <c r="BP57" s="24">
        <f>SUM(BP53:BP56)</f>
        <v/>
      </c>
      <c r="BQ57" s="24">
        <f>SUM(BQ53:BQ56)</f>
        <v/>
      </c>
      <c r="BR57" s="24">
        <f>SUM(BR53:BR56)</f>
        <v/>
      </c>
      <c r="BS57" s="24">
        <f>SUM(BS53:BS56)</f>
        <v/>
      </c>
      <c r="BT57" s="24">
        <f>SUM(BT53:BT56)</f>
        <v/>
      </c>
      <c r="BU57" s="24">
        <f>SUM(BU53:BU56)</f>
        <v/>
      </c>
      <c r="BV57" s="24">
        <f>SUM(BV53:BV56)</f>
        <v/>
      </c>
      <c r="BW57" s="24">
        <f>SUM(BW53:BW56)</f>
        <v/>
      </c>
      <c r="BX57" s="24">
        <f>SUM(BX53:BX56)</f>
        <v/>
      </c>
      <c r="BY57" s="47" t="inlineStr">
        <is>
          <t>-</t>
        </is>
      </c>
      <c r="BZ57" s="25" t="n"/>
      <c r="CA57" s="25" t="inlineStr">
        <is>
          <t>Sub Total - V (i+ii+iii+iv)</t>
        </is>
      </c>
      <c r="CB57" s="24">
        <f>SUM(CB53:CB56)</f>
        <v/>
      </c>
      <c r="CC57" s="24">
        <f>SUM(CC53:CC56)</f>
        <v/>
      </c>
      <c r="CD57" s="24">
        <f>SUM(CD53:CD56)</f>
        <v/>
      </c>
      <c r="CE57" s="24">
        <f>SUM(CE53:CE56)</f>
        <v/>
      </c>
      <c r="CF57" s="24">
        <f>SUM(CF53:CF56)</f>
        <v/>
      </c>
      <c r="CG57" s="24">
        <f>SUM(CG53:CG56)</f>
        <v/>
      </c>
      <c r="CH57" s="24">
        <f>SUM(CH53:CH56)</f>
        <v/>
      </c>
      <c r="CI57" s="24">
        <f>SUM(CI53:CI56)</f>
        <v/>
      </c>
      <c r="CJ57" s="24">
        <f>SUM(CJ53:CJ56)</f>
        <v/>
      </c>
      <c r="CK57" s="47" t="inlineStr">
        <is>
          <t>-</t>
        </is>
      </c>
      <c r="CL57" s="25" t="n"/>
      <c r="CM57" s="25" t="inlineStr">
        <is>
          <t>Sub Total - V (i+ii+iii+iv)</t>
        </is>
      </c>
      <c r="CN57" s="24">
        <f>SUM(CN53:CN56)</f>
        <v/>
      </c>
      <c r="CO57" s="24">
        <f>SUM(CO53:CO56)</f>
        <v/>
      </c>
      <c r="CP57" s="24">
        <f>SUM(CP53:CP56)</f>
        <v/>
      </c>
      <c r="CQ57" s="24">
        <f>SUM(CQ53:CQ56)</f>
        <v/>
      </c>
      <c r="CR57" s="24">
        <f>SUM(CR53:CR56)</f>
        <v/>
      </c>
      <c r="CS57" s="24">
        <f>SUM(CS53:CS56)</f>
        <v/>
      </c>
      <c r="CT57" s="24">
        <f>SUM(CT53:CT56)</f>
        <v/>
      </c>
      <c r="CU57" s="24">
        <f>SUM(CU53:CU56)</f>
        <v/>
      </c>
      <c r="CV57" s="24">
        <f>SUM(CV53:CV56)</f>
        <v/>
      </c>
      <c r="CW57" s="47" t="inlineStr">
        <is>
          <t>-</t>
        </is>
      </c>
      <c r="CX57" s="25" t="n"/>
      <c r="CY57" s="25" t="inlineStr">
        <is>
          <t>Sub Total - V (i+ii+iii+iv)</t>
        </is>
      </c>
      <c r="CZ57" s="24">
        <f>SUM(CZ53:CZ56)</f>
        <v/>
      </c>
      <c r="DA57" s="24">
        <f>SUM(DA53:DA56)</f>
        <v/>
      </c>
      <c r="DB57" s="24">
        <f>SUM(DB53:DB56)</f>
        <v/>
      </c>
      <c r="DC57" s="24">
        <f>SUM(DC53:DC56)</f>
        <v/>
      </c>
      <c r="DD57" s="74">
        <f>SUM(DD53:DD56)</f>
        <v/>
      </c>
      <c r="DE57" s="108">
        <f>SUM(DE53:DE56)</f>
        <v/>
      </c>
      <c r="DF57" s="24">
        <f>SUM(DF53:DF56)</f>
        <v/>
      </c>
      <c r="DG57" s="24">
        <f>SUM(DG53:DG56)</f>
        <v/>
      </c>
      <c r="DH57" s="24">
        <f>SUM(DH53:DH56)</f>
        <v/>
      </c>
      <c r="DI57" s="47" t="inlineStr">
        <is>
          <t>-</t>
        </is>
      </c>
      <c r="DJ57" s="627" t="n"/>
      <c r="DK57" s="627" t="inlineStr">
        <is>
          <t>Sub Total - V (i+ii+iii+iv)</t>
        </is>
      </c>
      <c r="DL57" s="24">
        <f>SUM(DL53:DL56)</f>
        <v/>
      </c>
      <c r="DM57" s="24">
        <f>SUM(DM53:DM56)</f>
        <v/>
      </c>
      <c r="DN57" s="24">
        <f>SUM(DN53:DN56)</f>
        <v/>
      </c>
      <c r="DO57" s="24">
        <f>SUM(DO53:DO56)</f>
        <v/>
      </c>
      <c r="DP57" s="74">
        <f>SUM(DP53:DP56)</f>
        <v/>
      </c>
      <c r="DQ57" s="108">
        <f>SUM(DQ53:DQ56)</f>
        <v/>
      </c>
      <c r="DR57" s="24">
        <f>SUM(DR53:DR56)</f>
        <v/>
      </c>
      <c r="DS57" s="24">
        <f>SUM(DS53:DS56)</f>
        <v/>
      </c>
      <c r="DT57" s="24">
        <f>SUM(DT53:DT56)</f>
        <v/>
      </c>
      <c r="DU57" s="47" t="inlineStr">
        <is>
          <t>-</t>
        </is>
      </c>
      <c r="DV57" s="127" t="n"/>
      <c r="DW57" s="128" t="n"/>
      <c r="DX57" s="47" t="inlineStr">
        <is>
          <t>-</t>
        </is>
      </c>
      <c r="DY57" s="127">
        <f>(DN57-DB57)/DB57</f>
        <v/>
      </c>
      <c r="DZ57" s="128">
        <f>(DP57-DD57)/DD57</f>
        <v/>
      </c>
      <c r="EA57" s="129">
        <f>(DR57-DF57)/DF57</f>
        <v/>
      </c>
    </row>
    <row r="58">
      <c r="A58" s="504" t="n"/>
      <c r="B58" s="7" t="n"/>
      <c r="C58" s="628" t="n"/>
      <c r="D58" s="628" t="n"/>
      <c r="E58" s="47" t="inlineStr">
        <is>
          <t>-</t>
        </is>
      </c>
      <c r="F58" s="504" t="n"/>
      <c r="G58" s="7" t="n"/>
      <c r="H58" s="53" t="n"/>
      <c r="I58" s="53" t="n"/>
      <c r="J58" s="628" t="n"/>
      <c r="K58" s="628" t="n"/>
      <c r="L58" s="628" t="n"/>
      <c r="M58" s="628" t="n"/>
      <c r="N58" s="628" t="n"/>
      <c r="O58" s="53" t="n"/>
      <c r="P58" s="628" t="n"/>
      <c r="Q58" s="47" t="inlineStr">
        <is>
          <t>-</t>
        </is>
      </c>
      <c r="R58" s="504" t="n"/>
      <c r="S58" s="7" t="n"/>
      <c r="T58" s="53" t="n"/>
      <c r="U58" s="53" t="n"/>
      <c r="V58" s="628" t="n"/>
      <c r="W58" s="628" t="n"/>
      <c r="X58" s="628" t="n"/>
      <c r="Y58" s="628" t="n"/>
      <c r="Z58" s="628" t="n"/>
      <c r="AA58" s="53" t="n"/>
      <c r="AB58" s="628" t="n"/>
      <c r="AC58" s="47" t="inlineStr">
        <is>
          <t>-</t>
        </is>
      </c>
      <c r="AD58" s="504" t="n"/>
      <c r="AE58" s="7" t="n"/>
      <c r="AF58" s="53" t="n"/>
      <c r="AG58" s="53" t="n"/>
      <c r="AH58" s="628" t="n"/>
      <c r="AI58" s="628" t="n"/>
      <c r="AJ58" s="628" t="n"/>
      <c r="AK58" s="628" t="n"/>
      <c r="AL58" s="628" t="n"/>
      <c r="AM58" s="53" t="n"/>
      <c r="AN58" s="628" t="n"/>
      <c r="AO58" s="47" t="inlineStr">
        <is>
          <t>-</t>
        </is>
      </c>
      <c r="AP58" s="504" t="n"/>
      <c r="AQ58" s="7" t="n"/>
      <c r="AR58" s="53" t="n"/>
      <c r="AS58" s="53" t="n"/>
      <c r="AT58" s="628" t="n"/>
      <c r="AU58" s="628" t="n"/>
      <c r="AV58" s="628" t="n"/>
      <c r="AW58" s="628" t="n"/>
      <c r="AX58" s="628" t="n"/>
      <c r="AY58" s="53" t="n"/>
      <c r="AZ58" s="628" t="n"/>
      <c r="BA58" s="47" t="inlineStr">
        <is>
          <t>-</t>
        </is>
      </c>
      <c r="BB58" s="504" t="n"/>
      <c r="BC58" s="7" t="n"/>
      <c r="BD58" s="53" t="n"/>
      <c r="BE58" s="53" t="n"/>
      <c r="BF58" s="628" t="n"/>
      <c r="BG58" s="628" t="n"/>
      <c r="BH58" s="628" t="n"/>
      <c r="BI58" s="628" t="n"/>
      <c r="BJ58" s="628" t="n"/>
      <c r="BK58" s="53" t="n"/>
      <c r="BL58" s="628" t="n"/>
      <c r="BM58" s="47" t="inlineStr">
        <is>
          <t>-</t>
        </is>
      </c>
      <c r="BN58" s="55" t="n"/>
      <c r="BO58" s="7" t="n"/>
      <c r="BP58" s="53" t="n"/>
      <c r="BQ58" s="53" t="n"/>
      <c r="BR58" s="628" t="n"/>
      <c r="BS58" s="628" t="n"/>
      <c r="BT58" s="628" t="n"/>
      <c r="BU58" s="628" t="n"/>
      <c r="BV58" s="628" t="n"/>
      <c r="BW58" s="56" t="n"/>
      <c r="BX58" s="629" t="n"/>
      <c r="BY58" s="47" t="inlineStr">
        <is>
          <t>-</t>
        </is>
      </c>
      <c r="BZ58" s="55" t="n"/>
      <c r="CA58" s="7" t="n"/>
      <c r="CB58" s="53" t="n"/>
      <c r="CC58" s="53" t="n"/>
      <c r="CD58" s="628" t="n"/>
      <c r="CE58" s="628" t="n"/>
      <c r="CF58" s="628" t="n"/>
      <c r="CG58" s="628" t="n"/>
      <c r="CH58" s="628" t="n"/>
      <c r="CI58" s="56" t="n"/>
      <c r="CJ58" s="629" t="n"/>
      <c r="CK58" s="47" t="inlineStr">
        <is>
          <t>-</t>
        </is>
      </c>
      <c r="CL58" s="504" t="n"/>
      <c r="CM58" s="7" t="n"/>
      <c r="CN58" s="53" t="n"/>
      <c r="CO58" s="53" t="n"/>
      <c r="CP58" s="628" t="n"/>
      <c r="CQ58" s="628" t="n"/>
      <c r="CR58" s="628" t="n"/>
      <c r="CS58" s="628" t="n"/>
      <c r="CT58" s="628" t="n"/>
      <c r="CU58" s="56" t="n"/>
      <c r="CV58" s="628" t="n"/>
      <c r="CW58" s="47" t="inlineStr">
        <is>
          <t>-</t>
        </is>
      </c>
      <c r="CX58" s="504" t="n"/>
      <c r="CY58" s="7" t="n"/>
      <c r="CZ58" s="53" t="n"/>
      <c r="DA58" s="53" t="n"/>
      <c r="DB58" s="628" t="n"/>
      <c r="DC58" s="628" t="n"/>
      <c r="DD58" s="628" t="n"/>
      <c r="DE58" s="628" t="n"/>
      <c r="DF58" s="628" t="n"/>
      <c r="DG58" s="53" t="n"/>
      <c r="DH58" s="628" t="n"/>
      <c r="DI58" s="2" t="inlineStr">
        <is>
          <t>-</t>
        </is>
      </c>
      <c r="DJ58" s="616" t="n"/>
      <c r="DK58" s="630" t="n"/>
      <c r="DL58" s="53" t="n"/>
      <c r="DM58" s="53" t="n"/>
      <c r="DN58" s="628" t="n"/>
      <c r="DO58" s="628" t="n"/>
      <c r="DP58" s="628" t="n"/>
      <c r="DQ58" s="628" t="n"/>
      <c r="DR58" s="628" t="n"/>
      <c r="DS58" s="53" t="n"/>
      <c r="DT58" s="628" t="n"/>
      <c r="DU58" s="2" t="inlineStr">
        <is>
          <t>-</t>
        </is>
      </c>
      <c r="DV58" s="103" t="n"/>
      <c r="DW58" s="103" t="n"/>
      <c r="DX58" s="2" t="inlineStr">
        <is>
          <t>-</t>
        </is>
      </c>
      <c r="DY58" s="103" t="inlineStr">
        <is>
          <t>-</t>
        </is>
      </c>
      <c r="DZ58" s="103" t="inlineStr">
        <is>
          <t>-</t>
        </is>
      </c>
      <c r="EA58" s="103" t="inlineStr">
        <is>
          <t>-</t>
        </is>
      </c>
    </row>
    <row r="59">
      <c r="A59" s="12" t="n"/>
      <c r="B59" s="12" t="inlineStr">
        <is>
          <t>Total A-Open ended Schemes</t>
        </is>
      </c>
      <c r="C59" s="11">
        <f>SUM(C6:C21) + SUM(C25:C35) + SUM(C39:C44) + SUM(C48:C49) + SUM(C53:C56)</f>
        <v/>
      </c>
      <c r="D59" s="11">
        <f>SUM(D6:D21) + SUM(D25:D35) + SUM(D39:D44) + SUM(D48:D49) + SUM(D53:D56)</f>
        <v/>
      </c>
      <c r="E59" s="47" t="inlineStr">
        <is>
          <t>-</t>
        </is>
      </c>
      <c r="F59" s="12" t="n"/>
      <c r="G59" s="12" t="inlineStr">
        <is>
          <t>Total A-Open ended Schemes</t>
        </is>
      </c>
      <c r="H59" s="11">
        <f>SUM(H6:H21) + SUM(H25:H35) + SUM(H39:H44) + SUM(H48:H49) + SUM(H53:H56)</f>
        <v/>
      </c>
      <c r="I59" s="11">
        <f>SUM(I6:I21) + SUM(I25:I35) + SUM(I39:I44) + SUM(I48:I49) + SUM(I53:I56)</f>
        <v/>
      </c>
      <c r="J59" s="11">
        <f>SUM(J6:J21) + SUM(J25:J35) + SUM(J39:J44) + SUM(J48:J49) + SUM(J53:J56)</f>
        <v/>
      </c>
      <c r="K59" s="11">
        <f>SUM(K6:K21) + SUM(K25:K35) + SUM(K39:K44) + SUM(K48:K49) + SUM(K53:K56)</f>
        <v/>
      </c>
      <c r="L59" s="11">
        <f>SUM(L6:L21) + SUM(L25:L35) + SUM(L39:L44) + SUM(L48:L49) + SUM(L53:L56)</f>
        <v/>
      </c>
      <c r="M59" s="11">
        <f>SUM(M6:M21) + SUM(M25:M35) + SUM(M39:M44) + SUM(M48:M49) + SUM(M53:M56)</f>
        <v/>
      </c>
      <c r="N59" s="11">
        <f>SUM(N6:N21) + SUM(N25:N35) + SUM(N39:N44) + SUM(N48:N49) + SUM(N53:N56)</f>
        <v/>
      </c>
      <c r="O59" s="11">
        <f>SUM(O6:O21) + SUM(O25:O35) + SUM(O39:O44) + SUM(O48:O49) + SUM(O53:O56)</f>
        <v/>
      </c>
      <c r="P59" s="11">
        <f>SUM(P6:P21) + SUM(P25:P35) + SUM(P39:P44) + SUM(P48:P49) + SUM(P53:P56)</f>
        <v/>
      </c>
      <c r="Q59" s="47" t="inlineStr">
        <is>
          <t>-</t>
        </is>
      </c>
      <c r="R59" s="12" t="n"/>
      <c r="S59" s="12" t="inlineStr">
        <is>
          <t>Total A-Open ended Schemes</t>
        </is>
      </c>
      <c r="T59" s="11">
        <f>SUM(T6:T21) + SUM(T25:T35) + SUM(T39:T44) + SUM(T48:T49) + SUM(T53:T56)</f>
        <v/>
      </c>
      <c r="U59" s="11">
        <f>SUM(U6:U21) + SUM(U25:U35) + SUM(U39:U44) + SUM(U48:U49) + SUM(U53:U56)</f>
        <v/>
      </c>
      <c r="V59" s="11">
        <f>SUM(V6:V21) + SUM(V25:V35) + SUM(V39:V44) + SUM(V48:V49) + SUM(V53:V56)</f>
        <v/>
      </c>
      <c r="W59" s="11">
        <f>SUM(W6:W21) + SUM(W25:W35) + SUM(W39:W44) + SUM(W48:W49) + SUM(W53:W56)</f>
        <v/>
      </c>
      <c r="X59" s="11">
        <f>SUM(X6:X21) + SUM(X25:X35) + SUM(X39:X44) + SUM(X48:X49) + SUM(X53:X56)</f>
        <v/>
      </c>
      <c r="Y59" s="11">
        <f>SUM(Y6:Y21) + SUM(Y25:Y35) + SUM(Y39:Y44) + SUM(Y48:Y49) + SUM(Y53:Y56)</f>
        <v/>
      </c>
      <c r="Z59" s="11">
        <f>SUM(Z6:Z21) + SUM(Z25:Z35) + SUM(Z39:Z44) + SUM(Z48:Z49) + SUM(Z53:Z56)</f>
        <v/>
      </c>
      <c r="AA59" s="11">
        <f>SUM(AA6:AA21) + SUM(AA25:AA35) + SUM(AA39:AA44) + SUM(AA48:AA49) + SUM(AA53:AA56)</f>
        <v/>
      </c>
      <c r="AB59" s="11">
        <f>SUM(AB6:AB21) + SUM(AB25:AB35) + SUM(AB39:AB44) + SUM(AB48:AB49) + SUM(AB53:AB56)</f>
        <v/>
      </c>
      <c r="AC59" s="47" t="inlineStr">
        <is>
          <t>-</t>
        </is>
      </c>
      <c r="AD59" s="12" t="n"/>
      <c r="AE59" s="12" t="inlineStr">
        <is>
          <t>Total A-Open ended Schemes</t>
        </is>
      </c>
      <c r="AF59" s="11">
        <f>SUM(AF6:AF21) + SUM(AF25:AF35) + SUM(AF39:AF44) + SUM(AF48:AF49) + SUM(AF53:AF56)</f>
        <v/>
      </c>
      <c r="AG59" s="11">
        <f>SUM(AG6:AG21) + SUM(AG25:AG35) + SUM(AG39:AG44) + SUM(AG48:AG49) + SUM(AG53:AG56)</f>
        <v/>
      </c>
      <c r="AH59" s="11">
        <f>SUM(AH6:AH21) + SUM(AH25:AH35) + SUM(AH39:AH44) + SUM(AH48:AH49) + SUM(AH53:AH56)</f>
        <v/>
      </c>
      <c r="AI59" s="11">
        <f>SUM(AI6:AI21) + SUM(AI25:AI35) + SUM(AI39:AI44) + SUM(AI48:AI49) + SUM(AI53:AI56)</f>
        <v/>
      </c>
      <c r="AJ59" s="11">
        <f>SUM(AJ6:AJ21) + SUM(AJ25:AJ35) + SUM(AJ39:AJ44) + SUM(AJ48:AJ49) + SUM(AJ53:AJ56)</f>
        <v/>
      </c>
      <c r="AK59" s="11">
        <f>SUM(AK6:AK21) + SUM(AK25:AK35) + SUM(AK39:AK44) + SUM(AK48:AK49) + SUM(AK53:AK56)</f>
        <v/>
      </c>
      <c r="AL59" s="11">
        <f>SUM(AL6:AL21) + SUM(AL25:AL35) + SUM(AL39:AL44) + SUM(AL48:AL49) + SUM(AL53:AL56)</f>
        <v/>
      </c>
      <c r="AM59" s="11">
        <f>SUM(AM6:AM21) + SUM(AM25:AM35) + SUM(AM39:AM44) + SUM(AM48:AM49) + SUM(AM53:AM56)</f>
        <v/>
      </c>
      <c r="AN59" s="11">
        <f>SUM(AN6:AN21) + SUM(AN25:AN35) + SUM(AN39:AN44) + SUM(AN48:AN49) + SUM(AN53:AN56)</f>
        <v/>
      </c>
      <c r="AO59" s="47" t="inlineStr">
        <is>
          <t>-</t>
        </is>
      </c>
      <c r="AP59" s="12" t="n"/>
      <c r="AQ59" s="12" t="inlineStr">
        <is>
          <t>Total A-Open ended Schemes</t>
        </is>
      </c>
      <c r="AR59" s="11">
        <f>SUM(AR6:AR21) + SUM(AR25:AR35) + SUM(AR39:AR44) + SUM(AR48:AR49) + SUM(AR53:AR56)</f>
        <v/>
      </c>
      <c r="AS59" s="11">
        <f>SUM(AS6:AS21) + SUM(AS25:AS35) + SUM(AS39:AS44) + SUM(AS48:AS49) + SUM(AS53:AS56)</f>
        <v/>
      </c>
      <c r="AT59" s="11">
        <f>SUM(AT6:AT21) + SUM(AT25:AT35) + SUM(AT39:AT44) + SUM(AT48:AT49) + SUM(AT53:AT56)</f>
        <v/>
      </c>
      <c r="AU59" s="11">
        <f>SUM(AU6:AU21) + SUM(AU25:AU35) + SUM(AU39:AU44) + SUM(AU48:AU49) + SUM(AU53:AU56)</f>
        <v/>
      </c>
      <c r="AV59" s="11">
        <f>SUM(AV6:AV21) + SUM(AV25:AV35) + SUM(AV39:AV44) + SUM(AV48:AV49) + SUM(AV53:AV56)</f>
        <v/>
      </c>
      <c r="AW59" s="11">
        <f>SUM(AW6:AW21) + SUM(AW25:AW35) + SUM(AW39:AW44) + SUM(AW48:AW49) + SUM(AW53:AW56)</f>
        <v/>
      </c>
      <c r="AX59" s="11">
        <f>SUM(AX6:AX21) + SUM(AX25:AX35) + SUM(AX39:AX44) + SUM(AX48:AX49) + SUM(AX53:AX56)</f>
        <v/>
      </c>
      <c r="AY59" s="11">
        <f>SUM(AY6:AY21) + SUM(AY25:AY35) + SUM(AY39:AY44) + SUM(AY48:AY49) + SUM(AY53:AY56)</f>
        <v/>
      </c>
      <c r="AZ59" s="11">
        <f>SUM(AZ6:AZ21) + SUM(AZ25:AZ35) + SUM(AZ39:AZ44) + SUM(AZ48:AZ49) + SUM(AZ53:AZ56)</f>
        <v/>
      </c>
      <c r="BA59" s="47" t="inlineStr">
        <is>
          <t>-</t>
        </is>
      </c>
      <c r="BB59" s="12" t="n"/>
      <c r="BC59" s="12" t="inlineStr">
        <is>
          <t>Total A-Open ended Schemes</t>
        </is>
      </c>
      <c r="BD59" s="11">
        <f>SUM(BD6:BD21) + SUM(BD25:BD35) + SUM(BD39:BD44) + SUM(BD48:BD49) + SUM(BD53:BD56)</f>
        <v/>
      </c>
      <c r="BE59" s="11">
        <f>SUM(BE6:BE21) + SUM(BE25:BE35) + SUM(BE39:BE44) + SUM(BE48:BE49) + SUM(BE53:BE56)</f>
        <v/>
      </c>
      <c r="BF59" s="11">
        <f>SUM(BF6:BF21) + SUM(BF25:BF35) + SUM(BF39:BF44) + SUM(BF48:BF49) + SUM(BF53:BF56)</f>
        <v/>
      </c>
      <c r="BG59" s="11">
        <f>SUM(BG6:BG21) + SUM(BG25:BG35) + SUM(BG39:BG44) + SUM(BG48:BG49) + SUM(BG53:BG56)</f>
        <v/>
      </c>
      <c r="BH59" s="11">
        <f>SUM(BH6:BH21) + SUM(BH25:BH35) + SUM(BH39:BH44) + SUM(BH48:BH49) + SUM(BH53:BH56)</f>
        <v/>
      </c>
      <c r="BI59" s="11">
        <f>SUM(BI6:BI21) + SUM(BI25:BI35) + SUM(BI39:BI44) + SUM(BI48:BI49) + SUM(BI53:BI56)</f>
        <v/>
      </c>
      <c r="BJ59" s="11">
        <f>SUM(BJ6:BJ21) + SUM(BJ25:BJ35) + SUM(BJ39:BJ44) + SUM(BJ48:BJ49) + SUM(BJ53:BJ56)</f>
        <v/>
      </c>
      <c r="BK59" s="11">
        <f>SUM(BK6:BK21) + SUM(BK25:BK35) + SUM(BK39:BK44) + SUM(BK48:BK49) + SUM(BK53:BK56)</f>
        <v/>
      </c>
      <c r="BL59" s="11">
        <f>SUM(BL6:BL21) + SUM(BL25:BL35) + SUM(BL39:BL44) + SUM(BL48:BL49) + SUM(BL53:BL56)</f>
        <v/>
      </c>
      <c r="BM59" s="47" t="inlineStr">
        <is>
          <t>-</t>
        </is>
      </c>
      <c r="BN59" s="12" t="n"/>
      <c r="BO59" s="12" t="inlineStr">
        <is>
          <t>Total A-Open ended Schemes</t>
        </is>
      </c>
      <c r="BP59" s="11">
        <f>SUM(BP6:BP21) + SUM(BP25:BP35) + SUM(BP39:BP44) + SUM(BP48:BP49) + SUM(BP53:BP56)</f>
        <v/>
      </c>
      <c r="BQ59" s="11">
        <f>SUM(BQ6:BQ21) + SUM(BQ25:BQ35) + SUM(BQ39:BQ44) + SUM(BQ48:BQ49) + SUM(BQ53:BQ56)</f>
        <v/>
      </c>
      <c r="BR59" s="11">
        <f>SUM(BR6:BR21) + SUM(BR25:BR35) + SUM(BR39:BR44) + SUM(BR48:BR49) + SUM(BR53:BR56)</f>
        <v/>
      </c>
      <c r="BS59" s="11">
        <f>SUM(BS6:BS21) + SUM(BS25:BS35) + SUM(BS39:BS44) + SUM(BS48:BS49) + SUM(BS53:BS56)</f>
        <v/>
      </c>
      <c r="BT59" s="11">
        <f>SUM(BT6:BT21) + SUM(BT25:BT35) + SUM(BT39:BT44) + SUM(BT48:BT49) + SUM(BT53:BT56)</f>
        <v/>
      </c>
      <c r="BU59" s="11">
        <f>SUM(BU6:BU21) + SUM(BU25:BU35) + SUM(BU39:BU44) + SUM(BU48:BU49) + SUM(BU53:BU56)</f>
        <v/>
      </c>
      <c r="BV59" s="11">
        <f>SUM(BV6:BV21) + SUM(BV25:BV35) + SUM(BV39:BV44) + SUM(BV48:BV49) + SUM(BV53:BV56)</f>
        <v/>
      </c>
      <c r="BW59" s="11">
        <f>SUM(BW6:BW21) + SUM(BW25:BW35) + SUM(BW39:BW44) + SUM(BW48:BW49) + SUM(BW53:BW56)</f>
        <v/>
      </c>
      <c r="BX59" s="11">
        <f>SUM(BX6:BX21) + SUM(BX25:BX35) + SUM(BX39:BX44) + SUM(BX48:BX49) + SUM(BX53:BX56)</f>
        <v/>
      </c>
      <c r="BY59" s="47" t="inlineStr">
        <is>
          <t>-</t>
        </is>
      </c>
      <c r="BZ59" s="12" t="n"/>
      <c r="CA59" s="12" t="inlineStr">
        <is>
          <t>Total A-Open ended Schemes</t>
        </is>
      </c>
      <c r="CB59" s="11">
        <f>SUM(CB6:CB21) + SUM(CB25:CB35) + SUM(CB39:CB44) + SUM(CB48:CB49) + SUM(CB53:CB56)</f>
        <v/>
      </c>
      <c r="CC59" s="11">
        <f>SUM(CC6:CC21) + SUM(CC25:CC35) + SUM(CC39:CC44) + SUM(CC48:CC49) + SUM(CC53:CC56)</f>
        <v/>
      </c>
      <c r="CD59" s="11">
        <f>SUM(CD6:CD21) + SUM(CD25:CD35) + SUM(CD39:CD44) + SUM(CD48:CD49) + SUM(CD53:CD56)</f>
        <v/>
      </c>
      <c r="CE59" s="11">
        <f>SUM(CE6:CE21) + SUM(CE25:CE35) + SUM(CE39:CE44) + SUM(CE48:CE49) + SUM(CE53:CE56)</f>
        <v/>
      </c>
      <c r="CF59" s="11">
        <f>SUM(CF6:CF21) + SUM(CF25:CF35) + SUM(CF39:CF44) + SUM(CF48:CF49) + SUM(CF53:CF56)</f>
        <v/>
      </c>
      <c r="CG59" s="11">
        <f>SUM(CG6:CG21) + SUM(CG25:CG35) + SUM(CG39:CG44) + SUM(CG48:CG49) + SUM(CG53:CG56)</f>
        <v/>
      </c>
      <c r="CH59" s="11">
        <f>SUM(CH6:CH21) + SUM(CH25:CH35) + SUM(CH39:CH44) + SUM(CH48:CH49) + SUM(CH53:CH56)</f>
        <v/>
      </c>
      <c r="CI59" s="11">
        <f>SUM(CI6:CI21) + SUM(CI25:CI35) + SUM(CI39:CI44) + SUM(CI48:CI49) + SUM(CI53:CI56)</f>
        <v/>
      </c>
      <c r="CJ59" s="11">
        <f>SUM(CJ6:CJ21) + SUM(CJ25:CJ35) + SUM(CJ39:CJ44) + SUM(CJ48:CJ49) + SUM(CJ53:CJ56)</f>
        <v/>
      </c>
      <c r="CK59" s="47" t="inlineStr">
        <is>
          <t>-</t>
        </is>
      </c>
      <c r="CL59" s="12" t="n"/>
      <c r="CM59" s="12" t="inlineStr">
        <is>
          <t>Total A-Open ended Schemes</t>
        </is>
      </c>
      <c r="CN59" s="11">
        <f>SUM(CN6:CN21) + SUM(CN25:CN35) + SUM(CN39:CN44) + SUM(CN48:CN49) + SUM(CN53:CN56)</f>
        <v/>
      </c>
      <c r="CO59" s="11">
        <f>SUM(CO6:CO21) + SUM(CO25:CO35) + SUM(CO39:CO44) + SUM(CO48:CO49) + SUM(CO53:CO56)</f>
        <v/>
      </c>
      <c r="CP59" s="11">
        <f>SUM(CP6:CP21) + SUM(CP25:CP35) + SUM(CP39:CP44) + SUM(CP48:CP49) + SUM(CP53:CP56)</f>
        <v/>
      </c>
      <c r="CQ59" s="11">
        <f>SUM(CQ6:CQ21) + SUM(CQ25:CQ35) + SUM(CQ39:CQ44) + SUM(CQ48:CQ49) + SUM(CQ53:CQ56)</f>
        <v/>
      </c>
      <c r="CR59" s="11">
        <f>SUM(CR6:CR21) + SUM(CR25:CR35) + SUM(CR39:CR44) + SUM(CR48:CR49) + SUM(CR53:CR56)</f>
        <v/>
      </c>
      <c r="CS59" s="11">
        <f>SUM(CS6:CS21) + SUM(CS25:CS35) + SUM(CS39:CS44) + SUM(CS48:CS49) + SUM(CS53:CS56)</f>
        <v/>
      </c>
      <c r="CT59" s="11">
        <f>SUM(CT6:CT21) + SUM(CT25:CT35) + SUM(CT39:CT44) + SUM(CT48:CT49) + SUM(CT53:CT56)</f>
        <v/>
      </c>
      <c r="CU59" s="11">
        <f>SUM(CU6:CU21) + SUM(CU25:CU35) + SUM(CU39:CU44) + SUM(CU48:CU49) + SUM(CU53:CU56)</f>
        <v/>
      </c>
      <c r="CV59" s="11">
        <f>SUM(CV6:CV21) + SUM(CV25:CV35) + SUM(CV39:CV44) + SUM(CV48:CV49) + SUM(CV53:CV56)</f>
        <v/>
      </c>
      <c r="CW59" s="47" t="inlineStr">
        <is>
          <t>-</t>
        </is>
      </c>
      <c r="CX59" s="12" t="n"/>
      <c r="CY59" s="12" t="inlineStr">
        <is>
          <t>Total A-Open ended Schemes</t>
        </is>
      </c>
      <c r="CZ59" s="11">
        <f>SUM(CZ6:CZ21) + SUM(CZ25:CZ35) + SUM(CZ39:CZ44) + SUM(CZ48:CZ49) + SUM(CZ53:CZ56)</f>
        <v/>
      </c>
      <c r="DA59" s="11">
        <f>SUM(DA6:DA21) + SUM(DA25:DA35) + SUM(DA39:DA44) + SUM(DA48:DA49) + SUM(DA53:DA56)</f>
        <v/>
      </c>
      <c r="DB59" s="11">
        <f>SUM(DB6:DB21) + SUM(DB25:DB35) + SUM(DB39:DB44) + SUM(DB48:DB49) + SUM(DB53:DB56)</f>
        <v/>
      </c>
      <c r="DC59" s="11">
        <f>SUM(DC6:DC21) + SUM(DC25:DC35) + SUM(DC39:DC44) + SUM(DC48:DC49) + SUM(DC53:DC56)</f>
        <v/>
      </c>
      <c r="DD59" s="74">
        <f>SUM(DD6:DD21) + SUM(DD25:DD35) + SUM(DD39:DD44) + SUM(DD48:DD49) + SUM(DD53:DD56)</f>
        <v/>
      </c>
      <c r="DE59" s="108">
        <f>SUM(DE6:DE21) + SUM(DE25:DE35) + SUM(DE39:DE44) + SUM(DE48:DE49) + SUM(DE53:DE56)</f>
        <v/>
      </c>
      <c r="DF59" s="11">
        <f>SUM(DF6:DF21) + SUM(DF25:DF35) + SUM(DF39:DF44) + SUM(DF48:DF49) + SUM(DF53:DF56)</f>
        <v/>
      </c>
      <c r="DG59" s="11">
        <f>SUM(DG6:DG21) + SUM(DG25:DG35) + SUM(DG39:DG44) + SUM(DG48:DG49) + SUM(DG53:DG56)</f>
        <v/>
      </c>
      <c r="DH59" s="11">
        <f>SUM(DH6:DH21) + SUM(DH25:DH35) + SUM(DH39:DH44) + SUM(DH48:DH49) + SUM(DH53:DH56)</f>
        <v/>
      </c>
      <c r="DI59" s="47" t="inlineStr">
        <is>
          <t>-</t>
        </is>
      </c>
      <c r="DJ59" s="632" t="n"/>
      <c r="DK59" s="632" t="inlineStr">
        <is>
          <t>Total A-Open ended Schemes</t>
        </is>
      </c>
      <c r="DL59" s="11">
        <f>SUM(DL6:DL21) + SUM(DL25:DL35) + SUM(DL39:DL44) + SUM(DL48:DL49) + SUM(DL53:DL56)</f>
        <v/>
      </c>
      <c r="DM59" s="11">
        <f>SUM(DM6:DM21) + SUM(DM25:DM35) + SUM(DM39:DM44) + SUM(DM48:DM49) + SUM(DM53:DM56)</f>
        <v/>
      </c>
      <c r="DN59" s="11">
        <f>SUM(DN6:DN21) + SUM(DN25:DN35) + SUM(DN39:DN44) + SUM(DN48:DN49) + SUM(DN53:DN56)</f>
        <v/>
      </c>
      <c r="DO59" s="11">
        <f>SUM(DO6:DO21) + SUM(DO25:DO35) + SUM(DO39:DO44) + SUM(DO48:DO49) + SUM(DO53:DO56)</f>
        <v/>
      </c>
      <c r="DP59" s="74">
        <f>SUM(DP6:DP21) + SUM(DP25:DP35) + SUM(DP39:DP44) + SUM(DP48:DP49) + SUM(DP53:DP56)</f>
        <v/>
      </c>
      <c r="DQ59" s="108">
        <f>SUM(DQ6:DQ21) + SUM(DQ25:DQ35) + SUM(DQ39:DQ44) + SUM(DQ48:DQ49) + SUM(DQ53:DQ56)</f>
        <v/>
      </c>
      <c r="DR59" s="11">
        <f>SUM(DR6:DR21) + SUM(DR25:DR35) + SUM(DR39:DR44) + SUM(DR48:DR49) + SUM(DR53:DR56)</f>
        <v/>
      </c>
      <c r="DS59" s="11">
        <f>SUM(DS6:DS21) + SUM(DS25:DS35) + SUM(DS39:DS44) + SUM(DS48:DS49) + SUM(DS53:DS56)</f>
        <v/>
      </c>
      <c r="DT59" s="11">
        <f>SUM(DT6:DT21) + SUM(DT25:DT35) + SUM(DT39:DT44) + SUM(DT48:DT49) + SUM(DT53:DT56)</f>
        <v/>
      </c>
      <c r="DU59" s="47" t="inlineStr">
        <is>
          <t>-</t>
        </is>
      </c>
      <c r="DV59" s="127" t="n"/>
      <c r="DW59" s="128" t="n"/>
      <c r="DX59" s="47" t="inlineStr">
        <is>
          <t>-</t>
        </is>
      </c>
      <c r="DY59" s="127">
        <f>(DN59-DB59)/DB59</f>
        <v/>
      </c>
      <c r="DZ59" s="128">
        <f>(DP59-DD59)/DD59</f>
        <v/>
      </c>
      <c r="EA59" s="129">
        <f>(DR59-DF59)/DF59</f>
        <v/>
      </c>
    </row>
    <row r="60">
      <c r="A60" s="504" t="n"/>
      <c r="B60" s="7" t="n"/>
      <c r="C60" s="628" t="n"/>
      <c r="D60" s="628" t="n"/>
      <c r="E60" s="47" t="inlineStr">
        <is>
          <t>-</t>
        </is>
      </c>
      <c r="F60" s="504" t="n"/>
      <c r="G60" s="7" t="n"/>
      <c r="H60" s="53" t="n"/>
      <c r="I60" s="53" t="n"/>
      <c r="J60" s="628" t="n"/>
      <c r="K60" s="628" t="n"/>
      <c r="L60" s="628" t="n"/>
      <c r="M60" s="628" t="n"/>
      <c r="N60" s="628" t="n"/>
      <c r="O60" s="53" t="n"/>
      <c r="P60" s="628" t="n"/>
      <c r="Q60" s="47" t="inlineStr">
        <is>
          <t>-</t>
        </is>
      </c>
      <c r="R60" s="504" t="n"/>
      <c r="S60" s="7" t="n"/>
      <c r="T60" s="53" t="n"/>
      <c r="U60" s="53" t="n"/>
      <c r="V60" s="628" t="n"/>
      <c r="W60" s="628" t="n"/>
      <c r="X60" s="628" t="n"/>
      <c r="Y60" s="628" t="n"/>
      <c r="Z60" s="628" t="n"/>
      <c r="AA60" s="53" t="n"/>
      <c r="AB60" s="628" t="n"/>
      <c r="AC60" s="47" t="inlineStr">
        <is>
          <t>-</t>
        </is>
      </c>
      <c r="AD60" s="504" t="n"/>
      <c r="AE60" s="7" t="n"/>
      <c r="AF60" s="53" t="n"/>
      <c r="AG60" s="53" t="n"/>
      <c r="AH60" s="628" t="n"/>
      <c r="AI60" s="628" t="n"/>
      <c r="AJ60" s="628" t="n"/>
      <c r="AK60" s="628" t="n"/>
      <c r="AL60" s="628" t="n"/>
      <c r="AM60" s="53" t="n"/>
      <c r="AN60" s="628" t="n"/>
      <c r="AO60" s="47" t="inlineStr">
        <is>
          <t>-</t>
        </is>
      </c>
      <c r="AP60" s="504" t="n"/>
      <c r="AQ60" s="7" t="n"/>
      <c r="AR60" s="53" t="n"/>
      <c r="AS60" s="53" t="n"/>
      <c r="AT60" s="628" t="n"/>
      <c r="AU60" s="628" t="n"/>
      <c r="AV60" s="628" t="n"/>
      <c r="AW60" s="628" t="n"/>
      <c r="AX60" s="628" t="n"/>
      <c r="AY60" s="53" t="n"/>
      <c r="AZ60" s="628" t="n"/>
      <c r="BA60" s="47" t="inlineStr">
        <is>
          <t>-</t>
        </is>
      </c>
      <c r="BB60" s="504" t="n"/>
      <c r="BC60" s="7" t="n"/>
      <c r="BD60" s="53" t="n"/>
      <c r="BE60" s="53" t="n"/>
      <c r="BF60" s="628" t="n"/>
      <c r="BG60" s="628" t="n"/>
      <c r="BH60" s="628" t="n"/>
      <c r="BI60" s="628" t="n"/>
      <c r="BJ60" s="628" t="n"/>
      <c r="BK60" s="53" t="n"/>
      <c r="BL60" s="628" t="n"/>
      <c r="BM60" s="47" t="inlineStr">
        <is>
          <t>-</t>
        </is>
      </c>
      <c r="BN60" s="55" t="n"/>
      <c r="BO60" s="7" t="n"/>
      <c r="BP60" s="53" t="n"/>
      <c r="BQ60" s="53" t="n"/>
      <c r="BR60" s="628" t="n"/>
      <c r="BS60" s="628" t="n"/>
      <c r="BT60" s="628" t="n"/>
      <c r="BU60" s="628" t="n"/>
      <c r="BV60" s="628" t="n"/>
      <c r="BW60" s="56" t="n"/>
      <c r="BX60" s="629" t="n"/>
      <c r="BY60" s="47" t="inlineStr">
        <is>
          <t>-</t>
        </is>
      </c>
      <c r="BZ60" s="55" t="n"/>
      <c r="CA60" s="7" t="n"/>
      <c r="CB60" s="53" t="n"/>
      <c r="CC60" s="53" t="n"/>
      <c r="CD60" s="628" t="n"/>
      <c r="CE60" s="628" t="n"/>
      <c r="CF60" s="628" t="n"/>
      <c r="CG60" s="628" t="n"/>
      <c r="CH60" s="628" t="n"/>
      <c r="CI60" s="56" t="n"/>
      <c r="CJ60" s="629" t="n"/>
      <c r="CK60" s="47" t="inlineStr">
        <is>
          <t>-</t>
        </is>
      </c>
      <c r="CL60" s="504" t="n"/>
      <c r="CM60" s="7" t="n"/>
      <c r="CN60" s="53" t="n"/>
      <c r="CO60" s="53" t="n"/>
      <c r="CP60" s="628" t="n"/>
      <c r="CQ60" s="628" t="n"/>
      <c r="CR60" s="628" t="n"/>
      <c r="CS60" s="628" t="n"/>
      <c r="CT60" s="628" t="n"/>
      <c r="CU60" s="56" t="n"/>
      <c r="CV60" s="628" t="n"/>
      <c r="CW60" s="47" t="inlineStr">
        <is>
          <t>-</t>
        </is>
      </c>
      <c r="CX60" s="504" t="n"/>
      <c r="CY60" s="7" t="n"/>
      <c r="CZ60" s="53" t="n"/>
      <c r="DA60" s="53" t="n"/>
      <c r="DB60" s="628" t="n"/>
      <c r="DC60" s="628" t="n"/>
      <c r="DD60" s="628" t="n"/>
      <c r="DE60" s="628" t="n"/>
      <c r="DF60" s="628" t="n"/>
      <c r="DG60" s="53" t="n"/>
      <c r="DH60" s="628" t="n"/>
      <c r="DI60" s="2" t="inlineStr">
        <is>
          <t>-</t>
        </is>
      </c>
      <c r="DJ60" s="616" t="n"/>
      <c r="DK60" s="630" t="n"/>
      <c r="DL60" s="79" t="n"/>
      <c r="DM60" s="79" t="n"/>
      <c r="DN60" s="616" t="n"/>
      <c r="DO60" s="616" t="n"/>
      <c r="DP60" s="616" t="n"/>
      <c r="DQ60" s="616" t="n"/>
      <c r="DR60" s="616" t="n"/>
      <c r="DS60" s="79" t="n"/>
      <c r="DT60" s="616" t="n"/>
      <c r="DU60" s="2" t="inlineStr">
        <is>
          <t>-</t>
        </is>
      </c>
      <c r="DV60" s="103" t="n"/>
      <c r="DW60" s="103" t="n"/>
      <c r="DX60" s="2" t="inlineStr">
        <is>
          <t>-</t>
        </is>
      </c>
      <c r="DY60" s="103" t="inlineStr">
        <is>
          <t>-</t>
        </is>
      </c>
      <c r="DZ60" s="103" t="inlineStr">
        <is>
          <t>-</t>
        </is>
      </c>
      <c r="EA60" s="103" t="inlineStr">
        <is>
          <t>-</t>
        </is>
      </c>
    </row>
    <row r="61">
      <c r="A61" s="503" t="inlineStr">
        <is>
          <t>B</t>
        </is>
      </c>
      <c r="B61" s="20" t="inlineStr">
        <is>
          <t>Close Ended Schemes</t>
        </is>
      </c>
      <c r="C61" s="628" t="n"/>
      <c r="D61" s="628" t="n"/>
      <c r="E61" s="47" t="inlineStr">
        <is>
          <t>-</t>
        </is>
      </c>
      <c r="F61" s="503" t="inlineStr">
        <is>
          <t>B</t>
        </is>
      </c>
      <c r="G61" s="20" t="inlineStr">
        <is>
          <t>Close Ended Schemes</t>
        </is>
      </c>
      <c r="H61" s="53" t="n"/>
      <c r="I61" s="53" t="n"/>
      <c r="J61" s="628" t="n"/>
      <c r="K61" s="628" t="n"/>
      <c r="L61" s="628" t="n"/>
      <c r="M61" s="628" t="n"/>
      <c r="N61" s="628" t="n"/>
      <c r="O61" s="53" t="n"/>
      <c r="P61" s="628" t="n"/>
      <c r="Q61" s="47" t="inlineStr">
        <is>
          <t>-</t>
        </is>
      </c>
      <c r="R61" s="503" t="inlineStr">
        <is>
          <t>B</t>
        </is>
      </c>
      <c r="S61" s="20" t="inlineStr">
        <is>
          <t>Close Ended Schemes</t>
        </is>
      </c>
      <c r="T61" s="53" t="n"/>
      <c r="U61" s="53" t="n"/>
      <c r="V61" s="628" t="n"/>
      <c r="W61" s="628" t="n"/>
      <c r="X61" s="628" t="n"/>
      <c r="Y61" s="628" t="n"/>
      <c r="Z61" s="628" t="n"/>
      <c r="AA61" s="53" t="n"/>
      <c r="AB61" s="628" t="n"/>
      <c r="AC61" s="47" t="inlineStr">
        <is>
          <t>-</t>
        </is>
      </c>
      <c r="AD61" s="503" t="inlineStr">
        <is>
          <t>B</t>
        </is>
      </c>
      <c r="AE61" s="20" t="inlineStr">
        <is>
          <t>Close Ended Schemes</t>
        </is>
      </c>
      <c r="AF61" s="53" t="n"/>
      <c r="AG61" s="53" t="n"/>
      <c r="AH61" s="628" t="n"/>
      <c r="AI61" s="628" t="n"/>
      <c r="AJ61" s="628" t="n"/>
      <c r="AK61" s="628" t="n"/>
      <c r="AL61" s="628" t="n"/>
      <c r="AM61" s="53" t="n"/>
      <c r="AN61" s="628" t="n"/>
      <c r="AO61" s="47" t="inlineStr">
        <is>
          <t>-</t>
        </is>
      </c>
      <c r="AP61" s="503" t="inlineStr">
        <is>
          <t>B</t>
        </is>
      </c>
      <c r="AQ61" s="20" t="inlineStr">
        <is>
          <t>Close Ended Schemes</t>
        </is>
      </c>
      <c r="AR61" s="53" t="n"/>
      <c r="AS61" s="53" t="n"/>
      <c r="AT61" s="628" t="n"/>
      <c r="AU61" s="628" t="n"/>
      <c r="AV61" s="628" t="n"/>
      <c r="AW61" s="628" t="n"/>
      <c r="AX61" s="628" t="n"/>
      <c r="AY61" s="53" t="n"/>
      <c r="AZ61" s="628" t="n"/>
      <c r="BA61" s="47" t="inlineStr">
        <is>
          <t>-</t>
        </is>
      </c>
      <c r="BB61" s="503" t="inlineStr">
        <is>
          <t>B</t>
        </is>
      </c>
      <c r="BC61" s="20" t="inlineStr">
        <is>
          <t>Close Ended Schemes</t>
        </is>
      </c>
      <c r="BD61" s="53" t="n"/>
      <c r="BE61" s="53" t="n"/>
      <c r="BF61" s="628" t="n"/>
      <c r="BG61" s="628" t="n"/>
      <c r="BH61" s="628" t="n"/>
      <c r="BI61" s="628" t="n"/>
      <c r="BJ61" s="628" t="n"/>
      <c r="BK61" s="53" t="n"/>
      <c r="BL61" s="628" t="n"/>
      <c r="BM61" s="47" t="inlineStr">
        <is>
          <t>-</t>
        </is>
      </c>
      <c r="BN61" s="514" t="inlineStr">
        <is>
          <t>B</t>
        </is>
      </c>
      <c r="BO61" s="20" t="inlineStr">
        <is>
          <t>Close Ended Schemes</t>
        </is>
      </c>
      <c r="BP61" s="53" t="n"/>
      <c r="BQ61" s="53" t="n"/>
      <c r="BR61" s="628" t="n"/>
      <c r="BS61" s="628" t="n"/>
      <c r="BT61" s="628" t="n"/>
      <c r="BU61" s="628" t="n"/>
      <c r="BV61" s="628" t="n"/>
      <c r="BW61" s="56" t="n"/>
      <c r="BX61" s="629" t="n"/>
      <c r="BY61" s="47" t="inlineStr">
        <is>
          <t>-</t>
        </is>
      </c>
      <c r="BZ61" s="514" t="inlineStr">
        <is>
          <t>B</t>
        </is>
      </c>
      <c r="CA61" s="20" t="inlineStr">
        <is>
          <t>Close Ended Schemes</t>
        </is>
      </c>
      <c r="CB61" s="53" t="n"/>
      <c r="CC61" s="53" t="n"/>
      <c r="CD61" s="628" t="n"/>
      <c r="CE61" s="628" t="n"/>
      <c r="CF61" s="628" t="n"/>
      <c r="CG61" s="628" t="n"/>
      <c r="CH61" s="628" t="n"/>
      <c r="CI61" s="56" t="n"/>
      <c r="CJ61" s="629" t="n"/>
      <c r="CK61" s="47" t="inlineStr">
        <is>
          <t>-</t>
        </is>
      </c>
      <c r="CL61" s="503" t="inlineStr">
        <is>
          <t>B</t>
        </is>
      </c>
      <c r="CM61" s="20" t="inlineStr">
        <is>
          <t>Close Ended Schemes</t>
        </is>
      </c>
      <c r="CN61" s="53" t="n"/>
      <c r="CO61" s="53" t="n"/>
      <c r="CP61" s="628" t="n"/>
      <c r="CQ61" s="628" t="n"/>
      <c r="CR61" s="628" t="n"/>
      <c r="CS61" s="628" t="n"/>
      <c r="CT61" s="628" t="n"/>
      <c r="CU61" s="56" t="n"/>
      <c r="CV61" s="628" t="n"/>
      <c r="CW61" s="47" t="inlineStr">
        <is>
          <t>-</t>
        </is>
      </c>
      <c r="CX61" s="503" t="inlineStr">
        <is>
          <t>B</t>
        </is>
      </c>
      <c r="CY61" s="20" t="inlineStr">
        <is>
          <t>Close Ended Schemes</t>
        </is>
      </c>
      <c r="CZ61" s="53" t="n"/>
      <c r="DA61" s="53" t="n"/>
      <c r="DB61" s="628" t="n"/>
      <c r="DC61" s="628" t="n"/>
      <c r="DD61" s="628" t="n"/>
      <c r="DE61" s="628" t="n"/>
      <c r="DF61" s="628" t="n"/>
      <c r="DG61" s="53" t="n"/>
      <c r="DH61" s="628" t="n"/>
      <c r="DI61" s="2" t="inlineStr">
        <is>
          <t>-</t>
        </is>
      </c>
      <c r="DJ61" s="612" t="inlineStr">
        <is>
          <t>B</t>
        </is>
      </c>
      <c r="DK61" s="615" t="inlineStr">
        <is>
          <t>Close Ended Schemes</t>
        </is>
      </c>
      <c r="DL61" s="79" t="n"/>
      <c r="DM61" s="79" t="n"/>
      <c r="DN61" s="616" t="n"/>
      <c r="DO61" s="616" t="n"/>
      <c r="DP61" s="616" t="n"/>
      <c r="DQ61" s="616" t="n"/>
      <c r="DR61" s="616" t="n"/>
      <c r="DS61" s="79" t="n"/>
      <c r="DT61" s="616" t="n"/>
      <c r="DU61" s="2" t="inlineStr">
        <is>
          <t>-</t>
        </is>
      </c>
      <c r="DV61" s="103" t="n"/>
      <c r="DW61" s="103" t="n"/>
      <c r="DX61" s="2" t="inlineStr">
        <is>
          <t>-</t>
        </is>
      </c>
      <c r="DY61" s="103" t="inlineStr">
        <is>
          <t>-</t>
        </is>
      </c>
      <c r="DZ61" s="103" t="inlineStr">
        <is>
          <t>-</t>
        </is>
      </c>
      <c r="EA61" s="103" t="inlineStr">
        <is>
          <t>-</t>
        </is>
      </c>
    </row>
    <row r="62">
      <c r="A62" s="503" t="inlineStr">
        <is>
          <t>I</t>
        </is>
      </c>
      <c r="B62" s="20" t="inlineStr">
        <is>
          <t>Income/Debt Oriented Schemes</t>
        </is>
      </c>
      <c r="C62" s="628" t="n"/>
      <c r="D62" s="628" t="n"/>
      <c r="E62" s="47" t="inlineStr">
        <is>
          <t>-</t>
        </is>
      </c>
      <c r="F62" s="503" t="inlineStr">
        <is>
          <t>I</t>
        </is>
      </c>
      <c r="G62" s="20" t="inlineStr">
        <is>
          <t>Income/Debt Oriented Schemes</t>
        </is>
      </c>
      <c r="H62" s="53" t="n"/>
      <c r="I62" s="53" t="n"/>
      <c r="J62" s="628" t="n"/>
      <c r="K62" s="628" t="n"/>
      <c r="L62" s="628" t="n"/>
      <c r="M62" s="628" t="n"/>
      <c r="N62" s="628" t="n"/>
      <c r="O62" s="53" t="n"/>
      <c r="P62" s="628" t="n"/>
      <c r="Q62" s="47" t="inlineStr">
        <is>
          <t>-</t>
        </is>
      </c>
      <c r="R62" s="503" t="inlineStr">
        <is>
          <t>I</t>
        </is>
      </c>
      <c r="S62" s="20" t="inlineStr">
        <is>
          <t>Income/Debt Oriented Schemes</t>
        </is>
      </c>
      <c r="T62" s="53" t="n"/>
      <c r="U62" s="53" t="n"/>
      <c r="V62" s="628" t="n"/>
      <c r="W62" s="628" t="n"/>
      <c r="X62" s="628" t="n"/>
      <c r="Y62" s="628" t="n"/>
      <c r="Z62" s="628" t="n"/>
      <c r="AA62" s="53" t="n"/>
      <c r="AB62" s="628" t="n"/>
      <c r="AC62" s="47" t="inlineStr">
        <is>
          <t>-</t>
        </is>
      </c>
      <c r="AD62" s="503" t="inlineStr">
        <is>
          <t>I</t>
        </is>
      </c>
      <c r="AE62" s="20" t="inlineStr">
        <is>
          <t>Income/Debt Oriented Schemes</t>
        </is>
      </c>
      <c r="AF62" s="53" t="n"/>
      <c r="AG62" s="53" t="n"/>
      <c r="AH62" s="628" t="n"/>
      <c r="AI62" s="628" t="n"/>
      <c r="AJ62" s="628" t="n"/>
      <c r="AK62" s="628" t="n"/>
      <c r="AL62" s="628" t="n"/>
      <c r="AM62" s="53" t="n"/>
      <c r="AN62" s="628" t="n"/>
      <c r="AO62" s="47" t="inlineStr">
        <is>
          <t>-</t>
        </is>
      </c>
      <c r="AP62" s="503" t="inlineStr">
        <is>
          <t>I</t>
        </is>
      </c>
      <c r="AQ62" s="20" t="inlineStr">
        <is>
          <t>Income/Debt Oriented Schemes</t>
        </is>
      </c>
      <c r="AR62" s="53" t="n"/>
      <c r="AS62" s="53" t="n"/>
      <c r="AT62" s="628" t="n"/>
      <c r="AU62" s="628" t="n"/>
      <c r="AV62" s="628" t="n"/>
      <c r="AW62" s="628" t="n"/>
      <c r="AX62" s="628" t="n"/>
      <c r="AY62" s="53" t="n"/>
      <c r="AZ62" s="628" t="n"/>
      <c r="BA62" s="47" t="inlineStr">
        <is>
          <t>-</t>
        </is>
      </c>
      <c r="BB62" s="503" t="inlineStr">
        <is>
          <t>I</t>
        </is>
      </c>
      <c r="BC62" s="20" t="inlineStr">
        <is>
          <t>Income/Debt Oriented Schemes</t>
        </is>
      </c>
      <c r="BD62" s="53" t="n"/>
      <c r="BE62" s="53" t="n"/>
      <c r="BF62" s="628" t="n"/>
      <c r="BG62" s="628" t="n"/>
      <c r="BH62" s="628" t="n"/>
      <c r="BI62" s="628" t="n"/>
      <c r="BJ62" s="628" t="n"/>
      <c r="BK62" s="53" t="n"/>
      <c r="BL62" s="628" t="n"/>
      <c r="BM62" s="47" t="inlineStr">
        <is>
          <t>-</t>
        </is>
      </c>
      <c r="BN62" s="514" t="inlineStr">
        <is>
          <t>I</t>
        </is>
      </c>
      <c r="BO62" s="20" t="inlineStr">
        <is>
          <t>Income/Debt Oriented Schemes</t>
        </is>
      </c>
      <c r="BP62" s="53" t="n"/>
      <c r="BQ62" s="53" t="n"/>
      <c r="BR62" s="628" t="n"/>
      <c r="BS62" s="628" t="n"/>
      <c r="BT62" s="628" t="n"/>
      <c r="BU62" s="628" t="n"/>
      <c r="BV62" s="628" t="n"/>
      <c r="BW62" s="56" t="n"/>
      <c r="BX62" s="629" t="n"/>
      <c r="BY62" s="47" t="inlineStr">
        <is>
          <t>-</t>
        </is>
      </c>
      <c r="BZ62" s="514" t="inlineStr">
        <is>
          <t>I</t>
        </is>
      </c>
      <c r="CA62" s="20" t="inlineStr">
        <is>
          <t>Income/Debt Oriented Schemes</t>
        </is>
      </c>
      <c r="CB62" s="53" t="n"/>
      <c r="CC62" s="53" t="n"/>
      <c r="CD62" s="628" t="n"/>
      <c r="CE62" s="628" t="n"/>
      <c r="CF62" s="628" t="n"/>
      <c r="CG62" s="628" t="n"/>
      <c r="CH62" s="628" t="n"/>
      <c r="CI62" s="56" t="n"/>
      <c r="CJ62" s="629" t="n"/>
      <c r="CK62" s="47" t="inlineStr">
        <is>
          <t>-</t>
        </is>
      </c>
      <c r="CL62" s="503" t="inlineStr">
        <is>
          <t>I</t>
        </is>
      </c>
      <c r="CM62" s="20" t="inlineStr">
        <is>
          <t>Income/Debt Oriented Schemes</t>
        </is>
      </c>
      <c r="CN62" s="53" t="n"/>
      <c r="CO62" s="53" t="n"/>
      <c r="CP62" s="628" t="n"/>
      <c r="CQ62" s="628" t="n"/>
      <c r="CR62" s="628" t="n"/>
      <c r="CS62" s="628" t="n"/>
      <c r="CT62" s="628" t="n"/>
      <c r="CU62" s="56" t="n"/>
      <c r="CV62" s="628" t="n"/>
      <c r="CW62" s="47" t="inlineStr">
        <is>
          <t>-</t>
        </is>
      </c>
      <c r="CX62" s="503" t="inlineStr">
        <is>
          <t>I</t>
        </is>
      </c>
      <c r="CY62" s="20" t="inlineStr">
        <is>
          <t>Income/Debt Oriented Schemes</t>
        </is>
      </c>
      <c r="CZ62" s="53" t="n"/>
      <c r="DA62" s="53" t="n"/>
      <c r="DB62" s="628" t="n"/>
      <c r="DC62" s="628" t="n"/>
      <c r="DD62" s="628" t="n"/>
      <c r="DE62" s="628" t="n"/>
      <c r="DF62" s="628" t="n"/>
      <c r="DG62" s="53" t="n"/>
      <c r="DH62" s="628" t="n"/>
      <c r="DI62" s="2" t="inlineStr">
        <is>
          <t>-</t>
        </is>
      </c>
      <c r="DJ62" s="612" t="inlineStr">
        <is>
          <t>I</t>
        </is>
      </c>
      <c r="DK62" s="615" t="inlineStr">
        <is>
          <t>Income/Debt Oriented Schemes</t>
        </is>
      </c>
      <c r="DL62" s="79" t="n"/>
      <c r="DM62" s="79" t="n"/>
      <c r="DN62" s="616" t="n"/>
      <c r="DO62" s="616" t="n"/>
      <c r="DP62" s="616" t="n"/>
      <c r="DQ62" s="616" t="n"/>
      <c r="DR62" s="616" t="n"/>
      <c r="DS62" s="79" t="n"/>
      <c r="DT62" s="616" t="n"/>
      <c r="DU62" s="2" t="inlineStr">
        <is>
          <t>-</t>
        </is>
      </c>
      <c r="DV62" s="103" t="n"/>
      <c r="DW62" s="103" t="n"/>
      <c r="DX62" s="2" t="inlineStr">
        <is>
          <t>-</t>
        </is>
      </c>
      <c r="DY62" s="103" t="inlineStr">
        <is>
          <t>-</t>
        </is>
      </c>
      <c r="DZ62" s="103" t="inlineStr">
        <is>
          <t>-</t>
        </is>
      </c>
      <c r="EA62" s="103" t="inlineStr">
        <is>
          <t>-</t>
        </is>
      </c>
    </row>
    <row r="63">
      <c r="A63" s="16" t="inlineStr">
        <is>
          <t>i</t>
        </is>
      </c>
      <c r="B63" s="15" t="inlineStr">
        <is>
          <t>Fixed Term Plan</t>
        </is>
      </c>
      <c r="C63" s="617" t="n">
        <v>16140.37329064</v>
      </c>
      <c r="D63" s="617" t="n">
        <v>16106.76218351</v>
      </c>
      <c r="E63" s="47" t="inlineStr">
        <is>
          <t>-</t>
        </is>
      </c>
      <c r="F63" s="16" t="inlineStr">
        <is>
          <t>i</t>
        </is>
      </c>
      <c r="G63" s="15" t="inlineStr">
        <is>
          <t>Fixed Term Plan</t>
        </is>
      </c>
      <c r="H63" s="14" t="n">
        <v>78</v>
      </c>
      <c r="I63" s="14" t="n">
        <v>63022</v>
      </c>
      <c r="J63" s="617" t="n">
        <v>0</v>
      </c>
      <c r="K63" s="617" t="n">
        <v>1202.704369</v>
      </c>
      <c r="L63" s="617" t="n">
        <v>-1202.704369</v>
      </c>
      <c r="M63" s="617" t="n">
        <v>15106.62355983</v>
      </c>
      <c r="N63" s="617" t="n">
        <v>16201.64908557</v>
      </c>
      <c r="O63" s="14" t="n">
        <v>0</v>
      </c>
      <c r="P63" s="617" t="n">
        <v>0</v>
      </c>
      <c r="Q63" s="47" t="inlineStr">
        <is>
          <t>-</t>
        </is>
      </c>
      <c r="R63" s="16" t="inlineStr">
        <is>
          <t>i</t>
        </is>
      </c>
      <c r="S63" s="15" t="inlineStr">
        <is>
          <t>Fixed Term Plan</t>
        </is>
      </c>
      <c r="T63" s="14" t="n">
        <v>76</v>
      </c>
      <c r="U63" s="14" t="n">
        <v>62288</v>
      </c>
      <c r="V63" s="617" t="n">
        <v>0</v>
      </c>
      <c r="W63" s="617" t="n">
        <v>104.25378585</v>
      </c>
      <c r="X63" s="617" t="n">
        <v>-104.25378585</v>
      </c>
      <c r="Y63" s="617" t="n">
        <v>15121.30341179</v>
      </c>
      <c r="Z63" s="617" t="n">
        <v>15111.5594686</v>
      </c>
      <c r="AA63" s="14" t="n">
        <v>0</v>
      </c>
      <c r="AB63" s="617" t="n">
        <v>0</v>
      </c>
      <c r="AC63" s="47" t="inlineStr">
        <is>
          <t>-</t>
        </is>
      </c>
      <c r="AD63" s="16" t="inlineStr">
        <is>
          <t>i</t>
        </is>
      </c>
      <c r="AE63" s="15" t="inlineStr">
        <is>
          <t>Fixed Term Plan</t>
        </is>
      </c>
      <c r="AF63" s="14" t="n">
        <v>75</v>
      </c>
      <c r="AG63" s="14" t="n">
        <v>61624</v>
      </c>
      <c r="AH63" s="617" t="n">
        <v>0</v>
      </c>
      <c r="AI63" s="617" t="n">
        <v>144.798206</v>
      </c>
      <c r="AJ63" s="617" t="n">
        <v>-144.798206</v>
      </c>
      <c r="AK63" s="617" t="n">
        <v>15041.58406521</v>
      </c>
      <c r="AL63" s="617" t="n">
        <v>15133.0990062</v>
      </c>
      <c r="AM63" s="14" t="n">
        <v>0</v>
      </c>
      <c r="AN63" s="617" t="n">
        <v>0</v>
      </c>
      <c r="AO63" s="47" t="inlineStr">
        <is>
          <t>-</t>
        </is>
      </c>
      <c r="AP63" s="16" t="inlineStr">
        <is>
          <t>i</t>
        </is>
      </c>
      <c r="AQ63" s="15" t="inlineStr">
        <is>
          <t>Fixed Term Plan</t>
        </is>
      </c>
      <c r="AR63" s="14" t="n">
        <v>74</v>
      </c>
      <c r="AS63" s="14" t="n">
        <v>60773</v>
      </c>
      <c r="AT63" s="617" t="n">
        <v>0</v>
      </c>
      <c r="AU63" s="617" t="n">
        <v>48.2080230000001</v>
      </c>
      <c r="AV63" s="617" t="n">
        <v>-48.2080230000001</v>
      </c>
      <c r="AW63" s="617" t="n">
        <v>15072.44758955</v>
      </c>
      <c r="AX63" s="617" t="n">
        <v>15083.25573596</v>
      </c>
      <c r="AY63" s="14" t="n">
        <v>0</v>
      </c>
      <c r="AZ63" s="617" t="n">
        <v>0</v>
      </c>
      <c r="BA63" s="47" t="inlineStr">
        <is>
          <t>-</t>
        </is>
      </c>
      <c r="BB63" s="16" t="inlineStr">
        <is>
          <t>i</t>
        </is>
      </c>
      <c r="BC63" s="15" t="inlineStr">
        <is>
          <t>Fixed Term Plan</t>
        </is>
      </c>
      <c r="BD63" s="14" t="n">
        <v>74</v>
      </c>
      <c r="BE63" s="14" t="n">
        <v>60773</v>
      </c>
      <c r="BF63" s="617" t="n">
        <v>0</v>
      </c>
      <c r="BG63" s="617" t="n">
        <v>0</v>
      </c>
      <c r="BH63" s="617" t="n">
        <v>0</v>
      </c>
      <c r="BI63" s="617" t="n">
        <v>15106.0091603</v>
      </c>
      <c r="BJ63" s="617" t="n">
        <v>15091.77577616</v>
      </c>
      <c r="BK63" s="14" t="n">
        <v>0</v>
      </c>
      <c r="BL63" s="617" t="n">
        <v>0</v>
      </c>
      <c r="BM63" s="47" t="inlineStr">
        <is>
          <t>-</t>
        </is>
      </c>
      <c r="BN63" s="19" t="inlineStr">
        <is>
          <t>i</t>
        </is>
      </c>
      <c r="BO63" s="15" t="inlineStr">
        <is>
          <t>Fixed Term Plan</t>
        </is>
      </c>
      <c r="BP63" s="14" t="n">
        <v>72</v>
      </c>
      <c r="BQ63" s="14" t="n">
        <v>59389</v>
      </c>
      <c r="BR63" s="617" t="n">
        <v>0</v>
      </c>
      <c r="BS63" s="617" t="n">
        <v>268.76725788</v>
      </c>
      <c r="BT63" s="617" t="n">
        <v>-268.76725788</v>
      </c>
      <c r="BU63" s="617" t="n">
        <v>14896.98330538</v>
      </c>
      <c r="BV63" s="617" t="n">
        <v>15113.74046619</v>
      </c>
      <c r="BW63" s="17" t="n">
        <v>0</v>
      </c>
      <c r="BX63" s="618" t="n">
        <v>0</v>
      </c>
      <c r="BY63" s="47" t="inlineStr">
        <is>
          <t>-</t>
        </is>
      </c>
      <c r="BZ63" s="19" t="inlineStr">
        <is>
          <t>i</t>
        </is>
      </c>
      <c r="CA63" s="15" t="inlineStr">
        <is>
          <t>Fixed Term Plan</t>
        </is>
      </c>
      <c r="CB63" s="14" t="n">
        <v>72</v>
      </c>
      <c r="CC63" s="14" t="n">
        <v>59390</v>
      </c>
      <c r="CD63" s="617" t="n">
        <v>0</v>
      </c>
      <c r="CE63" s="617" t="n">
        <v>0</v>
      </c>
      <c r="CF63" s="617" t="n">
        <v>0</v>
      </c>
      <c r="CG63" s="617" t="n">
        <v>14980.59095192</v>
      </c>
      <c r="CH63" s="617" t="n">
        <v>14945.8370923</v>
      </c>
      <c r="CI63" s="17" t="n">
        <v>0</v>
      </c>
      <c r="CJ63" s="618" t="n">
        <v>0</v>
      </c>
      <c r="CK63" s="47" t="inlineStr">
        <is>
          <t>-</t>
        </is>
      </c>
      <c r="CL63" s="16" t="inlineStr">
        <is>
          <t>i</t>
        </is>
      </c>
      <c r="CM63" s="15" t="inlineStr">
        <is>
          <t>Fixed Term Plan</t>
        </is>
      </c>
      <c r="CN63" s="14" t="n">
        <v>71</v>
      </c>
      <c r="CO63" s="14" t="n">
        <v>56322</v>
      </c>
      <c r="CP63" s="617" t="n">
        <v>0</v>
      </c>
      <c r="CQ63" s="617" t="n">
        <v>412.772628</v>
      </c>
      <c r="CR63" s="617" t="n">
        <v>-412.772628</v>
      </c>
      <c r="CS63" s="617" t="n">
        <v>14632.22473792</v>
      </c>
      <c r="CT63" s="617" t="n">
        <v>14728.46959702</v>
      </c>
      <c r="CU63" s="17" t="n">
        <v>0</v>
      </c>
      <c r="CV63" s="617" t="n">
        <v>0</v>
      </c>
      <c r="CW63" s="47" t="inlineStr">
        <is>
          <t>-</t>
        </is>
      </c>
      <c r="CX63" s="16" t="inlineStr">
        <is>
          <t>i</t>
        </is>
      </c>
      <c r="CY63" s="15" t="inlineStr">
        <is>
          <t>Fixed Term Plan</t>
        </is>
      </c>
      <c r="CZ63" s="14" t="n">
        <v>71</v>
      </c>
      <c r="DA63" s="14" t="n">
        <v>56328</v>
      </c>
      <c r="DB63" s="617" t="n">
        <v>0</v>
      </c>
      <c r="DC63" s="617" t="n">
        <v>4.99999259773176e-08</v>
      </c>
      <c r="DD63" s="617" t="n">
        <v>-4.99999259773176e-08</v>
      </c>
      <c r="DE63" s="617" t="n">
        <v>14701.99305963</v>
      </c>
      <c r="DF63" s="617" t="n">
        <v>14669.48749088</v>
      </c>
      <c r="DG63" s="14" t="n">
        <v>0</v>
      </c>
      <c r="DH63" s="617" t="n">
        <v>0</v>
      </c>
      <c r="DI63" s="2" t="inlineStr">
        <is>
          <t>-</t>
        </is>
      </c>
      <c r="DJ63" s="620" t="inlineStr">
        <is>
          <t>i</t>
        </is>
      </c>
      <c r="DK63" s="621" t="inlineStr">
        <is>
          <t>Fixed Term Plan</t>
        </is>
      </c>
      <c r="DL63" s="83" t="n">
        <v>71</v>
      </c>
      <c r="DM63" s="83" t="n">
        <v>56325</v>
      </c>
      <c r="DN63" s="622" t="n">
        <v>0</v>
      </c>
      <c r="DO63" s="622" t="n">
        <v>0</v>
      </c>
      <c r="DP63" s="622" t="n">
        <v>0</v>
      </c>
      <c r="DQ63" s="622" t="n">
        <v>14760.99330801</v>
      </c>
      <c r="DR63" s="622" t="n">
        <v>14731.16101389</v>
      </c>
      <c r="DS63" s="83" t="n">
        <v>0</v>
      </c>
      <c r="DT63" s="622" t="n">
        <v>0</v>
      </c>
      <c r="DU63" s="2" t="inlineStr">
        <is>
          <t>-</t>
        </is>
      </c>
      <c r="DV63" s="127" t="n"/>
      <c r="DW63" s="128" t="n"/>
      <c r="DX63" s="2" t="inlineStr">
        <is>
          <t>-</t>
        </is>
      </c>
      <c r="DY63" s="127" t="n">
        <v>0</v>
      </c>
      <c r="DZ63" s="128">
        <f>(DP63-DD63)/DD63</f>
        <v/>
      </c>
      <c r="EA63" s="129">
        <f>(DR63-DF63)/DF63</f>
        <v/>
      </c>
    </row>
    <row r="64">
      <c r="A64" s="16" t="inlineStr">
        <is>
          <t>ii</t>
        </is>
      </c>
      <c r="B64" s="15" t="inlineStr">
        <is>
          <t>Capital Protection Oriented Schemes</t>
        </is>
      </c>
      <c r="C64" s="617" t="n">
        <v>0</v>
      </c>
      <c r="D64" s="617" t="n">
        <v>0</v>
      </c>
      <c r="E64" s="47" t="inlineStr">
        <is>
          <t>-</t>
        </is>
      </c>
      <c r="F64" s="16" t="inlineStr">
        <is>
          <t>ii</t>
        </is>
      </c>
      <c r="G64" s="15" t="inlineStr">
        <is>
          <t>Capital Protection Oriented Schemes</t>
        </is>
      </c>
      <c r="H64" s="14" t="n">
        <v>0</v>
      </c>
      <c r="I64" s="14" t="n">
        <v>0</v>
      </c>
      <c r="J64" s="617" t="n">
        <v>0</v>
      </c>
      <c r="K64" s="617" t="n">
        <v>0</v>
      </c>
      <c r="L64" s="617" t="n">
        <v>0</v>
      </c>
      <c r="M64" s="617" t="n">
        <v>0</v>
      </c>
      <c r="N64" s="617" t="n">
        <v>0</v>
      </c>
      <c r="O64" s="14" t="n">
        <v>0</v>
      </c>
      <c r="P64" s="617" t="n">
        <v>0</v>
      </c>
      <c r="Q64" s="47" t="inlineStr">
        <is>
          <t>-</t>
        </is>
      </c>
      <c r="R64" s="16" t="inlineStr">
        <is>
          <t>ii</t>
        </is>
      </c>
      <c r="S64" s="15" t="inlineStr">
        <is>
          <t>Capital Protection Oriented Schemes</t>
        </is>
      </c>
      <c r="T64" s="14" t="n">
        <v>0</v>
      </c>
      <c r="U64" s="14" t="n">
        <v>0</v>
      </c>
      <c r="V64" s="617" t="n">
        <v>0</v>
      </c>
      <c r="W64" s="617" t="n">
        <v>0</v>
      </c>
      <c r="X64" s="617" t="n">
        <v>0</v>
      </c>
      <c r="Y64" s="617" t="n">
        <v>0</v>
      </c>
      <c r="Z64" s="617" t="n">
        <v>0</v>
      </c>
      <c r="AA64" s="14" t="n">
        <v>0</v>
      </c>
      <c r="AB64" s="617" t="n">
        <v>0</v>
      </c>
      <c r="AC64" s="47" t="inlineStr">
        <is>
          <t>-</t>
        </is>
      </c>
      <c r="AD64" s="16" t="inlineStr">
        <is>
          <t>ii</t>
        </is>
      </c>
      <c r="AE64" s="15" t="inlineStr">
        <is>
          <t>Capital Protection Oriented Schemes</t>
        </is>
      </c>
      <c r="AF64" s="14" t="n">
        <v>0</v>
      </c>
      <c r="AG64" s="14" t="n">
        <v>0</v>
      </c>
      <c r="AH64" s="617" t="n">
        <v>0</v>
      </c>
      <c r="AI64" s="617" t="n">
        <v>0</v>
      </c>
      <c r="AJ64" s="617" t="n">
        <v>0</v>
      </c>
      <c r="AK64" s="617" t="n">
        <v>0</v>
      </c>
      <c r="AL64" s="617" t="n">
        <v>0</v>
      </c>
      <c r="AM64" s="14" t="n">
        <v>0</v>
      </c>
      <c r="AN64" s="617" t="n">
        <v>0</v>
      </c>
      <c r="AO64" s="47" t="inlineStr">
        <is>
          <t>-</t>
        </is>
      </c>
      <c r="AP64" s="16" t="inlineStr">
        <is>
          <t>ii</t>
        </is>
      </c>
      <c r="AQ64" s="15" t="inlineStr">
        <is>
          <t>Capital Protection Oriented Schemes</t>
        </is>
      </c>
      <c r="AR64" s="14" t="n">
        <v>0</v>
      </c>
      <c r="AS64" s="14" t="n">
        <v>0</v>
      </c>
      <c r="AT64" s="617" t="n">
        <v>0</v>
      </c>
      <c r="AU64" s="617" t="n">
        <v>0</v>
      </c>
      <c r="AV64" s="617" t="n">
        <v>0</v>
      </c>
      <c r="AW64" s="617" t="n">
        <v>0</v>
      </c>
      <c r="AX64" s="617" t="n">
        <v>0</v>
      </c>
      <c r="AY64" s="14" t="n">
        <v>0</v>
      </c>
      <c r="AZ64" s="617" t="n">
        <v>0</v>
      </c>
      <c r="BA64" s="47" t="inlineStr">
        <is>
          <t>-</t>
        </is>
      </c>
      <c r="BB64" s="16" t="inlineStr">
        <is>
          <t>ii</t>
        </is>
      </c>
      <c r="BC64" s="15" t="inlineStr">
        <is>
          <t>Capital Protection Oriented Schemes</t>
        </is>
      </c>
      <c r="BD64" s="14" t="n">
        <v>0</v>
      </c>
      <c r="BE64" s="14" t="n">
        <v>0</v>
      </c>
      <c r="BF64" s="617" t="n">
        <v>0</v>
      </c>
      <c r="BG64" s="617" t="n">
        <v>0</v>
      </c>
      <c r="BH64" s="617" t="n">
        <v>0</v>
      </c>
      <c r="BI64" s="617" t="n">
        <v>0</v>
      </c>
      <c r="BJ64" s="617" t="n">
        <v>0</v>
      </c>
      <c r="BK64" s="14" t="n">
        <v>0</v>
      </c>
      <c r="BL64" s="617" t="n">
        <v>0</v>
      </c>
      <c r="BM64" s="47" t="inlineStr">
        <is>
          <t>-</t>
        </is>
      </c>
      <c r="BN64" s="19" t="inlineStr">
        <is>
          <t>ii</t>
        </is>
      </c>
      <c r="BO64" s="15" t="inlineStr">
        <is>
          <t>Capital Protection Oriented Schemes</t>
        </is>
      </c>
      <c r="BP64" s="14" t="n">
        <v>0</v>
      </c>
      <c r="BQ64" s="14" t="n">
        <v>0</v>
      </c>
      <c r="BR64" s="617" t="n">
        <v>0</v>
      </c>
      <c r="BS64" s="617" t="n">
        <v>0</v>
      </c>
      <c r="BT64" s="617" t="n">
        <v>0</v>
      </c>
      <c r="BU64" s="617" t="n">
        <v>0</v>
      </c>
      <c r="BV64" s="617" t="n">
        <v>0</v>
      </c>
      <c r="BW64" s="17" t="n">
        <v>0</v>
      </c>
      <c r="BX64" s="618" t="n">
        <v>0</v>
      </c>
      <c r="BY64" s="47" t="inlineStr">
        <is>
          <t>-</t>
        </is>
      </c>
      <c r="BZ64" s="19" t="inlineStr">
        <is>
          <t>ii</t>
        </is>
      </c>
      <c r="CA64" s="15" t="inlineStr">
        <is>
          <t>Capital Protection Oriented Schemes</t>
        </is>
      </c>
      <c r="CB64" s="14" t="n">
        <v>0</v>
      </c>
      <c r="CC64" s="14" t="n">
        <v>0</v>
      </c>
      <c r="CD64" s="617" t="n">
        <v>0</v>
      </c>
      <c r="CE64" s="617" t="n">
        <v>0</v>
      </c>
      <c r="CF64" s="617" t="n">
        <v>0</v>
      </c>
      <c r="CG64" s="617" t="n">
        <v>0</v>
      </c>
      <c r="CH64" s="617" t="n">
        <v>0</v>
      </c>
      <c r="CI64" s="17" t="n">
        <v>0</v>
      </c>
      <c r="CJ64" s="618" t="n">
        <v>0</v>
      </c>
      <c r="CK64" s="47" t="inlineStr">
        <is>
          <t>-</t>
        </is>
      </c>
      <c r="CL64" s="16" t="inlineStr">
        <is>
          <t>ii</t>
        </is>
      </c>
      <c r="CM64" s="15" t="inlineStr">
        <is>
          <t>Capital Protection Oriented Schemes</t>
        </is>
      </c>
      <c r="CN64" s="14" t="n">
        <v>0</v>
      </c>
      <c r="CO64" s="14" t="n">
        <v>0</v>
      </c>
      <c r="CP64" s="617" t="n">
        <v>0</v>
      </c>
      <c r="CQ64" s="617" t="n">
        <v>0</v>
      </c>
      <c r="CR64" s="617" t="n">
        <v>0</v>
      </c>
      <c r="CS64" s="617" t="n">
        <v>0</v>
      </c>
      <c r="CT64" s="617" t="n">
        <v>0</v>
      </c>
      <c r="CU64" s="17" t="n">
        <v>0</v>
      </c>
      <c r="CV64" s="617" t="n">
        <v>0</v>
      </c>
      <c r="CW64" s="47" t="inlineStr">
        <is>
          <t>-</t>
        </is>
      </c>
      <c r="CX64" s="16" t="inlineStr">
        <is>
          <t>ii</t>
        </is>
      </c>
      <c r="CY64" s="15" t="inlineStr">
        <is>
          <t>Capital Protection Oriented Schemes</t>
        </is>
      </c>
      <c r="CZ64" s="14" t="n">
        <v>0</v>
      </c>
      <c r="DA64" s="14" t="n">
        <v>0</v>
      </c>
      <c r="DB64" s="617" t="n">
        <v>0</v>
      </c>
      <c r="DC64" s="617" t="n">
        <v>0</v>
      </c>
      <c r="DD64" s="617" t="n">
        <v>0</v>
      </c>
      <c r="DE64" s="617" t="n">
        <v>0</v>
      </c>
      <c r="DF64" s="617" t="n">
        <v>0</v>
      </c>
      <c r="DG64" s="14" t="n">
        <v>0</v>
      </c>
      <c r="DH64" s="617" t="n">
        <v>0</v>
      </c>
      <c r="DI64" s="2" t="inlineStr">
        <is>
          <t>-</t>
        </is>
      </c>
      <c r="DJ64" s="620" t="inlineStr">
        <is>
          <t>ii</t>
        </is>
      </c>
      <c r="DK64" s="621" t="inlineStr">
        <is>
          <t>Capital Protection Oriented Schemes</t>
        </is>
      </c>
      <c r="DL64" s="83" t="n">
        <v>0</v>
      </c>
      <c r="DM64" s="83" t="n">
        <v>0</v>
      </c>
      <c r="DN64" s="622" t="n">
        <v>0</v>
      </c>
      <c r="DO64" s="622" t="n">
        <v>0</v>
      </c>
      <c r="DP64" s="622" t="n">
        <v>0</v>
      </c>
      <c r="DQ64" s="622" t="n">
        <v>0</v>
      </c>
      <c r="DR64" s="622" t="n">
        <v>0</v>
      </c>
      <c r="DS64" s="83" t="n">
        <v>0</v>
      </c>
      <c r="DT64" s="622" t="n">
        <v>0</v>
      </c>
      <c r="DU64" s="2" t="inlineStr">
        <is>
          <t>-</t>
        </is>
      </c>
      <c r="DV64" s="127" t="n"/>
      <c r="DW64" s="128" t="n"/>
      <c r="DX64" s="2" t="inlineStr">
        <is>
          <t>-</t>
        </is>
      </c>
      <c r="DY64" s="127" t="n">
        <v>0</v>
      </c>
      <c r="DZ64" s="128" t="n">
        <v>0</v>
      </c>
      <c r="EA64" s="129" t="n">
        <v>0</v>
      </c>
    </row>
    <row r="65">
      <c r="A65" s="16" t="inlineStr">
        <is>
          <t>iii</t>
        </is>
      </c>
      <c r="B65" s="15" t="inlineStr">
        <is>
          <t>Infrastructure Debt Fund</t>
        </is>
      </c>
      <c r="C65" s="617" t="n">
        <v>1112.522135</v>
      </c>
      <c r="D65" s="617" t="n">
        <v>1109.202059</v>
      </c>
      <c r="E65" s="47" t="inlineStr">
        <is>
          <t>-</t>
        </is>
      </c>
      <c r="F65" s="16" t="inlineStr">
        <is>
          <t>iii</t>
        </is>
      </c>
      <c r="G65" s="15" t="inlineStr">
        <is>
          <t>Infrastructure Debt Fund</t>
        </is>
      </c>
      <c r="H65" s="14" t="n">
        <v>4</v>
      </c>
      <c r="I65" s="14" t="n">
        <v>30</v>
      </c>
      <c r="J65" s="617" t="n">
        <v>0</v>
      </c>
      <c r="K65" s="617" t="n">
        <v>0</v>
      </c>
      <c r="L65" s="617" t="n">
        <v>0</v>
      </c>
      <c r="M65" s="617" t="n">
        <v>1119.266971</v>
      </c>
      <c r="N65" s="617" t="n">
        <v>1116.006625</v>
      </c>
      <c r="O65" s="14" t="n">
        <v>0</v>
      </c>
      <c r="P65" s="617" t="n">
        <v>0</v>
      </c>
      <c r="Q65" s="47" t="inlineStr">
        <is>
          <t>-</t>
        </is>
      </c>
      <c r="R65" s="16" t="inlineStr">
        <is>
          <t>iii</t>
        </is>
      </c>
      <c r="S65" s="15" t="inlineStr">
        <is>
          <t>Infrastructure Debt Fund</t>
        </is>
      </c>
      <c r="T65" s="14" t="n">
        <v>3</v>
      </c>
      <c r="U65" s="14" t="n">
        <v>19</v>
      </c>
      <c r="V65" s="617" t="n">
        <v>0</v>
      </c>
      <c r="W65" s="617" t="n">
        <v>261.8537821</v>
      </c>
      <c r="X65" s="617" t="n">
        <v>-261.8537821</v>
      </c>
      <c r="Y65" s="617" t="n">
        <v>862.9633643</v>
      </c>
      <c r="Z65" s="617" t="n">
        <v>1122.140333</v>
      </c>
      <c r="AA65" s="14" t="n">
        <v>0</v>
      </c>
      <c r="AB65" s="617" t="n">
        <v>0</v>
      </c>
      <c r="AC65" s="47" t="inlineStr">
        <is>
          <t>-</t>
        </is>
      </c>
      <c r="AD65" s="16" t="inlineStr">
        <is>
          <t>iii</t>
        </is>
      </c>
      <c r="AE65" s="15" t="inlineStr">
        <is>
          <t>Infrastructure Debt Fund</t>
        </is>
      </c>
      <c r="AF65" s="14" t="n">
        <v>3</v>
      </c>
      <c r="AG65" s="14" t="n">
        <v>19</v>
      </c>
      <c r="AH65" s="617" t="n">
        <v>0</v>
      </c>
      <c r="AI65" s="617" t="n">
        <v>0</v>
      </c>
      <c r="AJ65" s="617" t="n">
        <v>0</v>
      </c>
      <c r="AK65" s="617" t="n">
        <v>868.0837478</v>
      </c>
      <c r="AL65" s="617" t="n">
        <v>865.5971465</v>
      </c>
      <c r="AM65" s="14" t="n">
        <v>0</v>
      </c>
      <c r="AN65" s="617" t="n">
        <v>0</v>
      </c>
      <c r="AO65" s="47" t="inlineStr">
        <is>
          <t>-</t>
        </is>
      </c>
      <c r="AP65" s="16" t="inlineStr">
        <is>
          <t>iii</t>
        </is>
      </c>
      <c r="AQ65" s="15" t="inlineStr">
        <is>
          <t>Infrastructure Debt Fund</t>
        </is>
      </c>
      <c r="AR65" s="14" t="n">
        <v>3</v>
      </c>
      <c r="AS65" s="14" t="n">
        <v>19</v>
      </c>
      <c r="AT65" s="617" t="n">
        <v>0</v>
      </c>
      <c r="AU65" s="617" t="n">
        <v>0</v>
      </c>
      <c r="AV65" s="617" t="n">
        <v>0</v>
      </c>
      <c r="AW65" s="617" t="n">
        <v>875.157348</v>
      </c>
      <c r="AX65" s="617" t="n">
        <v>871.0064331</v>
      </c>
      <c r="AY65" s="14" t="n">
        <v>0</v>
      </c>
      <c r="AZ65" s="617" t="n">
        <v>0</v>
      </c>
      <c r="BA65" s="47" t="inlineStr">
        <is>
          <t>-</t>
        </is>
      </c>
      <c r="BB65" s="16" t="inlineStr">
        <is>
          <t>iii</t>
        </is>
      </c>
      <c r="BC65" s="15" t="inlineStr">
        <is>
          <t>Infrastructure Debt Fund</t>
        </is>
      </c>
      <c r="BD65" s="14" t="n">
        <v>3</v>
      </c>
      <c r="BE65" s="14" t="n">
        <v>19</v>
      </c>
      <c r="BF65" s="617" t="n">
        <v>0</v>
      </c>
      <c r="BG65" s="617" t="n">
        <v>0</v>
      </c>
      <c r="BH65" s="617" t="n">
        <v>0</v>
      </c>
      <c r="BI65" s="617" t="n">
        <v>881.1804844</v>
      </c>
      <c r="BJ65" s="617" t="n">
        <v>878.1588690999999</v>
      </c>
      <c r="BK65" s="14" t="n">
        <v>0</v>
      </c>
      <c r="BL65" s="617" t="n">
        <v>0</v>
      </c>
      <c r="BM65" s="47" t="inlineStr">
        <is>
          <t>-</t>
        </is>
      </c>
      <c r="BN65" s="19" t="inlineStr">
        <is>
          <t>iii</t>
        </is>
      </c>
      <c r="BO65" s="15" t="inlineStr">
        <is>
          <t>Infrastructure Debt Fund</t>
        </is>
      </c>
      <c r="BP65" s="14" t="n">
        <v>3</v>
      </c>
      <c r="BQ65" s="14" t="n">
        <v>19</v>
      </c>
      <c r="BR65" s="617" t="n">
        <v>0</v>
      </c>
      <c r="BS65" s="617" t="n">
        <v>0</v>
      </c>
      <c r="BT65" s="617" t="n">
        <v>0</v>
      </c>
      <c r="BU65" s="617" t="n">
        <v>887.2039213</v>
      </c>
      <c r="BV65" s="617" t="n">
        <v>884.7020361</v>
      </c>
      <c r="BW65" s="17" t="n">
        <v>0</v>
      </c>
      <c r="BX65" s="618" t="n">
        <v>0</v>
      </c>
      <c r="BY65" s="47" t="inlineStr">
        <is>
          <t>-</t>
        </is>
      </c>
      <c r="BZ65" s="19" t="inlineStr">
        <is>
          <t>iii</t>
        </is>
      </c>
      <c r="CA65" s="15" t="inlineStr">
        <is>
          <t>Infrastructure Debt Fund</t>
        </is>
      </c>
      <c r="CB65" s="14" t="n">
        <v>3</v>
      </c>
      <c r="CC65" s="14" t="n">
        <v>19</v>
      </c>
      <c r="CD65" s="617" t="n">
        <v>0</v>
      </c>
      <c r="CE65" s="617" t="n">
        <v>0</v>
      </c>
      <c r="CF65" s="617" t="n">
        <v>0</v>
      </c>
      <c r="CG65" s="617" t="n">
        <v>893.5266853000001</v>
      </c>
      <c r="CH65" s="617" t="n">
        <v>890.965743</v>
      </c>
      <c r="CI65" s="17" t="n">
        <v>0</v>
      </c>
      <c r="CJ65" s="618" t="n">
        <v>0</v>
      </c>
      <c r="CK65" s="47" t="inlineStr">
        <is>
          <t>-</t>
        </is>
      </c>
      <c r="CL65" s="16" t="inlineStr">
        <is>
          <t>iii</t>
        </is>
      </c>
      <c r="CM65" s="15" t="inlineStr">
        <is>
          <t>Infrastructure Debt Fund</t>
        </is>
      </c>
      <c r="CN65" s="14" t="n">
        <v>3</v>
      </c>
      <c r="CO65" s="14" t="n">
        <v>19</v>
      </c>
      <c r="CP65" s="617" t="n">
        <v>0</v>
      </c>
      <c r="CQ65" s="617" t="n">
        <v>0</v>
      </c>
      <c r="CR65" s="617" t="n">
        <v>0</v>
      </c>
      <c r="CS65" s="617" t="n">
        <v>898.537452</v>
      </c>
      <c r="CT65" s="617" t="n">
        <v>896.1178869</v>
      </c>
      <c r="CU65" s="17" t="n">
        <v>0</v>
      </c>
      <c r="CV65" s="617" t="n">
        <v>0</v>
      </c>
      <c r="CW65" s="47" t="inlineStr">
        <is>
          <t>-</t>
        </is>
      </c>
      <c r="CX65" s="16" t="inlineStr">
        <is>
          <t>iii</t>
        </is>
      </c>
      <c r="CY65" s="15" t="inlineStr">
        <is>
          <t>Infrastructure Debt Fund</t>
        </is>
      </c>
      <c r="CZ65" s="14" t="n">
        <v>3</v>
      </c>
      <c r="DA65" s="14" t="n">
        <v>19</v>
      </c>
      <c r="DB65" s="617" t="n">
        <v>0</v>
      </c>
      <c r="DC65" s="617" t="n">
        <v>0</v>
      </c>
      <c r="DD65" s="617" t="n">
        <v>0</v>
      </c>
      <c r="DE65" s="617" t="n">
        <v>903.4491862</v>
      </c>
      <c r="DF65" s="617" t="n">
        <v>901.0808588</v>
      </c>
      <c r="DG65" s="14" t="n">
        <v>0</v>
      </c>
      <c r="DH65" s="617" t="n">
        <v>0</v>
      </c>
      <c r="DI65" s="2" t="inlineStr">
        <is>
          <t>-</t>
        </is>
      </c>
      <c r="DJ65" s="620" t="inlineStr">
        <is>
          <t>iii</t>
        </is>
      </c>
      <c r="DK65" s="621" t="inlineStr">
        <is>
          <t>Infrastructure Debt Fund</t>
        </is>
      </c>
      <c r="DL65" s="83" t="n">
        <v>3</v>
      </c>
      <c r="DM65" s="83" t="n">
        <v>19</v>
      </c>
      <c r="DN65" s="622" t="n">
        <v>0</v>
      </c>
      <c r="DO65" s="622" t="n">
        <v>0</v>
      </c>
      <c r="DP65" s="622" t="n">
        <v>0</v>
      </c>
      <c r="DQ65" s="622" t="n">
        <v>908.4087023</v>
      </c>
      <c r="DR65" s="622" t="n">
        <v>906.0081569</v>
      </c>
      <c r="DS65" s="83" t="n">
        <v>0</v>
      </c>
      <c r="DT65" s="622" t="n">
        <v>0</v>
      </c>
      <c r="DU65" s="2" t="inlineStr">
        <is>
          <t>-</t>
        </is>
      </c>
      <c r="DV65" s="127" t="n"/>
      <c r="DW65" s="128" t="n"/>
      <c r="DX65" s="2" t="inlineStr">
        <is>
          <t>-</t>
        </is>
      </c>
      <c r="DY65" s="127" t="n">
        <v>0</v>
      </c>
      <c r="DZ65" s="128" t="n">
        <v>0</v>
      </c>
      <c r="EA65" s="129">
        <f>(DR65-DF65)/DF65</f>
        <v/>
      </c>
    </row>
    <row r="66">
      <c r="A66" s="16" t="inlineStr">
        <is>
          <t>iv</t>
        </is>
      </c>
      <c r="B66" s="15" t="inlineStr">
        <is>
          <t>Other Debt Scheme</t>
        </is>
      </c>
      <c r="C66" s="617" t="n">
        <v>5319.12</v>
      </c>
      <c r="D66" s="617" t="n">
        <v>5265.41</v>
      </c>
      <c r="E66" s="47" t="inlineStr">
        <is>
          <t>-</t>
        </is>
      </c>
      <c r="F66" s="16" t="inlineStr">
        <is>
          <t>iv</t>
        </is>
      </c>
      <c r="G66" s="15" t="inlineStr">
        <is>
          <t>Other Debt Scheme</t>
        </is>
      </c>
      <c r="H66" s="14" t="n">
        <v>1</v>
      </c>
      <c r="I66" s="14" t="n">
        <v>190744</v>
      </c>
      <c r="J66" s="617" t="n">
        <v>18.4</v>
      </c>
      <c r="K66" s="617" t="n">
        <v>61.28</v>
      </c>
      <c r="L66" s="617" t="n">
        <v>-42.88</v>
      </c>
      <c r="M66" s="617" t="n">
        <v>5434.4</v>
      </c>
      <c r="N66" s="617" t="n">
        <v>5382.59</v>
      </c>
      <c r="O66" s="14" t="n">
        <v>0</v>
      </c>
      <c r="P66" s="617" t="n">
        <v>0</v>
      </c>
      <c r="Q66" s="47" t="inlineStr">
        <is>
          <t>-</t>
        </is>
      </c>
      <c r="R66" s="16" t="inlineStr">
        <is>
          <t>iv</t>
        </is>
      </c>
      <c r="S66" s="15" t="inlineStr">
        <is>
          <t>Other Debt Scheme</t>
        </is>
      </c>
      <c r="T66" s="14" t="n">
        <v>1</v>
      </c>
      <c r="U66" s="14" t="n">
        <v>189044</v>
      </c>
      <c r="V66" s="617" t="n">
        <v>15.43</v>
      </c>
      <c r="W66" s="617" t="n">
        <v>68.14</v>
      </c>
      <c r="X66" s="617" t="n">
        <v>-52.71</v>
      </c>
      <c r="Y66" s="617" t="n">
        <v>5451.34</v>
      </c>
      <c r="Z66" s="617" t="n">
        <v>5457.69</v>
      </c>
      <c r="AA66" s="14" t="n">
        <v>0</v>
      </c>
      <c r="AB66" s="617" t="n">
        <v>0</v>
      </c>
      <c r="AC66" s="47" t="inlineStr">
        <is>
          <t>-</t>
        </is>
      </c>
      <c r="AD66" s="16" t="inlineStr">
        <is>
          <t>iv</t>
        </is>
      </c>
      <c r="AE66" s="15" t="inlineStr">
        <is>
          <t>Other Debt Scheme</t>
        </is>
      </c>
      <c r="AF66" s="14" t="n">
        <v>1</v>
      </c>
      <c r="AG66" s="14" t="n">
        <v>187506</v>
      </c>
      <c r="AH66" s="617" t="n">
        <v>15.55</v>
      </c>
      <c r="AI66" s="617" t="n">
        <v>58.91</v>
      </c>
      <c r="AJ66" s="617" t="n">
        <v>-43.36</v>
      </c>
      <c r="AK66" s="617" t="n">
        <v>5472.76</v>
      </c>
      <c r="AL66" s="617" t="n">
        <v>5464.72</v>
      </c>
      <c r="AM66" s="14" t="n">
        <v>0</v>
      </c>
      <c r="AN66" s="617" t="n">
        <v>0</v>
      </c>
      <c r="AO66" s="47" t="inlineStr">
        <is>
          <t>-</t>
        </is>
      </c>
      <c r="AP66" s="16" t="inlineStr">
        <is>
          <t>iv</t>
        </is>
      </c>
      <c r="AQ66" s="15" t="inlineStr">
        <is>
          <t>Other Debt Scheme</t>
        </is>
      </c>
      <c r="AR66" s="14" t="n">
        <v>1</v>
      </c>
      <c r="AS66" s="14" t="n">
        <v>185895</v>
      </c>
      <c r="AT66" s="617" t="n">
        <v>15.79</v>
      </c>
      <c r="AU66" s="617" t="n">
        <v>68.66</v>
      </c>
      <c r="AV66" s="617" t="n">
        <v>-52.87</v>
      </c>
      <c r="AW66" s="617" t="n">
        <v>5361.28</v>
      </c>
      <c r="AX66" s="617" t="n">
        <v>5445.48</v>
      </c>
      <c r="AY66" s="14" t="n">
        <v>0</v>
      </c>
      <c r="AZ66" s="617" t="n">
        <v>0</v>
      </c>
      <c r="BA66" s="47" t="inlineStr">
        <is>
          <t>-</t>
        </is>
      </c>
      <c r="BB66" s="16" t="inlineStr">
        <is>
          <t>iv</t>
        </is>
      </c>
      <c r="BC66" s="15" t="inlineStr">
        <is>
          <t>Other Debt Scheme</t>
        </is>
      </c>
      <c r="BD66" s="14" t="n">
        <v>1</v>
      </c>
      <c r="BE66" s="14" t="n">
        <v>184690</v>
      </c>
      <c r="BF66" s="617" t="n">
        <v>14.32</v>
      </c>
      <c r="BG66" s="617" t="n">
        <v>48.19</v>
      </c>
      <c r="BH66" s="617" t="n">
        <v>-33.87</v>
      </c>
      <c r="BI66" s="617" t="n">
        <v>5287.88</v>
      </c>
      <c r="BJ66" s="617" t="n">
        <v>5358.01</v>
      </c>
      <c r="BK66" s="14" t="n">
        <v>0</v>
      </c>
      <c r="BL66" s="617" t="n">
        <v>0</v>
      </c>
      <c r="BM66" s="47" t="inlineStr">
        <is>
          <t>-</t>
        </is>
      </c>
      <c r="BN66" s="19" t="inlineStr">
        <is>
          <t>iv</t>
        </is>
      </c>
      <c r="BO66" s="15" t="inlineStr">
        <is>
          <t>Other Debt Scheme</t>
        </is>
      </c>
      <c r="BP66" s="14" t="n">
        <v>1</v>
      </c>
      <c r="BQ66" s="14" t="n">
        <v>183213</v>
      </c>
      <c r="BR66" s="617" t="n">
        <v>15.3</v>
      </c>
      <c r="BS66" s="617" t="n">
        <v>57.76</v>
      </c>
      <c r="BT66" s="617" t="n">
        <v>-42.46</v>
      </c>
      <c r="BU66" s="617" t="n">
        <v>5278.36</v>
      </c>
      <c r="BV66" s="617" t="n">
        <v>5363.34</v>
      </c>
      <c r="BW66" s="17" t="n">
        <v>0</v>
      </c>
      <c r="BX66" s="618" t="n">
        <v>0</v>
      </c>
      <c r="BY66" s="47" t="inlineStr">
        <is>
          <t>-</t>
        </is>
      </c>
      <c r="BZ66" s="19" t="inlineStr">
        <is>
          <t>iv</t>
        </is>
      </c>
      <c r="CA66" s="15" t="inlineStr">
        <is>
          <t>Other Debt Scheme</t>
        </is>
      </c>
      <c r="CB66" s="14" t="n">
        <v>1</v>
      </c>
      <c r="CC66" s="14" t="n">
        <v>181974</v>
      </c>
      <c r="CD66" s="617" t="n">
        <v>14.53</v>
      </c>
      <c r="CE66" s="617" t="n">
        <v>73.26000000000001</v>
      </c>
      <c r="CF66" s="617" t="n">
        <v>-58.73</v>
      </c>
      <c r="CG66" s="617" t="n">
        <v>5307.27</v>
      </c>
      <c r="CH66" s="617" t="n">
        <v>5349.38</v>
      </c>
      <c r="CI66" s="17" t="n">
        <v>0</v>
      </c>
      <c r="CJ66" s="618" t="n">
        <v>0</v>
      </c>
      <c r="CK66" s="47" t="inlineStr">
        <is>
          <t>-</t>
        </is>
      </c>
      <c r="CL66" s="16" t="inlineStr">
        <is>
          <t>iv</t>
        </is>
      </c>
      <c r="CM66" s="15" t="inlineStr">
        <is>
          <t>Other Debt Scheme</t>
        </is>
      </c>
      <c r="CN66" s="14" t="n">
        <v>1</v>
      </c>
      <c r="CO66" s="14" t="n">
        <v>180825</v>
      </c>
      <c r="CP66" s="617" t="n">
        <v>14.16</v>
      </c>
      <c r="CQ66" s="617" t="n">
        <v>51.23</v>
      </c>
      <c r="CR66" s="617" t="n">
        <v>-37.07</v>
      </c>
      <c r="CS66" s="617" t="n">
        <v>5284.85</v>
      </c>
      <c r="CT66" s="617" t="n">
        <v>5309.67</v>
      </c>
      <c r="CU66" s="17" t="n">
        <v>0</v>
      </c>
      <c r="CV66" s="617" t="n">
        <v>0</v>
      </c>
      <c r="CW66" s="47" t="inlineStr">
        <is>
          <t>-</t>
        </is>
      </c>
      <c r="CX66" s="16" t="inlineStr">
        <is>
          <t>iv</t>
        </is>
      </c>
      <c r="CY66" s="15" t="inlineStr">
        <is>
          <t>Other Debt Scheme</t>
        </is>
      </c>
      <c r="CZ66" s="14" t="n">
        <v>1</v>
      </c>
      <c r="DA66" s="14" t="n">
        <v>179801</v>
      </c>
      <c r="DB66" s="617" t="n">
        <v>15.74</v>
      </c>
      <c r="DC66" s="617" t="n">
        <v>55.01</v>
      </c>
      <c r="DD66" s="617" t="n">
        <v>-39.2700000000001</v>
      </c>
      <c r="DE66" s="624" t="n">
        <v>5195.84</v>
      </c>
      <c r="DF66" s="617" t="n">
        <v>5243.3</v>
      </c>
      <c r="DG66" s="14" t="n">
        <v>0</v>
      </c>
      <c r="DH66" s="617" t="n">
        <v>0</v>
      </c>
      <c r="DI66" s="2" t="inlineStr">
        <is>
          <t>-</t>
        </is>
      </c>
      <c r="DJ66" s="620" t="inlineStr">
        <is>
          <t>iv</t>
        </is>
      </c>
      <c r="DK66" s="621" t="inlineStr">
        <is>
          <t>Other Debt Scheme</t>
        </is>
      </c>
      <c r="DL66" s="83" t="n">
        <v>1</v>
      </c>
      <c r="DM66" s="83" t="n">
        <v>178857</v>
      </c>
      <c r="DN66" s="622" t="n">
        <v>15.41</v>
      </c>
      <c r="DO66" s="622" t="n">
        <v>49.4699999999999</v>
      </c>
      <c r="DP66" s="622" t="n">
        <v>-34.0599999999999</v>
      </c>
      <c r="DQ66" s="625" t="n">
        <v>5067.75</v>
      </c>
      <c r="DR66" s="622" t="n">
        <v>5149.78</v>
      </c>
      <c r="DS66" s="83" t="n">
        <v>0</v>
      </c>
      <c r="DT66" s="622" t="n">
        <v>0</v>
      </c>
      <c r="DU66" s="2" t="inlineStr">
        <is>
          <t>-</t>
        </is>
      </c>
      <c r="DV66" s="127" t="n"/>
      <c r="DW66" s="128" t="n"/>
      <c r="DX66" s="2" t="inlineStr">
        <is>
          <t>-</t>
        </is>
      </c>
      <c r="DY66" s="127">
        <f>(DN66-DB66)/DB66</f>
        <v/>
      </c>
      <c r="DZ66" s="128">
        <f>(DP66-DD66)/DD66</f>
        <v/>
      </c>
      <c r="EA66" s="129">
        <f>(DR66-DF66)/DF66</f>
        <v/>
      </c>
    </row>
    <row r="67">
      <c r="A67" s="25" t="n"/>
      <c r="B67" s="25" t="inlineStr">
        <is>
          <t>Sub Total (i+ii+iii+iv)</t>
        </is>
      </c>
      <c r="C67" s="24">
        <f>SUM(C63:C66)</f>
        <v/>
      </c>
      <c r="D67" s="24">
        <f>SUM(D63:D66)</f>
        <v/>
      </c>
      <c r="E67" s="47" t="inlineStr">
        <is>
          <t>-</t>
        </is>
      </c>
      <c r="F67" s="25" t="n"/>
      <c r="G67" s="25" t="inlineStr">
        <is>
          <t>Sub Total (i+ii+iii+iv)</t>
        </is>
      </c>
      <c r="H67" s="24">
        <f>SUM(H63:H66)</f>
        <v/>
      </c>
      <c r="I67" s="24">
        <f>SUM(I63:I66)</f>
        <v/>
      </c>
      <c r="J67" s="24">
        <f>SUM(J63:J66)</f>
        <v/>
      </c>
      <c r="K67" s="24">
        <f>SUM(K63:K66)</f>
        <v/>
      </c>
      <c r="L67" s="24">
        <f>SUM(L63:L66)</f>
        <v/>
      </c>
      <c r="M67" s="24">
        <f>SUM(M63:M66)</f>
        <v/>
      </c>
      <c r="N67" s="24">
        <f>SUM(N63:N66)</f>
        <v/>
      </c>
      <c r="O67" s="24">
        <f>SUM(O63:O66)</f>
        <v/>
      </c>
      <c r="P67" s="24">
        <f>SUM(P63:P66)</f>
        <v/>
      </c>
      <c r="Q67" s="47" t="inlineStr">
        <is>
          <t>-</t>
        </is>
      </c>
      <c r="R67" s="25" t="n"/>
      <c r="S67" s="25" t="inlineStr">
        <is>
          <t>Sub Total (i+ii+iii+iv)</t>
        </is>
      </c>
      <c r="T67" s="24">
        <f>SUM(T63:T66)</f>
        <v/>
      </c>
      <c r="U67" s="24">
        <f>SUM(U63:U66)</f>
        <v/>
      </c>
      <c r="V67" s="24">
        <f>SUM(V63:V66)</f>
        <v/>
      </c>
      <c r="W67" s="24">
        <f>SUM(W63:W66)</f>
        <v/>
      </c>
      <c r="X67" s="24">
        <f>SUM(X63:X66)</f>
        <v/>
      </c>
      <c r="Y67" s="24">
        <f>SUM(Y63:Y66)</f>
        <v/>
      </c>
      <c r="Z67" s="24">
        <f>SUM(Z63:Z66)</f>
        <v/>
      </c>
      <c r="AA67" s="24">
        <f>SUM(AA63:AA66)</f>
        <v/>
      </c>
      <c r="AB67" s="24">
        <f>SUM(AB63:AB66)</f>
        <v/>
      </c>
      <c r="AC67" s="47" t="inlineStr">
        <is>
          <t>-</t>
        </is>
      </c>
      <c r="AD67" s="25" t="n"/>
      <c r="AE67" s="25" t="inlineStr">
        <is>
          <t>Sub Total (i+ii+iii+iv)</t>
        </is>
      </c>
      <c r="AF67" s="24">
        <f>SUM(AF63:AF66)</f>
        <v/>
      </c>
      <c r="AG67" s="24">
        <f>SUM(AG63:AG66)</f>
        <v/>
      </c>
      <c r="AH67" s="24">
        <f>SUM(AH63:AH66)</f>
        <v/>
      </c>
      <c r="AI67" s="24">
        <f>SUM(AI63:AI66)</f>
        <v/>
      </c>
      <c r="AJ67" s="24">
        <f>SUM(AJ63:AJ66)</f>
        <v/>
      </c>
      <c r="AK67" s="24">
        <f>SUM(AK63:AK66)</f>
        <v/>
      </c>
      <c r="AL67" s="24">
        <f>SUM(AL63:AL66)</f>
        <v/>
      </c>
      <c r="AM67" s="24">
        <f>SUM(AM63:AM66)</f>
        <v/>
      </c>
      <c r="AN67" s="24">
        <f>SUM(AN63:AN66)</f>
        <v/>
      </c>
      <c r="AO67" s="47" t="inlineStr">
        <is>
          <t>-</t>
        </is>
      </c>
      <c r="AP67" s="25" t="n"/>
      <c r="AQ67" s="25" t="inlineStr">
        <is>
          <t>Sub Total (i+ii+iii+iv)</t>
        </is>
      </c>
      <c r="AR67" s="24">
        <f>SUM(AR63:AR66)</f>
        <v/>
      </c>
      <c r="AS67" s="24">
        <f>SUM(AS63:AS66)</f>
        <v/>
      </c>
      <c r="AT67" s="24">
        <f>SUM(AT63:AT66)</f>
        <v/>
      </c>
      <c r="AU67" s="24">
        <f>SUM(AU63:AU66)</f>
        <v/>
      </c>
      <c r="AV67" s="24">
        <f>SUM(AV63:AV66)</f>
        <v/>
      </c>
      <c r="AW67" s="24">
        <f>SUM(AW63:AW66)</f>
        <v/>
      </c>
      <c r="AX67" s="24">
        <f>SUM(AX63:AX66)</f>
        <v/>
      </c>
      <c r="AY67" s="24">
        <f>SUM(AY63:AY66)</f>
        <v/>
      </c>
      <c r="AZ67" s="24">
        <f>SUM(AZ63:AZ66)</f>
        <v/>
      </c>
      <c r="BA67" s="47" t="inlineStr">
        <is>
          <t>-</t>
        </is>
      </c>
      <c r="BB67" s="25" t="n"/>
      <c r="BC67" s="25" t="inlineStr">
        <is>
          <t>Sub Total (i+ii+iii+iv)</t>
        </is>
      </c>
      <c r="BD67" s="24">
        <f>SUM(BD63:BD66)</f>
        <v/>
      </c>
      <c r="BE67" s="24">
        <f>SUM(BE63:BE66)</f>
        <v/>
      </c>
      <c r="BF67" s="24">
        <f>SUM(BF63:BF66)</f>
        <v/>
      </c>
      <c r="BG67" s="24">
        <f>SUM(BG63:BG66)</f>
        <v/>
      </c>
      <c r="BH67" s="24">
        <f>SUM(BH63:BH66)</f>
        <v/>
      </c>
      <c r="BI67" s="24">
        <f>SUM(BI63:BI66)</f>
        <v/>
      </c>
      <c r="BJ67" s="24">
        <f>SUM(BJ63:BJ66)</f>
        <v/>
      </c>
      <c r="BK67" s="24">
        <f>SUM(BK63:BK66)</f>
        <v/>
      </c>
      <c r="BL67" s="24">
        <f>SUM(BL63:BL66)</f>
        <v/>
      </c>
      <c r="BM67" s="47" t="inlineStr">
        <is>
          <t>-</t>
        </is>
      </c>
      <c r="BN67" s="25" t="n"/>
      <c r="BO67" s="25" t="inlineStr">
        <is>
          <t>Sub Total (i+ii+iii+iv)</t>
        </is>
      </c>
      <c r="BP67" s="24">
        <f>SUM(BP63:BP66)</f>
        <v/>
      </c>
      <c r="BQ67" s="24">
        <f>SUM(BQ63:BQ66)</f>
        <v/>
      </c>
      <c r="BR67" s="24">
        <f>SUM(BR63:BR66)</f>
        <v/>
      </c>
      <c r="BS67" s="24">
        <f>SUM(BS63:BS66)</f>
        <v/>
      </c>
      <c r="BT67" s="24">
        <f>SUM(BT63:BT66)</f>
        <v/>
      </c>
      <c r="BU67" s="24">
        <f>SUM(BU63:BU66)</f>
        <v/>
      </c>
      <c r="BV67" s="24">
        <f>SUM(BV63:BV66)</f>
        <v/>
      </c>
      <c r="BW67" s="24">
        <f>SUM(BW63:BW66)</f>
        <v/>
      </c>
      <c r="BX67" s="24">
        <f>SUM(BX63:BX66)</f>
        <v/>
      </c>
      <c r="BY67" s="47" t="inlineStr">
        <is>
          <t>-</t>
        </is>
      </c>
      <c r="BZ67" s="25" t="n"/>
      <c r="CA67" s="25" t="inlineStr">
        <is>
          <t>Sub Total (i+ii+iii+iv)</t>
        </is>
      </c>
      <c r="CB67" s="24">
        <f>SUM(CB63:CB66)</f>
        <v/>
      </c>
      <c r="CC67" s="24">
        <f>SUM(CC63:CC66)</f>
        <v/>
      </c>
      <c r="CD67" s="24">
        <f>SUM(CD63:CD66)</f>
        <v/>
      </c>
      <c r="CE67" s="24">
        <f>SUM(CE63:CE66)</f>
        <v/>
      </c>
      <c r="CF67" s="24">
        <f>SUM(CF63:CF66)</f>
        <v/>
      </c>
      <c r="CG67" s="24">
        <f>SUM(CG63:CG66)</f>
        <v/>
      </c>
      <c r="CH67" s="24">
        <f>SUM(CH63:CH66)</f>
        <v/>
      </c>
      <c r="CI67" s="24">
        <f>SUM(CI63:CI66)</f>
        <v/>
      </c>
      <c r="CJ67" s="24">
        <f>SUM(CJ63:CJ66)</f>
        <v/>
      </c>
      <c r="CK67" s="47" t="inlineStr">
        <is>
          <t>-</t>
        </is>
      </c>
      <c r="CL67" s="25" t="n"/>
      <c r="CM67" s="25" t="inlineStr">
        <is>
          <t>Sub Total (i+ii+iii+iv)</t>
        </is>
      </c>
      <c r="CN67" s="24">
        <f>SUM(CN63:CN66)</f>
        <v/>
      </c>
      <c r="CO67" s="24">
        <f>SUM(CO63:CO66)</f>
        <v/>
      </c>
      <c r="CP67" s="24">
        <f>SUM(CP63:CP66)</f>
        <v/>
      </c>
      <c r="CQ67" s="24">
        <f>SUM(CQ63:CQ66)</f>
        <v/>
      </c>
      <c r="CR67" s="24">
        <f>SUM(CR63:CR66)</f>
        <v/>
      </c>
      <c r="CS67" s="24">
        <f>SUM(CS63:CS66)</f>
        <v/>
      </c>
      <c r="CT67" s="24">
        <f>SUM(CT63:CT66)</f>
        <v/>
      </c>
      <c r="CU67" s="24">
        <f>SUM(CU63:CU66)</f>
        <v/>
      </c>
      <c r="CV67" s="24">
        <f>SUM(CV63:CV66)</f>
        <v/>
      </c>
      <c r="CW67" s="47" t="inlineStr">
        <is>
          <t>-</t>
        </is>
      </c>
      <c r="CX67" s="25" t="n"/>
      <c r="CY67" s="25" t="inlineStr">
        <is>
          <t>Sub Total (i+ii+iii+iv)</t>
        </is>
      </c>
      <c r="CZ67" s="24">
        <f>SUM(CZ63:CZ66)</f>
        <v/>
      </c>
      <c r="DA67" s="24">
        <f>SUM(DA63:DA66)</f>
        <v/>
      </c>
      <c r="DB67" s="24">
        <f>SUM(DB63:DB66)</f>
        <v/>
      </c>
      <c r="DC67" s="24">
        <f>SUM(DC63:DC66)</f>
        <v/>
      </c>
      <c r="DD67" s="74">
        <f>SUM(DD63:DD66)</f>
        <v/>
      </c>
      <c r="DE67" s="108">
        <f>SUM(DE63:DE66)</f>
        <v/>
      </c>
      <c r="DF67" s="24">
        <f>SUM(DF63:DF66)</f>
        <v/>
      </c>
      <c r="DG67" s="24">
        <f>SUM(DG63:DG66)</f>
        <v/>
      </c>
      <c r="DH67" s="24">
        <f>SUM(DH63:DH66)</f>
        <v/>
      </c>
      <c r="DI67" s="47" t="inlineStr">
        <is>
          <t>-</t>
        </is>
      </c>
      <c r="DJ67" s="627" t="n"/>
      <c r="DK67" s="627" t="inlineStr">
        <is>
          <t>Sub Total (i+ii+iii+iv)</t>
        </is>
      </c>
      <c r="DL67" s="24">
        <f>SUM(DL63:DL66)</f>
        <v/>
      </c>
      <c r="DM67" s="24">
        <f>SUM(DM63:DM66)</f>
        <v/>
      </c>
      <c r="DN67" s="24">
        <f>SUM(DN63:DN66)</f>
        <v/>
      </c>
      <c r="DO67" s="24">
        <f>SUM(DO63:DO66)</f>
        <v/>
      </c>
      <c r="DP67" s="74">
        <f>SUM(DP63:DP66)</f>
        <v/>
      </c>
      <c r="DQ67" s="108">
        <f>SUM(DQ63:DQ66)</f>
        <v/>
      </c>
      <c r="DR67" s="24">
        <f>SUM(DR63:DR66)</f>
        <v/>
      </c>
      <c r="DS67" s="24">
        <f>SUM(DS63:DS66)</f>
        <v/>
      </c>
      <c r="DT67" s="24">
        <f>SUM(DT63:DT66)</f>
        <v/>
      </c>
      <c r="DU67" s="47" t="inlineStr">
        <is>
          <t>-</t>
        </is>
      </c>
      <c r="DV67" s="127" t="n"/>
      <c r="DW67" s="128" t="n"/>
      <c r="DX67" s="47" t="inlineStr">
        <is>
          <t>-</t>
        </is>
      </c>
      <c r="DY67" s="127">
        <f>(DN67-DB67)/DB67</f>
        <v/>
      </c>
      <c r="DZ67" s="128">
        <f>(DP67-DD67)/DD67</f>
        <v/>
      </c>
      <c r="EA67" s="129">
        <f>(DR67-DF67)/DF67</f>
        <v/>
      </c>
    </row>
    <row r="68">
      <c r="A68" s="504" t="n"/>
      <c r="B68" s="7" t="n"/>
      <c r="C68" s="628" t="n"/>
      <c r="D68" s="628" t="n"/>
      <c r="E68" s="47" t="inlineStr">
        <is>
          <t>-</t>
        </is>
      </c>
      <c r="F68" s="504" t="n"/>
      <c r="G68" s="7" t="n"/>
      <c r="H68" s="53" t="n"/>
      <c r="I68" s="53" t="n"/>
      <c r="J68" s="628" t="n"/>
      <c r="K68" s="628" t="n"/>
      <c r="L68" s="628" t="n"/>
      <c r="M68" s="628" t="n"/>
      <c r="N68" s="628" t="n"/>
      <c r="O68" s="53" t="n"/>
      <c r="P68" s="628" t="n"/>
      <c r="Q68" s="47" t="inlineStr">
        <is>
          <t>-</t>
        </is>
      </c>
      <c r="R68" s="504" t="n"/>
      <c r="S68" s="7" t="n"/>
      <c r="T68" s="53" t="n"/>
      <c r="U68" s="53" t="n"/>
      <c r="V68" s="628" t="n"/>
      <c r="W68" s="628" t="n"/>
      <c r="X68" s="628" t="n"/>
      <c r="Y68" s="628" t="n"/>
      <c r="Z68" s="628" t="n"/>
      <c r="AA68" s="53" t="n"/>
      <c r="AB68" s="628" t="n"/>
      <c r="AC68" s="47" t="inlineStr">
        <is>
          <t>-</t>
        </is>
      </c>
      <c r="AD68" s="504" t="n"/>
      <c r="AE68" s="7" t="n"/>
      <c r="AF68" s="53" t="n"/>
      <c r="AG68" s="53" t="n"/>
      <c r="AH68" s="628" t="n"/>
      <c r="AI68" s="628" t="n"/>
      <c r="AJ68" s="628" t="n"/>
      <c r="AK68" s="628" t="n"/>
      <c r="AL68" s="628" t="n"/>
      <c r="AM68" s="53" t="n"/>
      <c r="AN68" s="628" t="n"/>
      <c r="AO68" s="47" t="inlineStr">
        <is>
          <t>-</t>
        </is>
      </c>
      <c r="AP68" s="504" t="n"/>
      <c r="AQ68" s="7" t="n"/>
      <c r="AR68" s="53" t="n"/>
      <c r="AS68" s="53" t="n"/>
      <c r="AT68" s="628" t="n"/>
      <c r="AU68" s="628" t="n"/>
      <c r="AV68" s="628" t="n"/>
      <c r="AW68" s="628" t="n"/>
      <c r="AX68" s="628" t="n"/>
      <c r="AY68" s="53" t="n"/>
      <c r="AZ68" s="628" t="n"/>
      <c r="BA68" s="47" t="inlineStr">
        <is>
          <t>-</t>
        </is>
      </c>
      <c r="BB68" s="504" t="n"/>
      <c r="BC68" s="7" t="n"/>
      <c r="BD68" s="53" t="n"/>
      <c r="BE68" s="53" t="n"/>
      <c r="BF68" s="628" t="n"/>
      <c r="BG68" s="628" t="n"/>
      <c r="BH68" s="628" t="n"/>
      <c r="BI68" s="628" t="n"/>
      <c r="BJ68" s="628" t="n"/>
      <c r="BK68" s="53" t="n"/>
      <c r="BL68" s="628" t="n"/>
      <c r="BM68" s="47" t="inlineStr">
        <is>
          <t>-</t>
        </is>
      </c>
      <c r="BN68" s="55" t="n"/>
      <c r="BO68" s="7" t="n"/>
      <c r="BP68" s="53" t="n"/>
      <c r="BQ68" s="53" t="n"/>
      <c r="BR68" s="628" t="n"/>
      <c r="BS68" s="628" t="n"/>
      <c r="BT68" s="628" t="n"/>
      <c r="BU68" s="628" t="n"/>
      <c r="BV68" s="628" t="n"/>
      <c r="BW68" s="56" t="n"/>
      <c r="BX68" s="629" t="n"/>
      <c r="BY68" s="47" t="inlineStr">
        <is>
          <t>-</t>
        </is>
      </c>
      <c r="BZ68" s="55" t="n"/>
      <c r="CA68" s="7" t="n"/>
      <c r="CB68" s="53" t="n"/>
      <c r="CC68" s="53" t="n"/>
      <c r="CD68" s="628" t="n"/>
      <c r="CE68" s="628" t="n"/>
      <c r="CF68" s="628" t="n"/>
      <c r="CG68" s="628" t="n"/>
      <c r="CH68" s="628" t="n"/>
      <c r="CI68" s="56" t="n"/>
      <c r="CJ68" s="629" t="n"/>
      <c r="CK68" s="47" t="inlineStr">
        <is>
          <t>-</t>
        </is>
      </c>
      <c r="CL68" s="504" t="n"/>
      <c r="CM68" s="7" t="n"/>
      <c r="CN68" s="53" t="n"/>
      <c r="CO68" s="53" t="n"/>
      <c r="CP68" s="628" t="n"/>
      <c r="CQ68" s="628" t="n"/>
      <c r="CR68" s="628" t="n"/>
      <c r="CS68" s="628" t="n"/>
      <c r="CT68" s="628" t="n"/>
      <c r="CU68" s="56" t="n"/>
      <c r="CV68" s="628" t="n"/>
      <c r="CW68" s="47" t="inlineStr">
        <is>
          <t>-</t>
        </is>
      </c>
      <c r="CX68" s="504" t="n"/>
      <c r="CY68" s="7" t="n"/>
      <c r="CZ68" s="53" t="n"/>
      <c r="DA68" s="53" t="n"/>
      <c r="DB68" s="628" t="n"/>
      <c r="DC68" s="628" t="n"/>
      <c r="DD68" s="628" t="n"/>
      <c r="DE68" s="628" t="n"/>
      <c r="DF68" s="628" t="n"/>
      <c r="DG68" s="53" t="n"/>
      <c r="DH68" s="628" t="n"/>
      <c r="DI68" s="2" t="inlineStr">
        <is>
          <t>-</t>
        </is>
      </c>
      <c r="DJ68" s="616" t="n"/>
      <c r="DK68" s="630" t="n"/>
      <c r="DL68" s="79" t="n"/>
      <c r="DM68" s="79" t="n"/>
      <c r="DN68" s="616" t="n"/>
      <c r="DO68" s="616" t="n"/>
      <c r="DP68" s="616" t="n"/>
      <c r="DQ68" s="616" t="n"/>
      <c r="DR68" s="616" t="n"/>
      <c r="DS68" s="79" t="n"/>
      <c r="DT68" s="616" t="n"/>
      <c r="DU68" s="2" t="inlineStr">
        <is>
          <t>-</t>
        </is>
      </c>
      <c r="DV68" s="103" t="n"/>
      <c r="DW68" s="103" t="n"/>
      <c r="DX68" s="2" t="inlineStr">
        <is>
          <t>-</t>
        </is>
      </c>
      <c r="DY68" s="103" t="inlineStr">
        <is>
          <t>-</t>
        </is>
      </c>
      <c r="DZ68" s="103" t="inlineStr">
        <is>
          <t>-</t>
        </is>
      </c>
      <c r="EA68" s="103" t="inlineStr">
        <is>
          <t>-</t>
        </is>
      </c>
    </row>
    <row r="69">
      <c r="A69" s="503" t="inlineStr">
        <is>
          <t>II</t>
        </is>
      </c>
      <c r="B69" s="20" t="inlineStr">
        <is>
          <t>Growth/Equity Oriented Schemes</t>
        </is>
      </c>
      <c r="C69" s="628" t="n"/>
      <c r="D69" s="628" t="n"/>
      <c r="E69" s="47" t="inlineStr">
        <is>
          <t>-</t>
        </is>
      </c>
      <c r="F69" s="503" t="inlineStr">
        <is>
          <t>II</t>
        </is>
      </c>
      <c r="G69" s="20" t="inlineStr">
        <is>
          <t>Growth/Equity Oriented Schemes</t>
        </is>
      </c>
      <c r="H69" s="53" t="n"/>
      <c r="I69" s="53" t="n"/>
      <c r="J69" s="628" t="n"/>
      <c r="K69" s="628" t="n"/>
      <c r="L69" s="628" t="n"/>
      <c r="M69" s="628" t="n"/>
      <c r="N69" s="628" t="n"/>
      <c r="O69" s="53" t="n"/>
      <c r="P69" s="628" t="n"/>
      <c r="Q69" s="47" t="inlineStr">
        <is>
          <t>-</t>
        </is>
      </c>
      <c r="R69" s="503" t="inlineStr">
        <is>
          <t>II</t>
        </is>
      </c>
      <c r="S69" s="20" t="inlineStr">
        <is>
          <t>Growth/Equity Oriented Schemes</t>
        </is>
      </c>
      <c r="T69" s="53" t="n"/>
      <c r="U69" s="53" t="n"/>
      <c r="V69" s="628" t="n"/>
      <c r="W69" s="628" t="n"/>
      <c r="X69" s="628" t="n"/>
      <c r="Y69" s="628" t="n"/>
      <c r="Z69" s="628" t="n"/>
      <c r="AA69" s="53" t="n"/>
      <c r="AB69" s="628" t="n"/>
      <c r="AC69" s="47" t="inlineStr">
        <is>
          <t>-</t>
        </is>
      </c>
      <c r="AD69" s="503" t="inlineStr">
        <is>
          <t>II</t>
        </is>
      </c>
      <c r="AE69" s="20" t="inlineStr">
        <is>
          <t>Growth/Equity Oriented Schemes</t>
        </is>
      </c>
      <c r="AF69" s="53" t="n"/>
      <c r="AG69" s="53" t="n"/>
      <c r="AH69" s="628" t="n"/>
      <c r="AI69" s="628" t="n"/>
      <c r="AJ69" s="628" t="n"/>
      <c r="AK69" s="628" t="n"/>
      <c r="AL69" s="628" t="n"/>
      <c r="AM69" s="53" t="n"/>
      <c r="AN69" s="628" t="n"/>
      <c r="AO69" s="47" t="inlineStr">
        <is>
          <t>-</t>
        </is>
      </c>
      <c r="AP69" s="503" t="inlineStr">
        <is>
          <t>II</t>
        </is>
      </c>
      <c r="AQ69" s="20" t="inlineStr">
        <is>
          <t>Growth/Equity Oriented Schemes</t>
        </is>
      </c>
      <c r="AR69" s="53" t="n"/>
      <c r="AS69" s="53" t="n"/>
      <c r="AT69" s="628" t="n"/>
      <c r="AU69" s="628" t="n"/>
      <c r="AV69" s="628" t="n"/>
      <c r="AW69" s="628" t="n"/>
      <c r="AX69" s="628" t="n"/>
      <c r="AY69" s="53" t="n"/>
      <c r="AZ69" s="628" t="n"/>
      <c r="BA69" s="47" t="inlineStr">
        <is>
          <t>-</t>
        </is>
      </c>
      <c r="BB69" s="503" t="inlineStr">
        <is>
          <t>II</t>
        </is>
      </c>
      <c r="BC69" s="20" t="inlineStr">
        <is>
          <t>Growth/Equity Oriented Schemes</t>
        </is>
      </c>
      <c r="BD69" s="53" t="n"/>
      <c r="BE69" s="53" t="n"/>
      <c r="BF69" s="628" t="n"/>
      <c r="BG69" s="628" t="n"/>
      <c r="BH69" s="628" t="n"/>
      <c r="BI69" s="628" t="n"/>
      <c r="BJ69" s="628" t="n"/>
      <c r="BK69" s="53" t="n"/>
      <c r="BL69" s="628" t="n"/>
      <c r="BM69" s="47" t="inlineStr">
        <is>
          <t>-</t>
        </is>
      </c>
      <c r="BN69" s="514" t="inlineStr">
        <is>
          <t>II</t>
        </is>
      </c>
      <c r="BO69" s="20" t="inlineStr">
        <is>
          <t>Growth/Equity Oriented Schemes</t>
        </is>
      </c>
      <c r="BP69" s="53" t="n"/>
      <c r="BQ69" s="53" t="n"/>
      <c r="BR69" s="628" t="n"/>
      <c r="BS69" s="628" t="n"/>
      <c r="BT69" s="628" t="n"/>
      <c r="BU69" s="628" t="n"/>
      <c r="BV69" s="628" t="n"/>
      <c r="BW69" s="56" t="n"/>
      <c r="BX69" s="629" t="n"/>
      <c r="BY69" s="47" t="inlineStr">
        <is>
          <t>-</t>
        </is>
      </c>
      <c r="BZ69" s="514" t="inlineStr">
        <is>
          <t>II</t>
        </is>
      </c>
      <c r="CA69" s="20" t="inlineStr">
        <is>
          <t>Growth/Equity Oriented Schemes</t>
        </is>
      </c>
      <c r="CB69" s="53" t="n"/>
      <c r="CC69" s="53" t="n"/>
      <c r="CD69" s="628" t="n"/>
      <c r="CE69" s="628" t="n"/>
      <c r="CF69" s="628" t="n"/>
      <c r="CG69" s="628" t="n"/>
      <c r="CH69" s="628" t="n"/>
      <c r="CI69" s="56" t="n"/>
      <c r="CJ69" s="629" t="n"/>
      <c r="CK69" s="47" t="inlineStr">
        <is>
          <t>-</t>
        </is>
      </c>
      <c r="CL69" s="503" t="inlineStr">
        <is>
          <t>II</t>
        </is>
      </c>
      <c r="CM69" s="20" t="inlineStr">
        <is>
          <t>Growth/Equity Oriented Schemes</t>
        </is>
      </c>
      <c r="CN69" s="53" t="n"/>
      <c r="CO69" s="53" t="n"/>
      <c r="CP69" s="628" t="n"/>
      <c r="CQ69" s="628" t="n"/>
      <c r="CR69" s="628" t="n"/>
      <c r="CS69" s="628" t="n"/>
      <c r="CT69" s="628" t="n"/>
      <c r="CU69" s="56" t="n"/>
      <c r="CV69" s="628" t="n"/>
      <c r="CW69" s="47" t="inlineStr">
        <is>
          <t>-</t>
        </is>
      </c>
      <c r="CX69" s="503" t="inlineStr">
        <is>
          <t>II</t>
        </is>
      </c>
      <c r="CY69" s="20" t="inlineStr">
        <is>
          <t>Growth/Equity Oriented Schemes</t>
        </is>
      </c>
      <c r="CZ69" s="53" t="n"/>
      <c r="DA69" s="53" t="n"/>
      <c r="DB69" s="628" t="n"/>
      <c r="DC69" s="628" t="n"/>
      <c r="DD69" s="628" t="n"/>
      <c r="DE69" s="628" t="n"/>
      <c r="DF69" s="628" t="n"/>
      <c r="DG69" s="53" t="n"/>
      <c r="DH69" s="628" t="n"/>
      <c r="DI69" s="2" t="inlineStr">
        <is>
          <t>-</t>
        </is>
      </c>
      <c r="DJ69" s="612" t="inlineStr">
        <is>
          <t>II</t>
        </is>
      </c>
      <c r="DK69" s="615" t="inlineStr">
        <is>
          <t>Growth/Equity Oriented Schemes</t>
        </is>
      </c>
      <c r="DL69" s="79" t="n"/>
      <c r="DM69" s="79" t="n"/>
      <c r="DN69" s="616" t="n"/>
      <c r="DO69" s="616" t="n"/>
      <c r="DP69" s="616" t="n"/>
      <c r="DQ69" s="616" t="n"/>
      <c r="DR69" s="616" t="n"/>
      <c r="DS69" s="79" t="n"/>
      <c r="DT69" s="616" t="n"/>
      <c r="DU69" s="2" t="inlineStr">
        <is>
          <t>-</t>
        </is>
      </c>
      <c r="DV69" s="103" t="n"/>
      <c r="DW69" s="103" t="n"/>
      <c r="DX69" s="2" t="inlineStr">
        <is>
          <t>-</t>
        </is>
      </c>
      <c r="DY69" s="103" t="inlineStr">
        <is>
          <t>-</t>
        </is>
      </c>
      <c r="DZ69" s="103" t="inlineStr">
        <is>
          <t>-</t>
        </is>
      </c>
      <c r="EA69" s="103" t="inlineStr">
        <is>
          <t>-</t>
        </is>
      </c>
    </row>
    <row r="70">
      <c r="A70" s="16" t="inlineStr">
        <is>
          <t>i</t>
        </is>
      </c>
      <c r="B70" s="15" t="inlineStr">
        <is>
          <t>ELSS</t>
        </is>
      </c>
      <c r="C70" s="617" t="n">
        <v>4034.52047105</v>
      </c>
      <c r="D70" s="617" t="n">
        <v>3977.88973982</v>
      </c>
      <c r="E70" s="47" t="inlineStr">
        <is>
          <t>-</t>
        </is>
      </c>
      <c r="F70" s="16" t="inlineStr">
        <is>
          <t>i</t>
        </is>
      </c>
      <c r="G70" s="15" t="inlineStr">
        <is>
          <t>ELSS</t>
        </is>
      </c>
      <c r="H70" s="14" t="n">
        <v>15</v>
      </c>
      <c r="I70" s="14" t="n">
        <v>258637</v>
      </c>
      <c r="J70" s="617" t="n">
        <v>0</v>
      </c>
      <c r="K70" s="617" t="n">
        <v>15.59950497</v>
      </c>
      <c r="L70" s="617" t="n">
        <v>-15.59950497</v>
      </c>
      <c r="M70" s="617" t="n">
        <v>4174.27769669</v>
      </c>
      <c r="N70" s="617" t="n">
        <v>4052.95072268</v>
      </c>
      <c r="O70" s="14" t="n">
        <v>0</v>
      </c>
      <c r="P70" s="617" t="n">
        <v>0</v>
      </c>
      <c r="Q70" s="47" t="inlineStr">
        <is>
          <t>-</t>
        </is>
      </c>
      <c r="R70" s="16" t="inlineStr">
        <is>
          <t>i</t>
        </is>
      </c>
      <c r="S70" s="15" t="inlineStr">
        <is>
          <t>ELSS</t>
        </is>
      </c>
      <c r="T70" s="14" t="n">
        <v>15</v>
      </c>
      <c r="U70" s="14" t="n">
        <v>257771</v>
      </c>
      <c r="V70" s="617" t="n">
        <v>0</v>
      </c>
      <c r="W70" s="617" t="n">
        <v>18.56376859</v>
      </c>
      <c r="X70" s="617" t="n">
        <v>-18.56376859</v>
      </c>
      <c r="Y70" s="617" t="n">
        <v>4272.93528475</v>
      </c>
      <c r="Z70" s="617" t="n">
        <v>4227.20016899</v>
      </c>
      <c r="AA70" s="14" t="n">
        <v>0</v>
      </c>
      <c r="AB70" s="617" t="n">
        <v>0</v>
      </c>
      <c r="AC70" s="47" t="inlineStr">
        <is>
          <t>-</t>
        </is>
      </c>
      <c r="AD70" s="16" t="inlineStr">
        <is>
          <t>i</t>
        </is>
      </c>
      <c r="AE70" s="15" t="inlineStr">
        <is>
          <t>ELSS</t>
        </is>
      </c>
      <c r="AF70" s="14" t="n">
        <v>15</v>
      </c>
      <c r="AG70" s="14" t="n">
        <v>256846</v>
      </c>
      <c r="AH70" s="617" t="n">
        <v>0</v>
      </c>
      <c r="AI70" s="617" t="n">
        <v>19.11820733</v>
      </c>
      <c r="AJ70" s="617" t="n">
        <v>-19.11820733</v>
      </c>
      <c r="AK70" s="617" t="n">
        <v>4398.63994305</v>
      </c>
      <c r="AL70" s="617" t="n">
        <v>4324.40884125</v>
      </c>
      <c r="AM70" s="14" t="n">
        <v>0</v>
      </c>
      <c r="AN70" s="617" t="n">
        <v>0</v>
      </c>
      <c r="AO70" s="47" t="inlineStr">
        <is>
          <t>-</t>
        </is>
      </c>
      <c r="AP70" s="16" t="inlineStr">
        <is>
          <t>i</t>
        </is>
      </c>
      <c r="AQ70" s="15" t="inlineStr">
        <is>
          <t>ELSS</t>
        </is>
      </c>
      <c r="AR70" s="14" t="n">
        <v>15</v>
      </c>
      <c r="AS70" s="14" t="n">
        <v>255907</v>
      </c>
      <c r="AT70" s="617" t="n">
        <v>0</v>
      </c>
      <c r="AU70" s="617" t="n">
        <v>29.72439492</v>
      </c>
      <c r="AV70" s="617" t="n">
        <v>-29.72439492</v>
      </c>
      <c r="AW70" s="617" t="n">
        <v>4275.53242953</v>
      </c>
      <c r="AX70" s="617" t="n">
        <v>4342.10802603</v>
      </c>
      <c r="AY70" s="14" t="n">
        <v>0</v>
      </c>
      <c r="AZ70" s="617" t="n">
        <v>0</v>
      </c>
      <c r="BA70" s="47" t="inlineStr">
        <is>
          <t>-</t>
        </is>
      </c>
      <c r="BB70" s="16" t="inlineStr">
        <is>
          <t>i</t>
        </is>
      </c>
      <c r="BC70" s="15" t="inlineStr">
        <is>
          <t>ELSS</t>
        </is>
      </c>
      <c r="BD70" s="14" t="n">
        <v>15</v>
      </c>
      <c r="BE70" s="14" t="n">
        <v>255243</v>
      </c>
      <c r="BF70" s="617" t="n">
        <v>0</v>
      </c>
      <c r="BG70" s="617" t="n">
        <v>13.04429965</v>
      </c>
      <c r="BH70" s="617" t="n">
        <v>-13.04429965</v>
      </c>
      <c r="BI70" s="617" t="n">
        <v>4219.15559474</v>
      </c>
      <c r="BJ70" s="617" t="n">
        <v>4244.9541176</v>
      </c>
      <c r="BK70" s="14" t="n">
        <v>0</v>
      </c>
      <c r="BL70" s="617" t="n">
        <v>0</v>
      </c>
      <c r="BM70" s="47" t="inlineStr">
        <is>
          <t>-</t>
        </is>
      </c>
      <c r="BN70" s="19" t="inlineStr">
        <is>
          <t>i</t>
        </is>
      </c>
      <c r="BO70" s="15" t="inlineStr">
        <is>
          <t>ELSS</t>
        </is>
      </c>
      <c r="BP70" s="14" t="n">
        <v>15</v>
      </c>
      <c r="BQ70" s="14" t="n">
        <v>254488</v>
      </c>
      <c r="BR70" s="617" t="n">
        <v>0</v>
      </c>
      <c r="BS70" s="617" t="n">
        <v>16.9167851</v>
      </c>
      <c r="BT70" s="617" t="n">
        <v>-16.9167851</v>
      </c>
      <c r="BU70" s="617" t="n">
        <v>4230.78224108</v>
      </c>
      <c r="BV70" s="617" t="n">
        <v>4297.06785736</v>
      </c>
      <c r="BW70" s="17" t="n">
        <v>0</v>
      </c>
      <c r="BX70" s="618" t="n">
        <v>0</v>
      </c>
      <c r="BY70" s="47" t="inlineStr">
        <is>
          <t>-</t>
        </is>
      </c>
      <c r="BZ70" s="19" t="inlineStr">
        <is>
          <t>i</t>
        </is>
      </c>
      <c r="CA70" s="15" t="inlineStr">
        <is>
          <t>ELSS</t>
        </is>
      </c>
      <c r="CB70" s="14" t="n">
        <v>15</v>
      </c>
      <c r="CC70" s="14" t="n">
        <v>253748</v>
      </c>
      <c r="CD70" s="617" t="n">
        <v>0</v>
      </c>
      <c r="CE70" s="617" t="n">
        <v>18.71692779</v>
      </c>
      <c r="CF70" s="617" t="n">
        <v>-18.71692779</v>
      </c>
      <c r="CG70" s="617" t="n">
        <v>4346.99072433</v>
      </c>
      <c r="CH70" s="617" t="n">
        <v>4332.37772443</v>
      </c>
      <c r="CI70" s="17" t="n">
        <v>0</v>
      </c>
      <c r="CJ70" s="618" t="n">
        <v>0</v>
      </c>
      <c r="CK70" s="47" t="inlineStr">
        <is>
          <t>-</t>
        </is>
      </c>
      <c r="CL70" s="16" t="inlineStr">
        <is>
          <t>i</t>
        </is>
      </c>
      <c r="CM70" s="15" t="inlineStr">
        <is>
          <t>ELSS</t>
        </is>
      </c>
      <c r="CN70" s="14" t="n">
        <v>15</v>
      </c>
      <c r="CO70" s="14" t="n">
        <v>252978</v>
      </c>
      <c r="CP70" s="617" t="n">
        <v>0</v>
      </c>
      <c r="CQ70" s="617" t="n">
        <v>17.43727756</v>
      </c>
      <c r="CR70" s="617" t="n">
        <v>-17.43727756</v>
      </c>
      <c r="CS70" s="617" t="n">
        <v>4370.84697197</v>
      </c>
      <c r="CT70" s="617" t="n">
        <v>4347.75997224</v>
      </c>
      <c r="CU70" s="17" t="n">
        <v>0</v>
      </c>
      <c r="CV70" s="617" t="n">
        <v>0</v>
      </c>
      <c r="CW70" s="47" t="inlineStr">
        <is>
          <t>-</t>
        </is>
      </c>
      <c r="CX70" s="16" t="inlineStr">
        <is>
          <t>i</t>
        </is>
      </c>
      <c r="CY70" s="15" t="inlineStr">
        <is>
          <t>ELSS</t>
        </is>
      </c>
      <c r="CZ70" s="14" t="n">
        <v>15</v>
      </c>
      <c r="DA70" s="14" t="n">
        <v>252071</v>
      </c>
      <c r="DB70" s="617" t="n">
        <v>0</v>
      </c>
      <c r="DC70" s="617" t="n">
        <v>19.2519785</v>
      </c>
      <c r="DD70" s="617" t="n">
        <v>-19.2519785</v>
      </c>
      <c r="DE70" s="624" t="n">
        <v>4342.88181702</v>
      </c>
      <c r="DF70" s="617" t="n">
        <v>4334.93113556</v>
      </c>
      <c r="DG70" s="14" t="n">
        <v>0</v>
      </c>
      <c r="DH70" s="617" t="n">
        <v>0</v>
      </c>
      <c r="DI70" s="2" t="inlineStr">
        <is>
          <t>-</t>
        </is>
      </c>
      <c r="DJ70" s="620" t="inlineStr">
        <is>
          <t>i</t>
        </is>
      </c>
      <c r="DK70" s="621" t="inlineStr">
        <is>
          <t>ELSS</t>
        </is>
      </c>
      <c r="DL70" s="83" t="n">
        <v>15</v>
      </c>
      <c r="DM70" s="83" t="n">
        <v>251406</v>
      </c>
      <c r="DN70" s="622" t="n">
        <v>0</v>
      </c>
      <c r="DO70" s="622" t="n">
        <v>15.42499496</v>
      </c>
      <c r="DP70" s="622" t="n">
        <v>-15.42499496</v>
      </c>
      <c r="DQ70" s="625" t="n">
        <v>4196.2202252</v>
      </c>
      <c r="DR70" s="622" t="n">
        <v>4258.50841021</v>
      </c>
      <c r="DS70" s="83" t="n">
        <v>0</v>
      </c>
      <c r="DT70" s="622" t="n">
        <v>0</v>
      </c>
      <c r="DU70" s="2" t="inlineStr">
        <is>
          <t>-</t>
        </is>
      </c>
      <c r="DV70" s="127" t="n"/>
      <c r="DW70" s="128" t="n"/>
      <c r="DX70" s="2" t="inlineStr">
        <is>
          <t>-</t>
        </is>
      </c>
      <c r="DY70" s="127" t="n">
        <v>0</v>
      </c>
      <c r="DZ70" s="128">
        <f>(DP70-DD70)/DD70</f>
        <v/>
      </c>
      <c r="EA70" s="129">
        <f>(DR70-DF70)/DF70</f>
        <v/>
      </c>
    </row>
    <row r="71">
      <c r="A71" s="16" t="inlineStr">
        <is>
          <t>ii</t>
        </is>
      </c>
      <c r="B71" s="15" t="inlineStr">
        <is>
          <t>Other Equity Schemes</t>
        </is>
      </c>
      <c r="C71" s="617" t="n">
        <v>0</v>
      </c>
      <c r="D71" s="617" t="n">
        <v>0</v>
      </c>
      <c r="E71" s="47" t="inlineStr">
        <is>
          <t>-</t>
        </is>
      </c>
      <c r="F71" s="16" t="inlineStr">
        <is>
          <t>ii</t>
        </is>
      </c>
      <c r="G71" s="15" t="inlineStr">
        <is>
          <t>Other Equity Schemes</t>
        </is>
      </c>
      <c r="H71" s="14" t="n">
        <v>0</v>
      </c>
      <c r="I71" s="14" t="n">
        <v>0</v>
      </c>
      <c r="J71" s="617" t="n">
        <v>0</v>
      </c>
      <c r="K71" s="617" t="n">
        <v>0</v>
      </c>
      <c r="L71" s="617" t="n">
        <v>0</v>
      </c>
      <c r="M71" s="617" t="n">
        <v>0</v>
      </c>
      <c r="N71" s="617" t="n">
        <v>0</v>
      </c>
      <c r="O71" s="14" t="n">
        <v>0</v>
      </c>
      <c r="P71" s="617" t="n">
        <v>0</v>
      </c>
      <c r="Q71" s="47" t="inlineStr">
        <is>
          <t>-</t>
        </is>
      </c>
      <c r="R71" s="16" t="inlineStr">
        <is>
          <t>ii</t>
        </is>
      </c>
      <c r="S71" s="15" t="inlineStr">
        <is>
          <t>Other Equity Schemes</t>
        </is>
      </c>
      <c r="T71" s="14" t="n">
        <v>0</v>
      </c>
      <c r="U71" s="14" t="n">
        <v>0</v>
      </c>
      <c r="V71" s="617" t="n">
        <v>0</v>
      </c>
      <c r="W71" s="617" t="n">
        <v>0</v>
      </c>
      <c r="X71" s="617" t="n">
        <v>0</v>
      </c>
      <c r="Y71" s="617" t="n">
        <v>0</v>
      </c>
      <c r="Z71" s="617" t="n">
        <v>0</v>
      </c>
      <c r="AA71" s="14" t="n">
        <v>0</v>
      </c>
      <c r="AB71" s="617" t="n">
        <v>0</v>
      </c>
      <c r="AC71" s="47" t="inlineStr">
        <is>
          <t>-</t>
        </is>
      </c>
      <c r="AD71" s="16" t="inlineStr">
        <is>
          <t>ii</t>
        </is>
      </c>
      <c r="AE71" s="15" t="inlineStr">
        <is>
          <t>Other Equity Schemes</t>
        </is>
      </c>
      <c r="AF71" s="14" t="n">
        <v>0</v>
      </c>
      <c r="AG71" s="14" t="n">
        <v>0</v>
      </c>
      <c r="AH71" s="617" t="n">
        <v>0</v>
      </c>
      <c r="AI71" s="617" t="n">
        <v>0</v>
      </c>
      <c r="AJ71" s="617" t="n">
        <v>0</v>
      </c>
      <c r="AK71" s="617" t="n">
        <v>0</v>
      </c>
      <c r="AL71" s="617" t="n">
        <v>0</v>
      </c>
      <c r="AM71" s="14" t="n">
        <v>0</v>
      </c>
      <c r="AN71" s="617" t="n">
        <v>0</v>
      </c>
      <c r="AO71" s="47" t="inlineStr">
        <is>
          <t>-</t>
        </is>
      </c>
      <c r="AP71" s="16" t="inlineStr">
        <is>
          <t>ii</t>
        </is>
      </c>
      <c r="AQ71" s="15" t="inlineStr">
        <is>
          <t>Other Equity Schemes</t>
        </is>
      </c>
      <c r="AR71" s="14" t="n">
        <v>0</v>
      </c>
      <c r="AS71" s="14" t="n">
        <v>0</v>
      </c>
      <c r="AT71" s="617" t="n">
        <v>0</v>
      </c>
      <c r="AU71" s="617" t="n">
        <v>0</v>
      </c>
      <c r="AV71" s="617" t="n">
        <v>0</v>
      </c>
      <c r="AW71" s="617" t="n">
        <v>0</v>
      </c>
      <c r="AX71" s="617" t="n">
        <v>0</v>
      </c>
      <c r="AY71" s="14" t="n">
        <v>0</v>
      </c>
      <c r="AZ71" s="617" t="n">
        <v>0</v>
      </c>
      <c r="BA71" s="47" t="inlineStr">
        <is>
          <t>-</t>
        </is>
      </c>
      <c r="BB71" s="16" t="inlineStr">
        <is>
          <t>ii</t>
        </is>
      </c>
      <c r="BC71" s="15" t="inlineStr">
        <is>
          <t>Other Equity Schemes</t>
        </is>
      </c>
      <c r="BD71" s="14" t="n">
        <v>0</v>
      </c>
      <c r="BE71" s="14" t="n">
        <v>0</v>
      </c>
      <c r="BF71" s="617" t="n">
        <v>0</v>
      </c>
      <c r="BG71" s="617" t="n">
        <v>0</v>
      </c>
      <c r="BH71" s="617" t="n">
        <v>0</v>
      </c>
      <c r="BI71" s="617" t="n">
        <v>0</v>
      </c>
      <c r="BJ71" s="617" t="n">
        <v>0</v>
      </c>
      <c r="BK71" s="14" t="n">
        <v>0</v>
      </c>
      <c r="BL71" s="617" t="n">
        <v>0</v>
      </c>
      <c r="BM71" s="47" t="inlineStr">
        <is>
          <t>-</t>
        </is>
      </c>
      <c r="BN71" s="19" t="inlineStr">
        <is>
          <t>ii</t>
        </is>
      </c>
      <c r="BO71" s="15" t="inlineStr">
        <is>
          <t>Other Equity Schemes</t>
        </is>
      </c>
      <c r="BP71" s="14" t="n">
        <v>0</v>
      </c>
      <c r="BQ71" s="14" t="n">
        <v>0</v>
      </c>
      <c r="BR71" s="617" t="n">
        <v>0</v>
      </c>
      <c r="BS71" s="617" t="n">
        <v>0</v>
      </c>
      <c r="BT71" s="617" t="n">
        <v>0</v>
      </c>
      <c r="BU71" s="617" t="n">
        <v>0</v>
      </c>
      <c r="BV71" s="617" t="n">
        <v>0</v>
      </c>
      <c r="BW71" s="17" t="n">
        <v>0</v>
      </c>
      <c r="BX71" s="618" t="n">
        <v>0</v>
      </c>
      <c r="BY71" s="47" t="inlineStr">
        <is>
          <t>-</t>
        </is>
      </c>
      <c r="BZ71" s="19" t="inlineStr">
        <is>
          <t>ii</t>
        </is>
      </c>
      <c r="CA71" s="15" t="inlineStr">
        <is>
          <t>Other Equity Schemes</t>
        </is>
      </c>
      <c r="CB71" s="14" t="n">
        <v>0</v>
      </c>
      <c r="CC71" s="14" t="n">
        <v>0</v>
      </c>
      <c r="CD71" s="617" t="n">
        <v>0</v>
      </c>
      <c r="CE71" s="617" t="n">
        <v>0</v>
      </c>
      <c r="CF71" s="617" t="n">
        <v>0</v>
      </c>
      <c r="CG71" s="617" t="n">
        <v>0</v>
      </c>
      <c r="CH71" s="617" t="n">
        <v>0</v>
      </c>
      <c r="CI71" s="17" t="n">
        <v>0</v>
      </c>
      <c r="CJ71" s="618" t="n">
        <v>0</v>
      </c>
      <c r="CK71" s="47" t="inlineStr">
        <is>
          <t>-</t>
        </is>
      </c>
      <c r="CL71" s="16" t="inlineStr">
        <is>
          <t>ii</t>
        </is>
      </c>
      <c r="CM71" s="15" t="inlineStr">
        <is>
          <t>Other Equity Schemes</t>
        </is>
      </c>
      <c r="CN71" s="14" t="n">
        <v>0</v>
      </c>
      <c r="CO71" s="14" t="n">
        <v>0</v>
      </c>
      <c r="CP71" s="617" t="n">
        <v>0</v>
      </c>
      <c r="CQ71" s="617" t="n">
        <v>0</v>
      </c>
      <c r="CR71" s="617" t="n">
        <v>0</v>
      </c>
      <c r="CS71" s="617" t="n">
        <v>0</v>
      </c>
      <c r="CT71" s="617" t="n">
        <v>0</v>
      </c>
      <c r="CU71" s="17" t="n">
        <v>0</v>
      </c>
      <c r="CV71" s="617" t="n">
        <v>0</v>
      </c>
      <c r="CW71" s="47" t="inlineStr">
        <is>
          <t>-</t>
        </is>
      </c>
      <c r="CX71" s="16" t="inlineStr">
        <is>
          <t>ii</t>
        </is>
      </c>
      <c r="CY71" s="15" t="inlineStr">
        <is>
          <t>Other Equity Schemes</t>
        </is>
      </c>
      <c r="CZ71" s="14" t="n">
        <v>0</v>
      </c>
      <c r="DA71" s="14" t="n">
        <v>0</v>
      </c>
      <c r="DB71" s="617" t="n">
        <v>0</v>
      </c>
      <c r="DC71" s="617" t="n">
        <v>0</v>
      </c>
      <c r="DD71" s="617" t="n">
        <v>0</v>
      </c>
      <c r="DE71" s="617" t="n">
        <v>0</v>
      </c>
      <c r="DF71" s="617" t="n">
        <v>0</v>
      </c>
      <c r="DG71" s="14" t="n">
        <v>0</v>
      </c>
      <c r="DH71" s="617" t="n">
        <v>0</v>
      </c>
      <c r="DI71" s="2" t="inlineStr">
        <is>
          <t>-</t>
        </is>
      </c>
      <c r="DJ71" s="620" t="inlineStr">
        <is>
          <t>ii</t>
        </is>
      </c>
      <c r="DK71" s="621" t="inlineStr">
        <is>
          <t>Other Equity Schemes</t>
        </is>
      </c>
      <c r="DL71" s="83" t="n">
        <v>0</v>
      </c>
      <c r="DM71" s="83" t="n">
        <v>0</v>
      </c>
      <c r="DN71" s="622" t="n">
        <v>0</v>
      </c>
      <c r="DO71" s="622" t="n">
        <v>0</v>
      </c>
      <c r="DP71" s="622" t="n">
        <v>0</v>
      </c>
      <c r="DQ71" s="622" t="n">
        <v>0</v>
      </c>
      <c r="DR71" s="622" t="n">
        <v>0</v>
      </c>
      <c r="DS71" s="83" t="n">
        <v>0</v>
      </c>
      <c r="DT71" s="622" t="n">
        <v>0</v>
      </c>
      <c r="DU71" s="2" t="inlineStr">
        <is>
          <t>-</t>
        </is>
      </c>
      <c r="DV71" s="103" t="n"/>
      <c r="DW71" s="103" t="n"/>
      <c r="DX71" s="2" t="inlineStr">
        <is>
          <t>-</t>
        </is>
      </c>
      <c r="DY71" s="103" t="inlineStr">
        <is>
          <t>-</t>
        </is>
      </c>
      <c r="DZ71" s="103" t="inlineStr">
        <is>
          <t>-</t>
        </is>
      </c>
      <c r="EA71" s="103" t="inlineStr">
        <is>
          <t>-</t>
        </is>
      </c>
    </row>
    <row r="72">
      <c r="A72" s="25" t="n"/>
      <c r="B72" s="25" t="inlineStr">
        <is>
          <t>Sub Total (i+ii)</t>
        </is>
      </c>
      <c r="C72" s="24">
        <f>SUM(C70:C71)</f>
        <v/>
      </c>
      <c r="D72" s="24">
        <f>SUM(D70:D71)</f>
        <v/>
      </c>
      <c r="E72" s="47" t="inlineStr">
        <is>
          <t>-</t>
        </is>
      </c>
      <c r="F72" s="25" t="n"/>
      <c r="G72" s="25" t="inlineStr">
        <is>
          <t>Sub Total (i+ii)</t>
        </is>
      </c>
      <c r="H72" s="24">
        <f>SUM(H70:H71)</f>
        <v/>
      </c>
      <c r="I72" s="24">
        <f>SUM(I70:I71)</f>
        <v/>
      </c>
      <c r="J72" s="24">
        <f>SUM(J70:J71)</f>
        <v/>
      </c>
      <c r="K72" s="24">
        <f>SUM(K70:K71)</f>
        <v/>
      </c>
      <c r="L72" s="24">
        <f>SUM(L70:L71)</f>
        <v/>
      </c>
      <c r="M72" s="24">
        <f>SUM(M70:M71)</f>
        <v/>
      </c>
      <c r="N72" s="24">
        <f>SUM(N70:N71)</f>
        <v/>
      </c>
      <c r="O72" s="24">
        <f>SUM(O70:O71)</f>
        <v/>
      </c>
      <c r="P72" s="24">
        <f>SUM(P70:P71)</f>
        <v/>
      </c>
      <c r="Q72" s="47" t="inlineStr">
        <is>
          <t>-</t>
        </is>
      </c>
      <c r="R72" s="25" t="n"/>
      <c r="S72" s="25" t="inlineStr">
        <is>
          <t>Sub Total (i+ii)</t>
        </is>
      </c>
      <c r="T72" s="24">
        <f>SUM(T70:T71)</f>
        <v/>
      </c>
      <c r="U72" s="24">
        <f>SUM(U70:U71)</f>
        <v/>
      </c>
      <c r="V72" s="24">
        <f>SUM(V70:V71)</f>
        <v/>
      </c>
      <c r="W72" s="24">
        <f>SUM(W70:W71)</f>
        <v/>
      </c>
      <c r="X72" s="24">
        <f>SUM(X70:X71)</f>
        <v/>
      </c>
      <c r="Y72" s="24">
        <f>SUM(Y70:Y71)</f>
        <v/>
      </c>
      <c r="Z72" s="24">
        <f>SUM(Z70:Z71)</f>
        <v/>
      </c>
      <c r="AA72" s="24">
        <f>SUM(AA70:AA71)</f>
        <v/>
      </c>
      <c r="AB72" s="24">
        <f>SUM(AB70:AB71)</f>
        <v/>
      </c>
      <c r="AC72" s="47" t="inlineStr">
        <is>
          <t>-</t>
        </is>
      </c>
      <c r="AD72" s="25" t="n"/>
      <c r="AE72" s="25" t="inlineStr">
        <is>
          <t>Sub Total (i+ii)</t>
        </is>
      </c>
      <c r="AF72" s="24">
        <f>SUM(AF70:AF71)</f>
        <v/>
      </c>
      <c r="AG72" s="24">
        <f>SUM(AG70:AG71)</f>
        <v/>
      </c>
      <c r="AH72" s="24">
        <f>SUM(AH70:AH71)</f>
        <v/>
      </c>
      <c r="AI72" s="24">
        <f>SUM(AI70:AI71)</f>
        <v/>
      </c>
      <c r="AJ72" s="24">
        <f>SUM(AJ70:AJ71)</f>
        <v/>
      </c>
      <c r="AK72" s="24">
        <f>SUM(AK70:AK71)</f>
        <v/>
      </c>
      <c r="AL72" s="24">
        <f>SUM(AL70:AL71)</f>
        <v/>
      </c>
      <c r="AM72" s="24">
        <f>SUM(AM70:AM71)</f>
        <v/>
      </c>
      <c r="AN72" s="24">
        <f>SUM(AN70:AN71)</f>
        <v/>
      </c>
      <c r="AO72" s="47" t="inlineStr">
        <is>
          <t>-</t>
        </is>
      </c>
      <c r="AP72" s="25" t="n"/>
      <c r="AQ72" s="25" t="inlineStr">
        <is>
          <t>Sub Total (i+ii)</t>
        </is>
      </c>
      <c r="AR72" s="24">
        <f>SUM(AR70:AR71)</f>
        <v/>
      </c>
      <c r="AS72" s="24">
        <f>SUM(AS70:AS71)</f>
        <v/>
      </c>
      <c r="AT72" s="24">
        <f>SUM(AT70:AT71)</f>
        <v/>
      </c>
      <c r="AU72" s="24">
        <f>SUM(AU70:AU71)</f>
        <v/>
      </c>
      <c r="AV72" s="24">
        <f>SUM(AV70:AV71)</f>
        <v/>
      </c>
      <c r="AW72" s="24">
        <f>SUM(AW70:AW71)</f>
        <v/>
      </c>
      <c r="AX72" s="24">
        <f>SUM(AX70:AX71)</f>
        <v/>
      </c>
      <c r="AY72" s="24">
        <f>SUM(AY70:AY71)</f>
        <v/>
      </c>
      <c r="AZ72" s="24">
        <f>SUM(AZ70:AZ71)</f>
        <v/>
      </c>
      <c r="BA72" s="47" t="inlineStr">
        <is>
          <t>-</t>
        </is>
      </c>
      <c r="BB72" s="25" t="n"/>
      <c r="BC72" s="25" t="inlineStr">
        <is>
          <t>Sub Total (i+ii)</t>
        </is>
      </c>
      <c r="BD72" s="24">
        <f>SUM(BD70:BD71)</f>
        <v/>
      </c>
      <c r="BE72" s="24">
        <f>SUM(BE70:BE71)</f>
        <v/>
      </c>
      <c r="BF72" s="24">
        <f>SUM(BF70:BF71)</f>
        <v/>
      </c>
      <c r="BG72" s="24">
        <f>SUM(BG70:BG71)</f>
        <v/>
      </c>
      <c r="BH72" s="24">
        <f>SUM(BH70:BH71)</f>
        <v/>
      </c>
      <c r="BI72" s="24">
        <f>SUM(BI70:BI71)</f>
        <v/>
      </c>
      <c r="BJ72" s="24">
        <f>SUM(BJ70:BJ71)</f>
        <v/>
      </c>
      <c r="BK72" s="24">
        <f>SUM(BK70:BK71)</f>
        <v/>
      </c>
      <c r="BL72" s="24">
        <f>SUM(BL70:BL71)</f>
        <v/>
      </c>
      <c r="BM72" s="47" t="inlineStr">
        <is>
          <t>-</t>
        </is>
      </c>
      <c r="BN72" s="25" t="n"/>
      <c r="BO72" s="25" t="inlineStr">
        <is>
          <t>Sub Total (i+ii)</t>
        </is>
      </c>
      <c r="BP72" s="24">
        <f>SUM(BP70:BP71)</f>
        <v/>
      </c>
      <c r="BQ72" s="24">
        <f>SUM(BQ70:BQ71)</f>
        <v/>
      </c>
      <c r="BR72" s="24">
        <f>SUM(BR70:BR71)</f>
        <v/>
      </c>
      <c r="BS72" s="24">
        <f>SUM(BS70:BS71)</f>
        <v/>
      </c>
      <c r="BT72" s="24">
        <f>SUM(BT70:BT71)</f>
        <v/>
      </c>
      <c r="BU72" s="24">
        <f>SUM(BU70:BU71)</f>
        <v/>
      </c>
      <c r="BV72" s="24">
        <f>SUM(BV70:BV71)</f>
        <v/>
      </c>
      <c r="BW72" s="24">
        <f>SUM(BW70:BW71)</f>
        <v/>
      </c>
      <c r="BX72" s="24">
        <f>SUM(BX70:BX71)</f>
        <v/>
      </c>
      <c r="BY72" s="47" t="inlineStr">
        <is>
          <t>-</t>
        </is>
      </c>
      <c r="BZ72" s="25" t="n"/>
      <c r="CA72" s="25" t="inlineStr">
        <is>
          <t>Sub Total (i+ii)</t>
        </is>
      </c>
      <c r="CB72" s="24">
        <f>SUM(CB70:CB71)</f>
        <v/>
      </c>
      <c r="CC72" s="24">
        <f>SUM(CC70:CC71)</f>
        <v/>
      </c>
      <c r="CD72" s="24">
        <f>SUM(CD70:CD71)</f>
        <v/>
      </c>
      <c r="CE72" s="24">
        <f>SUM(CE70:CE71)</f>
        <v/>
      </c>
      <c r="CF72" s="24">
        <f>SUM(CF70:CF71)</f>
        <v/>
      </c>
      <c r="CG72" s="24">
        <f>SUM(CG70:CG71)</f>
        <v/>
      </c>
      <c r="CH72" s="24">
        <f>SUM(CH70:CH71)</f>
        <v/>
      </c>
      <c r="CI72" s="24">
        <f>SUM(CI70:CI71)</f>
        <v/>
      </c>
      <c r="CJ72" s="24">
        <f>SUM(CJ70:CJ71)</f>
        <v/>
      </c>
      <c r="CK72" s="47" t="inlineStr">
        <is>
          <t>-</t>
        </is>
      </c>
      <c r="CL72" s="25" t="n"/>
      <c r="CM72" s="25" t="inlineStr">
        <is>
          <t>Sub Total (i+ii)</t>
        </is>
      </c>
      <c r="CN72" s="24">
        <f>SUM(CN70:CN71)</f>
        <v/>
      </c>
      <c r="CO72" s="24">
        <f>SUM(CO70:CO71)</f>
        <v/>
      </c>
      <c r="CP72" s="24">
        <f>SUM(CP70:CP71)</f>
        <v/>
      </c>
      <c r="CQ72" s="24">
        <f>SUM(CQ70:CQ71)</f>
        <v/>
      </c>
      <c r="CR72" s="24">
        <f>SUM(CR70:CR71)</f>
        <v/>
      </c>
      <c r="CS72" s="24">
        <f>SUM(CS70:CS71)</f>
        <v/>
      </c>
      <c r="CT72" s="24">
        <f>SUM(CT70:CT71)</f>
        <v/>
      </c>
      <c r="CU72" s="24">
        <f>SUM(CU70:CU71)</f>
        <v/>
      </c>
      <c r="CV72" s="24">
        <f>SUM(CV70:CV71)</f>
        <v/>
      </c>
      <c r="CW72" s="47" t="inlineStr">
        <is>
          <t>-</t>
        </is>
      </c>
      <c r="CX72" s="25" t="n"/>
      <c r="CY72" s="25" t="inlineStr">
        <is>
          <t>Sub Total (i+ii)</t>
        </is>
      </c>
      <c r="CZ72" s="24">
        <f>SUM(CZ70:CZ71)</f>
        <v/>
      </c>
      <c r="DA72" s="24">
        <f>SUM(DA70:DA71)</f>
        <v/>
      </c>
      <c r="DB72" s="24">
        <f>SUM(DB70:DB71)</f>
        <v/>
      </c>
      <c r="DC72" s="24">
        <f>SUM(DC70:DC71)</f>
        <v/>
      </c>
      <c r="DD72" s="74">
        <f>SUM(DD70:DD71)</f>
        <v/>
      </c>
      <c r="DE72" s="108">
        <f>SUM(DE70:DE71)</f>
        <v/>
      </c>
      <c r="DF72" s="24">
        <f>SUM(DF70:DF71)</f>
        <v/>
      </c>
      <c r="DG72" s="24">
        <f>SUM(DG70:DG71)</f>
        <v/>
      </c>
      <c r="DH72" s="24">
        <f>SUM(DH70:DH71)</f>
        <v/>
      </c>
      <c r="DI72" s="47" t="inlineStr">
        <is>
          <t>-</t>
        </is>
      </c>
      <c r="DJ72" s="627" t="n"/>
      <c r="DK72" s="627" t="inlineStr">
        <is>
          <t>Sub Total (i+ii)</t>
        </is>
      </c>
      <c r="DL72" s="24">
        <f>SUM(DL70:DL71)</f>
        <v/>
      </c>
      <c r="DM72" s="24">
        <f>SUM(DM70:DM71)</f>
        <v/>
      </c>
      <c r="DN72" s="24">
        <f>SUM(DN70:DN71)</f>
        <v/>
      </c>
      <c r="DO72" s="24">
        <f>SUM(DO70:DO71)</f>
        <v/>
      </c>
      <c r="DP72" s="74">
        <f>SUM(DP70:DP71)</f>
        <v/>
      </c>
      <c r="DQ72" s="108">
        <f>SUM(DQ70:DQ71)</f>
        <v/>
      </c>
      <c r="DR72" s="24">
        <f>SUM(DR70:DR71)</f>
        <v/>
      </c>
      <c r="DS72" s="24">
        <f>SUM(DS70:DS71)</f>
        <v/>
      </c>
      <c r="DT72" s="24">
        <f>SUM(DT70:DT71)</f>
        <v/>
      </c>
      <c r="DU72" s="47" t="inlineStr">
        <is>
          <t>-</t>
        </is>
      </c>
      <c r="DV72" s="127" t="n"/>
      <c r="DW72" s="128" t="n"/>
      <c r="DX72" s="47" t="inlineStr">
        <is>
          <t>-</t>
        </is>
      </c>
      <c r="DY72" s="127" t="n">
        <v>0</v>
      </c>
      <c r="DZ72" s="128">
        <f>(DP72-DD72)/DD72</f>
        <v/>
      </c>
      <c r="EA72" s="129">
        <f>(DR72-DF72)/DF72</f>
        <v/>
      </c>
    </row>
    <row r="73">
      <c r="A73" s="504" t="n"/>
      <c r="B73" s="9" t="n"/>
      <c r="C73" s="628" t="n"/>
      <c r="D73" s="628" t="n"/>
      <c r="E73" s="47" t="inlineStr">
        <is>
          <t>-</t>
        </is>
      </c>
      <c r="F73" s="504" t="n"/>
      <c r="G73" s="9" t="n"/>
      <c r="H73" s="53" t="n"/>
      <c r="I73" s="53" t="n"/>
      <c r="J73" s="628" t="n"/>
      <c r="K73" s="628" t="n"/>
      <c r="L73" s="628" t="n"/>
      <c r="M73" s="628" t="n"/>
      <c r="N73" s="628" t="n"/>
      <c r="O73" s="53" t="n"/>
      <c r="P73" s="628" t="n"/>
      <c r="Q73" s="47" t="inlineStr">
        <is>
          <t>-</t>
        </is>
      </c>
      <c r="R73" s="504" t="n"/>
      <c r="S73" s="9" t="n"/>
      <c r="T73" s="53" t="n"/>
      <c r="U73" s="53" t="n"/>
      <c r="V73" s="628" t="n"/>
      <c r="W73" s="628" t="n"/>
      <c r="X73" s="628" t="n"/>
      <c r="Y73" s="628" t="n"/>
      <c r="Z73" s="628" t="n"/>
      <c r="AA73" s="53" t="n"/>
      <c r="AB73" s="628" t="n"/>
      <c r="AC73" s="47" t="inlineStr">
        <is>
          <t>-</t>
        </is>
      </c>
      <c r="AD73" s="504" t="n"/>
      <c r="AE73" s="9" t="n"/>
      <c r="AF73" s="53" t="n"/>
      <c r="AG73" s="53" t="n"/>
      <c r="AH73" s="628" t="n"/>
      <c r="AI73" s="628" t="n"/>
      <c r="AJ73" s="628" t="n"/>
      <c r="AK73" s="628" t="n"/>
      <c r="AL73" s="628" t="n"/>
      <c r="AM73" s="53" t="n"/>
      <c r="AN73" s="628" t="n"/>
      <c r="AO73" s="47" t="inlineStr">
        <is>
          <t>-</t>
        </is>
      </c>
      <c r="AP73" s="504" t="n"/>
      <c r="AQ73" s="9" t="n"/>
      <c r="AR73" s="53" t="n"/>
      <c r="AS73" s="53" t="n"/>
      <c r="AT73" s="628" t="n"/>
      <c r="AU73" s="628" t="n"/>
      <c r="AV73" s="628" t="n"/>
      <c r="AW73" s="628" t="n"/>
      <c r="AX73" s="628" t="n"/>
      <c r="AY73" s="53" t="n"/>
      <c r="AZ73" s="628" t="n"/>
      <c r="BA73" s="47" t="inlineStr">
        <is>
          <t>-</t>
        </is>
      </c>
      <c r="BB73" s="504" t="n"/>
      <c r="BC73" s="9" t="n"/>
      <c r="BD73" s="53" t="n"/>
      <c r="BE73" s="53" t="n"/>
      <c r="BF73" s="628" t="n"/>
      <c r="BG73" s="628" t="n"/>
      <c r="BH73" s="628" t="n"/>
      <c r="BI73" s="628" t="n"/>
      <c r="BJ73" s="628" t="n"/>
      <c r="BK73" s="53" t="n"/>
      <c r="BL73" s="628" t="n"/>
      <c r="BM73" s="47" t="inlineStr">
        <is>
          <t>-</t>
        </is>
      </c>
      <c r="BN73" s="55" t="n"/>
      <c r="BO73" s="9" t="n"/>
      <c r="BP73" s="53" t="n"/>
      <c r="BQ73" s="53" t="n"/>
      <c r="BR73" s="628" t="n"/>
      <c r="BS73" s="628" t="n"/>
      <c r="BT73" s="628" t="n"/>
      <c r="BU73" s="628" t="n"/>
      <c r="BV73" s="628" t="n"/>
      <c r="BW73" s="56" t="n"/>
      <c r="BX73" s="629" t="n"/>
      <c r="BY73" s="47" t="inlineStr">
        <is>
          <t>-</t>
        </is>
      </c>
      <c r="BZ73" s="55" t="n"/>
      <c r="CA73" s="9" t="n"/>
      <c r="CB73" s="53" t="n"/>
      <c r="CC73" s="53" t="n"/>
      <c r="CD73" s="628" t="n"/>
      <c r="CE73" s="628" t="n"/>
      <c r="CF73" s="628" t="n"/>
      <c r="CG73" s="628" t="n"/>
      <c r="CH73" s="628" t="n"/>
      <c r="CI73" s="56" t="n"/>
      <c r="CJ73" s="629" t="n"/>
      <c r="CK73" s="47" t="inlineStr">
        <is>
          <t>-</t>
        </is>
      </c>
      <c r="CL73" s="504" t="n"/>
      <c r="CM73" s="9" t="n"/>
      <c r="CN73" s="53" t="n"/>
      <c r="CO73" s="53" t="n"/>
      <c r="CP73" s="628" t="n"/>
      <c r="CQ73" s="628" t="n"/>
      <c r="CR73" s="628" t="n"/>
      <c r="CS73" s="628" t="n"/>
      <c r="CT73" s="628" t="n"/>
      <c r="CU73" s="56" t="n"/>
      <c r="CV73" s="628" t="n"/>
      <c r="CW73" s="47" t="inlineStr">
        <is>
          <t>-</t>
        </is>
      </c>
      <c r="CX73" s="504" t="n"/>
      <c r="CY73" s="9" t="n"/>
      <c r="CZ73" s="53" t="n"/>
      <c r="DA73" s="53" t="n"/>
      <c r="DB73" s="628" t="n"/>
      <c r="DC73" s="628" t="n"/>
      <c r="DD73" s="628" t="n"/>
      <c r="DE73" s="628" t="n"/>
      <c r="DF73" s="628" t="n"/>
      <c r="DG73" s="53" t="n"/>
      <c r="DH73" s="628" t="n"/>
      <c r="DI73" s="2" t="inlineStr">
        <is>
          <t>-</t>
        </is>
      </c>
      <c r="DJ73" s="616" t="n"/>
      <c r="DK73" s="633" t="n"/>
      <c r="DL73" s="79" t="n"/>
      <c r="DM73" s="79" t="n"/>
      <c r="DN73" s="616" t="n"/>
      <c r="DO73" s="616" t="n"/>
      <c r="DP73" s="616" t="n"/>
      <c r="DQ73" s="616" t="n"/>
      <c r="DR73" s="616" t="n"/>
      <c r="DS73" s="79" t="n"/>
      <c r="DT73" s="616" t="n"/>
      <c r="DU73" s="2" t="inlineStr">
        <is>
          <t>-</t>
        </is>
      </c>
      <c r="DV73" s="103" t="n"/>
      <c r="DW73" s="103" t="n"/>
      <c r="DX73" s="2" t="inlineStr">
        <is>
          <t>-</t>
        </is>
      </c>
      <c r="DY73" s="103" t="inlineStr">
        <is>
          <t>-</t>
        </is>
      </c>
      <c r="DZ73" s="103" t="inlineStr">
        <is>
          <t>-</t>
        </is>
      </c>
      <c r="EA73" s="103" t="inlineStr">
        <is>
          <t>-</t>
        </is>
      </c>
    </row>
    <row r="74">
      <c r="A74" s="16" t="inlineStr">
        <is>
          <t>III</t>
        </is>
      </c>
      <c r="B74" s="15" t="inlineStr">
        <is>
          <t>Other Schemes</t>
        </is>
      </c>
      <c r="C74" s="617" t="n">
        <v>0</v>
      </c>
      <c r="D74" s="617" t="n">
        <v>0</v>
      </c>
      <c r="E74" s="47" t="inlineStr">
        <is>
          <t>-</t>
        </is>
      </c>
      <c r="F74" s="16" t="inlineStr">
        <is>
          <t>III</t>
        </is>
      </c>
      <c r="G74" s="15" t="inlineStr">
        <is>
          <t>Other Schemes</t>
        </is>
      </c>
      <c r="H74" s="14" t="n">
        <v>0</v>
      </c>
      <c r="I74" s="14" t="n">
        <v>0</v>
      </c>
      <c r="J74" s="617" t="n">
        <v>0</v>
      </c>
      <c r="K74" s="617" t="n">
        <v>0</v>
      </c>
      <c r="L74" s="617" t="n">
        <v>0</v>
      </c>
      <c r="M74" s="617" t="n">
        <v>0</v>
      </c>
      <c r="N74" s="617" t="n">
        <v>0</v>
      </c>
      <c r="O74" s="14" t="n">
        <v>0</v>
      </c>
      <c r="P74" s="617" t="n">
        <v>0</v>
      </c>
      <c r="Q74" s="47" t="inlineStr">
        <is>
          <t>-</t>
        </is>
      </c>
      <c r="R74" s="16" t="inlineStr">
        <is>
          <t>III</t>
        </is>
      </c>
      <c r="S74" s="15" t="inlineStr">
        <is>
          <t>Other Schemes</t>
        </is>
      </c>
      <c r="T74" s="14" t="n">
        <v>0</v>
      </c>
      <c r="U74" s="14" t="n">
        <v>0</v>
      </c>
      <c r="V74" s="617" t="n">
        <v>0</v>
      </c>
      <c r="W74" s="617" t="n">
        <v>0</v>
      </c>
      <c r="X74" s="617" t="n">
        <v>0</v>
      </c>
      <c r="Y74" s="617" t="n">
        <v>0</v>
      </c>
      <c r="Z74" s="617" t="n">
        <v>0</v>
      </c>
      <c r="AA74" s="14" t="n">
        <v>0</v>
      </c>
      <c r="AB74" s="617" t="n">
        <v>0</v>
      </c>
      <c r="AC74" s="47" t="inlineStr">
        <is>
          <t>-</t>
        </is>
      </c>
      <c r="AD74" s="16" t="inlineStr">
        <is>
          <t>III</t>
        </is>
      </c>
      <c r="AE74" s="15" t="inlineStr">
        <is>
          <t>Other Schemes</t>
        </is>
      </c>
      <c r="AF74" s="14" t="n">
        <v>0</v>
      </c>
      <c r="AG74" s="14" t="n">
        <v>0</v>
      </c>
      <c r="AH74" s="617" t="n">
        <v>0</v>
      </c>
      <c r="AI74" s="617" t="n">
        <v>0</v>
      </c>
      <c r="AJ74" s="617" t="n">
        <v>0</v>
      </c>
      <c r="AK74" s="617" t="n">
        <v>0</v>
      </c>
      <c r="AL74" s="617" t="n">
        <v>0</v>
      </c>
      <c r="AM74" s="14" t="n">
        <v>0</v>
      </c>
      <c r="AN74" s="617" t="n">
        <v>0</v>
      </c>
      <c r="AO74" s="47" t="inlineStr">
        <is>
          <t>-</t>
        </is>
      </c>
      <c r="AP74" s="16" t="inlineStr">
        <is>
          <t>III</t>
        </is>
      </c>
      <c r="AQ74" s="15" t="inlineStr">
        <is>
          <t>Other Schemes</t>
        </is>
      </c>
      <c r="AR74" s="14" t="n">
        <v>0</v>
      </c>
      <c r="AS74" s="14" t="n">
        <v>0</v>
      </c>
      <c r="AT74" s="617" t="n">
        <v>0</v>
      </c>
      <c r="AU74" s="617" t="n">
        <v>0</v>
      </c>
      <c r="AV74" s="617" t="n">
        <v>0</v>
      </c>
      <c r="AW74" s="617" t="n">
        <v>0</v>
      </c>
      <c r="AX74" s="617" t="n">
        <v>0</v>
      </c>
      <c r="AY74" s="14" t="n">
        <v>0</v>
      </c>
      <c r="AZ74" s="617" t="n">
        <v>0</v>
      </c>
      <c r="BA74" s="47" t="inlineStr">
        <is>
          <t>-</t>
        </is>
      </c>
      <c r="BB74" s="16" t="inlineStr">
        <is>
          <t>III</t>
        </is>
      </c>
      <c r="BC74" s="15" t="inlineStr">
        <is>
          <t>Other Schemes</t>
        </is>
      </c>
      <c r="BD74" s="14" t="n">
        <v>0</v>
      </c>
      <c r="BE74" s="14" t="n">
        <v>0</v>
      </c>
      <c r="BF74" s="617" t="n">
        <v>0</v>
      </c>
      <c r="BG74" s="617" t="n">
        <v>0</v>
      </c>
      <c r="BH74" s="617" t="n">
        <v>0</v>
      </c>
      <c r="BI74" s="617" t="n">
        <v>0</v>
      </c>
      <c r="BJ74" s="617" t="n">
        <v>0</v>
      </c>
      <c r="BK74" s="14" t="n">
        <v>0</v>
      </c>
      <c r="BL74" s="617" t="n">
        <v>0</v>
      </c>
      <c r="BM74" s="47" t="inlineStr">
        <is>
          <t>-</t>
        </is>
      </c>
      <c r="BN74" s="19" t="inlineStr">
        <is>
          <t>III</t>
        </is>
      </c>
      <c r="BO74" s="15" t="inlineStr">
        <is>
          <t>Other Schemes</t>
        </is>
      </c>
      <c r="BP74" s="14" t="n">
        <v>0</v>
      </c>
      <c r="BQ74" s="14" t="n">
        <v>0</v>
      </c>
      <c r="BR74" s="617" t="n">
        <v>0</v>
      </c>
      <c r="BS74" s="617" t="n">
        <v>0</v>
      </c>
      <c r="BT74" s="617" t="n">
        <v>0</v>
      </c>
      <c r="BU74" s="617" t="n">
        <v>0</v>
      </c>
      <c r="BV74" s="617" t="n">
        <v>0</v>
      </c>
      <c r="BW74" s="17" t="n">
        <v>0</v>
      </c>
      <c r="BX74" s="618" t="n">
        <v>0</v>
      </c>
      <c r="BY74" s="47" t="inlineStr">
        <is>
          <t>-</t>
        </is>
      </c>
      <c r="BZ74" s="19" t="inlineStr">
        <is>
          <t>III</t>
        </is>
      </c>
      <c r="CA74" s="15" t="inlineStr">
        <is>
          <t>Other Schemes</t>
        </is>
      </c>
      <c r="CB74" s="14" t="n">
        <v>0</v>
      </c>
      <c r="CC74" s="14" t="n">
        <v>0</v>
      </c>
      <c r="CD74" s="617" t="n">
        <v>0</v>
      </c>
      <c r="CE74" s="617" t="n">
        <v>0</v>
      </c>
      <c r="CF74" s="617" t="n">
        <v>0</v>
      </c>
      <c r="CG74" s="617" t="n">
        <v>0</v>
      </c>
      <c r="CH74" s="617" t="n">
        <v>0</v>
      </c>
      <c r="CI74" s="17" t="n">
        <v>0</v>
      </c>
      <c r="CJ74" s="618" t="n">
        <v>0</v>
      </c>
      <c r="CK74" s="47" t="inlineStr">
        <is>
          <t>-</t>
        </is>
      </c>
      <c r="CL74" s="16" t="inlineStr">
        <is>
          <t>III</t>
        </is>
      </c>
      <c r="CM74" s="15" t="inlineStr">
        <is>
          <t>Other Schemes</t>
        </is>
      </c>
      <c r="CN74" s="14" t="n">
        <v>0</v>
      </c>
      <c r="CO74" s="14" t="n">
        <v>0</v>
      </c>
      <c r="CP74" s="617" t="n">
        <v>0</v>
      </c>
      <c r="CQ74" s="617" t="n">
        <v>0</v>
      </c>
      <c r="CR74" s="617" t="n">
        <v>0</v>
      </c>
      <c r="CS74" s="617" t="n">
        <v>0</v>
      </c>
      <c r="CT74" s="617" t="n">
        <v>0</v>
      </c>
      <c r="CU74" s="17" t="n">
        <v>0</v>
      </c>
      <c r="CV74" s="617" t="n">
        <v>0</v>
      </c>
      <c r="CW74" s="47" t="inlineStr">
        <is>
          <t>-</t>
        </is>
      </c>
      <c r="CX74" s="16" t="inlineStr">
        <is>
          <t>III</t>
        </is>
      </c>
      <c r="CY74" s="15" t="inlineStr">
        <is>
          <t>Other Schemes</t>
        </is>
      </c>
      <c r="CZ74" s="14" t="n">
        <v>0</v>
      </c>
      <c r="DA74" s="14" t="n">
        <v>0</v>
      </c>
      <c r="DB74" s="617" t="n">
        <v>0</v>
      </c>
      <c r="DC74" s="617" t="n">
        <v>0</v>
      </c>
      <c r="DD74" s="617" t="n">
        <v>0</v>
      </c>
      <c r="DE74" s="617" t="n">
        <v>0</v>
      </c>
      <c r="DF74" s="617" t="n">
        <v>0</v>
      </c>
      <c r="DG74" s="14" t="n">
        <v>0</v>
      </c>
      <c r="DH74" s="617" t="n">
        <v>0</v>
      </c>
      <c r="DI74" s="2" t="inlineStr">
        <is>
          <t>-</t>
        </is>
      </c>
      <c r="DJ74" s="633" t="inlineStr">
        <is>
          <t>III</t>
        </is>
      </c>
      <c r="DK74" s="630" t="inlineStr">
        <is>
          <t>Other Schemes</t>
        </is>
      </c>
      <c r="DL74" s="89" t="n">
        <v>0</v>
      </c>
      <c r="DM74" s="89" t="n">
        <v>0</v>
      </c>
      <c r="DN74" s="634" t="n">
        <v>0</v>
      </c>
      <c r="DO74" s="634" t="n">
        <v>0</v>
      </c>
      <c r="DP74" s="634" t="n">
        <v>0</v>
      </c>
      <c r="DQ74" s="634" t="n">
        <v>0</v>
      </c>
      <c r="DR74" s="634" t="n">
        <v>0</v>
      </c>
      <c r="DS74" s="89" t="n">
        <v>0</v>
      </c>
      <c r="DT74" s="634" t="n">
        <v>0</v>
      </c>
      <c r="DU74" s="2" t="inlineStr">
        <is>
          <t>-</t>
        </is>
      </c>
      <c r="DV74" s="127" t="n"/>
      <c r="DW74" s="128" t="n"/>
      <c r="DX74" s="2" t="inlineStr">
        <is>
          <t>-</t>
        </is>
      </c>
      <c r="DY74" s="127" t="n">
        <v>0</v>
      </c>
      <c r="DZ74" s="128" t="n">
        <v>0</v>
      </c>
      <c r="EA74" s="129" t="n">
        <v>0</v>
      </c>
    </row>
    <row r="75">
      <c r="A75" s="504" t="n"/>
      <c r="B75" s="504" t="n"/>
      <c r="C75" s="628" t="n"/>
      <c r="D75" s="628" t="n"/>
      <c r="E75" s="47" t="inlineStr">
        <is>
          <t>-</t>
        </is>
      </c>
      <c r="F75" s="504" t="n"/>
      <c r="G75" s="504" t="n"/>
      <c r="H75" s="53" t="n"/>
      <c r="I75" s="53" t="n"/>
      <c r="J75" s="628" t="n"/>
      <c r="K75" s="628" t="n"/>
      <c r="L75" s="628" t="n"/>
      <c r="M75" s="628" t="n"/>
      <c r="N75" s="628" t="n"/>
      <c r="O75" s="53" t="n"/>
      <c r="P75" s="628" t="n"/>
      <c r="Q75" s="47" t="inlineStr">
        <is>
          <t>-</t>
        </is>
      </c>
      <c r="R75" s="504" t="n"/>
      <c r="S75" s="504" t="n"/>
      <c r="T75" s="53" t="n"/>
      <c r="U75" s="53" t="n"/>
      <c r="V75" s="628" t="n"/>
      <c r="W75" s="628" t="n"/>
      <c r="X75" s="628" t="n"/>
      <c r="Y75" s="628" t="n"/>
      <c r="Z75" s="628" t="n"/>
      <c r="AA75" s="53" t="n"/>
      <c r="AB75" s="628" t="n"/>
      <c r="AC75" s="47" t="inlineStr">
        <is>
          <t>-</t>
        </is>
      </c>
      <c r="AD75" s="504" t="n"/>
      <c r="AE75" s="504" t="n"/>
      <c r="AF75" s="53" t="n"/>
      <c r="AG75" s="53" t="n"/>
      <c r="AH75" s="628" t="n"/>
      <c r="AI75" s="628" t="n"/>
      <c r="AJ75" s="628" t="n"/>
      <c r="AK75" s="628" t="n"/>
      <c r="AL75" s="628" t="n"/>
      <c r="AM75" s="53" t="n"/>
      <c r="AN75" s="628" t="n"/>
      <c r="AO75" s="47" t="inlineStr">
        <is>
          <t>-</t>
        </is>
      </c>
      <c r="AP75" s="504" t="n"/>
      <c r="AQ75" s="504" t="n"/>
      <c r="AR75" s="53" t="n"/>
      <c r="AS75" s="53" t="n"/>
      <c r="AT75" s="628" t="n"/>
      <c r="AU75" s="628" t="n"/>
      <c r="AV75" s="628" t="n"/>
      <c r="AW75" s="628" t="n"/>
      <c r="AX75" s="628" t="n"/>
      <c r="AY75" s="53" t="n"/>
      <c r="AZ75" s="628" t="n"/>
      <c r="BA75" s="47" t="inlineStr">
        <is>
          <t>-</t>
        </is>
      </c>
      <c r="BB75" s="504" t="n"/>
      <c r="BC75" s="504" t="n"/>
      <c r="BD75" s="53" t="n"/>
      <c r="BE75" s="53" t="n"/>
      <c r="BF75" s="628" t="n"/>
      <c r="BG75" s="628" t="n"/>
      <c r="BH75" s="628" t="n"/>
      <c r="BI75" s="628" t="n"/>
      <c r="BJ75" s="628" t="n"/>
      <c r="BK75" s="53" t="n"/>
      <c r="BL75" s="628" t="n"/>
      <c r="BM75" s="47" t="inlineStr">
        <is>
          <t>-</t>
        </is>
      </c>
      <c r="BN75" s="55" t="n"/>
      <c r="BO75" s="504" t="n"/>
      <c r="BP75" s="53" t="n"/>
      <c r="BQ75" s="53" t="n"/>
      <c r="BR75" s="628" t="n"/>
      <c r="BS75" s="628" t="n"/>
      <c r="BT75" s="628" t="n"/>
      <c r="BU75" s="628" t="n"/>
      <c r="BV75" s="628" t="n"/>
      <c r="BW75" s="56" t="n"/>
      <c r="BX75" s="629" t="n"/>
      <c r="BY75" s="47" t="inlineStr">
        <is>
          <t>-</t>
        </is>
      </c>
      <c r="BZ75" s="55" t="n"/>
      <c r="CA75" s="504" t="n"/>
      <c r="CB75" s="53" t="n"/>
      <c r="CC75" s="53" t="n"/>
      <c r="CD75" s="628" t="n"/>
      <c r="CE75" s="628" t="n"/>
      <c r="CF75" s="628" t="n"/>
      <c r="CG75" s="628" t="n"/>
      <c r="CH75" s="628" t="n"/>
      <c r="CI75" s="56" t="n"/>
      <c r="CJ75" s="629" t="n"/>
      <c r="CK75" s="47" t="inlineStr">
        <is>
          <t>-</t>
        </is>
      </c>
      <c r="CL75" s="504" t="n"/>
      <c r="CM75" s="504" t="n"/>
      <c r="CN75" s="53" t="n"/>
      <c r="CO75" s="53" t="n"/>
      <c r="CP75" s="628" t="n"/>
      <c r="CQ75" s="628" t="n"/>
      <c r="CR75" s="628" t="n"/>
      <c r="CS75" s="628" t="n"/>
      <c r="CT75" s="628" t="n"/>
      <c r="CU75" s="56" t="n"/>
      <c r="CV75" s="628" t="n"/>
      <c r="CW75" s="47" t="inlineStr">
        <is>
          <t>-</t>
        </is>
      </c>
      <c r="CX75" s="504" t="n"/>
      <c r="CY75" s="504" t="n"/>
      <c r="CZ75" s="53" t="n"/>
      <c r="DA75" s="53" t="n"/>
      <c r="DB75" s="628" t="n"/>
      <c r="DC75" s="628" t="n"/>
      <c r="DD75" s="628" t="n"/>
      <c r="DE75" s="628" t="n"/>
      <c r="DF75" s="628" t="n"/>
      <c r="DG75" s="53" t="n"/>
      <c r="DH75" s="628" t="n"/>
      <c r="DI75" s="2" t="inlineStr">
        <is>
          <t>-</t>
        </is>
      </c>
      <c r="DJ75" s="616" t="n"/>
      <c r="DK75" s="616" t="n"/>
      <c r="DL75" s="79" t="n"/>
      <c r="DM75" s="79" t="n"/>
      <c r="DN75" s="616" t="n"/>
      <c r="DO75" s="616" t="n"/>
      <c r="DP75" s="616" t="n"/>
      <c r="DQ75" s="616" t="n"/>
      <c r="DR75" s="616" t="n"/>
      <c r="DS75" s="79" t="n"/>
      <c r="DT75" s="616" t="n"/>
      <c r="DU75" s="2" t="inlineStr">
        <is>
          <t>-</t>
        </is>
      </c>
      <c r="DV75" s="103" t="n"/>
      <c r="DW75" s="103" t="n"/>
      <c r="DX75" s="2" t="inlineStr">
        <is>
          <t>-</t>
        </is>
      </c>
      <c r="DY75" s="103" t="inlineStr">
        <is>
          <t>-</t>
        </is>
      </c>
      <c r="DZ75" s="103" t="inlineStr">
        <is>
          <t>-</t>
        </is>
      </c>
      <c r="EA75" s="103" t="inlineStr">
        <is>
          <t>-</t>
        </is>
      </c>
    </row>
    <row r="76">
      <c r="A76" s="12" t="n"/>
      <c r="B76" s="12" t="inlineStr">
        <is>
          <t>Total B -Close ended Schemes</t>
        </is>
      </c>
      <c r="C76" s="11">
        <f>SUM(C63:C66) + SUM(C70:C71) + SUM(C74:C74)</f>
        <v/>
      </c>
      <c r="D76" s="11">
        <f>SUM(D63:D66) + SUM(D70:D71) + SUM(D74:D74)</f>
        <v/>
      </c>
      <c r="E76" s="47" t="inlineStr">
        <is>
          <t>-</t>
        </is>
      </c>
      <c r="F76" s="12" t="n"/>
      <c r="G76" s="12" t="inlineStr">
        <is>
          <t>Total B -Close ended Schemes</t>
        </is>
      </c>
      <c r="H76" s="11">
        <f>SUM(H63:H66) + SUM(H70:H71) + SUM(H74:H74)</f>
        <v/>
      </c>
      <c r="I76" s="11">
        <f>SUM(I63:I66) + SUM(I70:I71) + SUM(I74:I74)</f>
        <v/>
      </c>
      <c r="J76" s="11">
        <f>SUM(J63:J66) + SUM(J70:J71) + SUM(J74:J74)</f>
        <v/>
      </c>
      <c r="K76" s="11">
        <f>SUM(K63:K66) + SUM(K70:K71) + SUM(K74:K74)</f>
        <v/>
      </c>
      <c r="L76" s="11">
        <f>SUM(L63:L66) + SUM(L70:L71) + SUM(L74:L74)</f>
        <v/>
      </c>
      <c r="M76" s="11">
        <f>SUM(M63:M66) + SUM(M70:M71) + SUM(M74:M74)</f>
        <v/>
      </c>
      <c r="N76" s="11">
        <f>SUM(N63:N66) + SUM(N70:N71) + SUM(N74:N74)</f>
        <v/>
      </c>
      <c r="O76" s="11">
        <f>SUM(O63:O66)+SUM(O70:O71)+SUM(O74:O74)</f>
        <v/>
      </c>
      <c r="P76" s="635">
        <f>SUM(P63:P66)+SUM(P70:P71)+SUM(P74:P74)</f>
        <v/>
      </c>
      <c r="Q76" s="47" t="inlineStr">
        <is>
          <t>-</t>
        </is>
      </c>
      <c r="R76" s="12" t="n"/>
      <c r="S76" s="12" t="inlineStr">
        <is>
          <t>Total B -Close ended Schemes</t>
        </is>
      </c>
      <c r="T76" s="11">
        <f>SUM(T63:T66) + SUM(T70:T71) + SUM(T74:T74)</f>
        <v/>
      </c>
      <c r="U76" s="11">
        <f>SUM(U63:U66) + SUM(U70:U71) + SUM(U74:U74)</f>
        <v/>
      </c>
      <c r="V76" s="11">
        <f>SUM(V63:V66) + SUM(V70:V71) + SUM(V74:V74)</f>
        <v/>
      </c>
      <c r="W76" s="11">
        <f>SUM(W63:W66) + SUM(W70:W71) + SUM(W74:W74)</f>
        <v/>
      </c>
      <c r="X76" s="11">
        <f>SUM(X63:X66) + SUM(X70:X71) + SUM(X74:X74)</f>
        <v/>
      </c>
      <c r="Y76" s="11">
        <f>SUM(Y63:Y66) + SUM(Y70:Y71) + SUM(Y74:Y74)</f>
        <v/>
      </c>
      <c r="Z76" s="11">
        <f>SUM(Z63:Z66) + SUM(Z70:Z71) + SUM(Z74:Z74)</f>
        <v/>
      </c>
      <c r="AA76" s="11">
        <f>SUM(AA63:AA66)+SUM(AA70:AA71)+SUM(AA74:AA74)</f>
        <v/>
      </c>
      <c r="AB76" s="635">
        <f>SUM(AB63:AB66)+SUM(AB70:AB71)+SUM(AB74:AB74)</f>
        <v/>
      </c>
      <c r="AC76" s="47" t="inlineStr">
        <is>
          <t>-</t>
        </is>
      </c>
      <c r="AD76" s="12" t="n"/>
      <c r="AE76" s="12" t="inlineStr">
        <is>
          <t>Total B -Close ended Schemes</t>
        </is>
      </c>
      <c r="AF76" s="11">
        <f>SUM(AF63:AF66) + SUM(AF70:AF71) + SUM(AF74:AF74)</f>
        <v/>
      </c>
      <c r="AG76" s="11">
        <f>SUM(AG63:AG66) + SUM(AG70:AG71) + SUM(AG74:AG74)</f>
        <v/>
      </c>
      <c r="AH76" s="11">
        <f>SUM(AH63:AH66) + SUM(AH70:AH71) + SUM(AH74:AH74)</f>
        <v/>
      </c>
      <c r="AI76" s="11">
        <f>SUM(AI63:AI66) + SUM(AI70:AI71) + SUM(AI74:AI74)</f>
        <v/>
      </c>
      <c r="AJ76" s="11">
        <f>SUM(AJ63:AJ66) + SUM(AJ70:AJ71) + SUM(AJ74:AJ74)</f>
        <v/>
      </c>
      <c r="AK76" s="11">
        <f>SUM(AK63:AK66) + SUM(AK70:AK71) + SUM(AK74:AK74)</f>
        <v/>
      </c>
      <c r="AL76" s="11">
        <f>SUM(AL63:AL66) + SUM(AL70:AL71) + SUM(AL74:AL74)</f>
        <v/>
      </c>
      <c r="AM76" s="11">
        <f>SUM(AM63:AM66)+SUM(AM70:AM71)+SUM(AM74:AM74)</f>
        <v/>
      </c>
      <c r="AN76" s="635">
        <f>SUM(AN63:AN66)+SUM(AN70:AN71)+SUM(AN74:AN74)</f>
        <v/>
      </c>
      <c r="AO76" s="47" t="inlineStr">
        <is>
          <t>-</t>
        </is>
      </c>
      <c r="AP76" s="12" t="n"/>
      <c r="AQ76" s="12" t="inlineStr">
        <is>
          <t>Total B -Close ended Schemes</t>
        </is>
      </c>
      <c r="AR76" s="11">
        <f>SUM(AR63:AR66) + SUM(AR70:AR71) + SUM(AR74:AR74)</f>
        <v/>
      </c>
      <c r="AS76" s="11">
        <f>SUM(AS63:AS66) + SUM(AS70:AS71) + SUM(AS74:AS74)</f>
        <v/>
      </c>
      <c r="AT76" s="11">
        <f>SUM(AT63:AT66) + SUM(AT70:AT71) + SUM(AT74:AT74)</f>
        <v/>
      </c>
      <c r="AU76" s="11">
        <f>SUM(AU63:AU66) + SUM(AU70:AU71) + SUM(AU74:AU74)</f>
        <v/>
      </c>
      <c r="AV76" s="11">
        <f>SUM(AV63:AV66) + SUM(AV70:AV71) + SUM(AV74:AV74)</f>
        <v/>
      </c>
      <c r="AW76" s="11">
        <f>SUM(AW63:AW66) + SUM(AW70:AW71) + SUM(AW74:AW74)</f>
        <v/>
      </c>
      <c r="AX76" s="11">
        <f>SUM(AX63:AX66) + SUM(AX70:AX71) + SUM(AX74:AX74)</f>
        <v/>
      </c>
      <c r="AY76" s="11">
        <f>SUM(AY63:AY66)+SUM(AY70:AY71)+SUM(AY74:AY74)</f>
        <v/>
      </c>
      <c r="AZ76" s="635">
        <f>SUM(AZ63:AZ66)+SUM(AZ70:AZ71)+SUM(AZ74:AZ74)</f>
        <v/>
      </c>
      <c r="BA76" s="47" t="inlineStr">
        <is>
          <t>-</t>
        </is>
      </c>
      <c r="BB76" s="12" t="n"/>
      <c r="BC76" s="12" t="inlineStr">
        <is>
          <t>Total B -Close ended Schemes</t>
        </is>
      </c>
      <c r="BD76" s="11">
        <f>SUM(BD63:BD66) + SUM(BD70:BD71) + SUM(BD74:BD74)</f>
        <v/>
      </c>
      <c r="BE76" s="11">
        <f>SUM(BE63:BE66) + SUM(BE70:BE71) + SUM(BE74:BE74)</f>
        <v/>
      </c>
      <c r="BF76" s="11">
        <f>SUM(BF63:BF66) + SUM(BF70:BF71) + SUM(BF74:BF74)</f>
        <v/>
      </c>
      <c r="BG76" s="11">
        <f>SUM(BG63:BG66) + SUM(BG70:BG71) + SUM(BG74:BG74)</f>
        <v/>
      </c>
      <c r="BH76" s="11">
        <f>SUM(BH63:BH66) + SUM(BH70:BH71) + SUM(BH74:BH74)</f>
        <v/>
      </c>
      <c r="BI76" s="11">
        <f>SUM(BI63:BI66) + SUM(BI70:BI71) + SUM(BI74:BI74)</f>
        <v/>
      </c>
      <c r="BJ76" s="11">
        <f>SUM(BJ63:BJ66) + SUM(BJ70:BJ71) + SUM(BJ74:BJ74)</f>
        <v/>
      </c>
      <c r="BK76" s="11">
        <f>SUM(BK63:BK66)+SUM(BK70:BK71)+SUM(BK74:BK74)</f>
        <v/>
      </c>
      <c r="BL76" s="635">
        <f>SUM(BL63:BL66)+SUM(BL70:BL71)+SUM(BL74:BL74)</f>
        <v/>
      </c>
      <c r="BM76" s="47" t="inlineStr">
        <is>
          <t>-</t>
        </is>
      </c>
      <c r="BN76" s="12" t="n"/>
      <c r="BO76" s="12" t="inlineStr">
        <is>
          <t>Total B -Close ended Schemes</t>
        </is>
      </c>
      <c r="BP76" s="11">
        <f>SUM(BP63:BP66) + SUM(BP70:BP71) + SUM(BP74:BP74)</f>
        <v/>
      </c>
      <c r="BQ76" s="11">
        <f>SUM(BQ63:BQ66) + SUM(BQ70:BQ71) + SUM(BQ74:BQ74)</f>
        <v/>
      </c>
      <c r="BR76" s="11">
        <f>SUM(BR63:BR66) + SUM(BR70:BR71) + SUM(BR74:BR74)</f>
        <v/>
      </c>
      <c r="BS76" s="11">
        <f>SUM(BS63:BS66) + SUM(BS70:BS71) + SUM(BS74:BS74)</f>
        <v/>
      </c>
      <c r="BT76" s="11">
        <f>SUM(BT63:BT66) + SUM(BT70:BT71) + SUM(BT74:BT74)</f>
        <v/>
      </c>
      <c r="BU76" s="11">
        <f>SUM(BU63:BU66) + SUM(BU70:BU71) + SUM(BU74:BU74)</f>
        <v/>
      </c>
      <c r="BV76" s="11">
        <f>SUM(BV63:BV66) + SUM(BV70:BV71) + SUM(BV74:BV74)</f>
        <v/>
      </c>
      <c r="BW76" s="11">
        <f>SUM(BW63:BW66)+SUM(BW70:BW71)+SUM(BW74:BW74)</f>
        <v/>
      </c>
      <c r="BX76" s="635">
        <f>SUM(BX63:BX66)+SUM(BX70:BX71)+SUM(BX74:BX74)</f>
        <v/>
      </c>
      <c r="BY76" s="47" t="inlineStr">
        <is>
          <t>-</t>
        </is>
      </c>
      <c r="BZ76" s="12" t="n"/>
      <c r="CA76" s="12" t="inlineStr">
        <is>
          <t>Total B -Close ended Schemes</t>
        </is>
      </c>
      <c r="CB76" s="11">
        <f>SUM(CB63:CB66) + SUM(CB70:CB71) + SUM(CB74:CB74)</f>
        <v/>
      </c>
      <c r="CC76" s="11">
        <f>SUM(CC63:CC66) + SUM(CC70:CC71) + SUM(CC74:CC74)</f>
        <v/>
      </c>
      <c r="CD76" s="11">
        <f>SUM(CD63:CD66) + SUM(CD70:CD71) + SUM(CD74:CD74)</f>
        <v/>
      </c>
      <c r="CE76" s="11">
        <f>SUM(CE63:CE66) + SUM(CE70:CE71) + SUM(CE74:CE74)</f>
        <v/>
      </c>
      <c r="CF76" s="11">
        <f>SUM(CF63:CF66) + SUM(CF70:CF71) + SUM(CF74:CF74)</f>
        <v/>
      </c>
      <c r="CG76" s="11">
        <f>SUM(CG63:CG66) + SUM(CG70:CG71) + SUM(CG74:CG74)</f>
        <v/>
      </c>
      <c r="CH76" s="11">
        <f>SUM(CH63:CH66) + SUM(CH70:CH71) + SUM(CH74:CH74)</f>
        <v/>
      </c>
      <c r="CI76" s="11">
        <f>SUM(CI63:CI66)+SUM(CI70:CI71)+SUM(CI74:CI74)</f>
        <v/>
      </c>
      <c r="CJ76" s="635">
        <f>SUM(CJ63:CJ66)+SUM(CJ70:CJ71)+SUM(CJ74:CJ74)</f>
        <v/>
      </c>
      <c r="CK76" s="47" t="inlineStr">
        <is>
          <t>-</t>
        </is>
      </c>
      <c r="CL76" s="12" t="n"/>
      <c r="CM76" s="12" t="inlineStr">
        <is>
          <t>Total B -Close ended Schemes</t>
        </is>
      </c>
      <c r="CN76" s="11">
        <f>SUM(CN63:CN66) + SUM(CN70:CN71) + SUM(CN74:CN74)</f>
        <v/>
      </c>
      <c r="CO76" s="11">
        <f>SUM(CO63:CO66) + SUM(CO70:CO71) + SUM(CO74:CO74)</f>
        <v/>
      </c>
      <c r="CP76" s="11">
        <f>SUM(CP63:CP66) + SUM(CP70:CP71) + SUM(CP74:CP74)</f>
        <v/>
      </c>
      <c r="CQ76" s="11">
        <f>SUM(CQ63:CQ66) + SUM(CQ70:CQ71) + SUM(CQ74:CQ74)</f>
        <v/>
      </c>
      <c r="CR76" s="11">
        <f>SUM(CR63:CR66) + SUM(CR70:CR71) + SUM(CR74:CR74)</f>
        <v/>
      </c>
      <c r="CS76" s="11">
        <f>SUM(CS63:CS66) + SUM(CS70:CS71) + SUM(CS74:CS74)</f>
        <v/>
      </c>
      <c r="CT76" s="11">
        <f>SUM(CT63:CT66) + SUM(CT70:CT71) + SUM(CT74:CT74)</f>
        <v/>
      </c>
      <c r="CU76" s="11">
        <f>SUM(CU63:CU66)+SUM(CU70:CU71)+SUM(CU74:CU74)</f>
        <v/>
      </c>
      <c r="CV76" s="635">
        <f>SUM(CV63:CV66)+SUM(CV70:CV71)+SUM(CV74:CV74)</f>
        <v/>
      </c>
      <c r="CW76" s="47" t="inlineStr">
        <is>
          <t>-</t>
        </is>
      </c>
      <c r="CX76" s="12" t="n"/>
      <c r="CY76" s="12" t="inlineStr">
        <is>
          <t>Total B -Close ended Schemes</t>
        </is>
      </c>
      <c r="CZ76" s="11">
        <f>SUM(CZ63:CZ66) + SUM(CZ70:CZ71) + SUM(CZ74:CZ74)</f>
        <v/>
      </c>
      <c r="DA76" s="11">
        <f>SUM(DA63:DA66) + SUM(DA70:DA71) + SUM(DA74:DA74)</f>
        <v/>
      </c>
      <c r="DB76" s="11">
        <f>SUM(DB63:DB66) + SUM(DB70:DB71) + SUM(DB74:DB74)</f>
        <v/>
      </c>
      <c r="DC76" s="11">
        <f>SUM(DC63:DC66) + SUM(DC70:DC71) + SUM(DC74:DC74)</f>
        <v/>
      </c>
      <c r="DD76" s="74">
        <f>SUM(DD63:DD66) + SUM(DD70:DD71) + SUM(DD74:DD74)</f>
        <v/>
      </c>
      <c r="DE76" s="108">
        <f>SUM(DE63:DE66) + SUM(DE70:DE71) + SUM(DE74:DE74)</f>
        <v/>
      </c>
      <c r="DF76" s="11">
        <f>SUM(DF63:DF66) + SUM(DF70:DF71) + SUM(DF74:DF74)</f>
        <v/>
      </c>
      <c r="DG76" s="11">
        <f>SUM(DG63:DG66)+SUM(DG70:DG71)+SUM(DG74:DG74)</f>
        <v/>
      </c>
      <c r="DH76" s="635">
        <f>SUM(DH63:DH66)+SUM(DH70:DH71)+SUM(DH74:DH74)</f>
        <v/>
      </c>
      <c r="DI76" s="47" t="inlineStr">
        <is>
          <t>-</t>
        </is>
      </c>
      <c r="DJ76" s="632" t="n"/>
      <c r="DK76" s="632" t="inlineStr">
        <is>
          <t>Total B -Close ended Schemes</t>
        </is>
      </c>
      <c r="DL76" s="11">
        <f>SUM(DL63:DL66) + SUM(DL70:DL71) + SUM(DL74:DL74)</f>
        <v/>
      </c>
      <c r="DM76" s="11">
        <f>SUM(DM63:DM66) + SUM(DM70:DM71) + SUM(DM74:DM74)</f>
        <v/>
      </c>
      <c r="DN76" s="11">
        <f>SUM(DN63:DN66) + SUM(DN70:DN71) + SUM(DN74:DN74)</f>
        <v/>
      </c>
      <c r="DO76" s="11">
        <f>SUM(DO63:DO66) + SUM(DO70:DO71) + SUM(DO74:DO74)</f>
        <v/>
      </c>
      <c r="DP76" s="74">
        <f>SUM(DP63:DP66) + SUM(DP70:DP71) + SUM(DP74:DP74)</f>
        <v/>
      </c>
      <c r="DQ76" s="108">
        <f>SUM(DQ63:DQ66) + SUM(DQ70:DQ71) + SUM(DQ74:DQ74)</f>
        <v/>
      </c>
      <c r="DR76" s="11">
        <f>SUM(DR63:DR66) + SUM(DR70:DR71) + SUM(DR74:DR74)</f>
        <v/>
      </c>
      <c r="DS76" s="11">
        <f>SUM(DS63:DS66)+SUM(DS70:DS71)+SUM(DS74:DS74)</f>
        <v/>
      </c>
      <c r="DT76" s="635">
        <f>SUM(DT63:DT66)+SUM(DT70:DT71)+SUM(DT74:DT74)</f>
        <v/>
      </c>
      <c r="DU76" s="47" t="inlineStr">
        <is>
          <t>-</t>
        </is>
      </c>
      <c r="DV76" s="127" t="n"/>
      <c r="DW76" s="128" t="n"/>
      <c r="DX76" s="47" t="inlineStr">
        <is>
          <t>-</t>
        </is>
      </c>
      <c r="DY76" s="127">
        <f>(DN76-DB76)/DB76</f>
        <v/>
      </c>
      <c r="DZ76" s="128">
        <f>(DP76-DD76)/DD76</f>
        <v/>
      </c>
      <c r="EA76" s="129">
        <f>(DR76-DF76)/DF76</f>
        <v/>
      </c>
    </row>
    <row r="77">
      <c r="A77" s="504" t="n"/>
      <c r="B77" s="7" t="n"/>
      <c r="C77" s="628" t="n"/>
      <c r="D77" s="628" t="n"/>
      <c r="E77" s="47" t="inlineStr">
        <is>
          <t>-</t>
        </is>
      </c>
      <c r="F77" s="504" t="n"/>
      <c r="G77" s="7" t="n"/>
      <c r="H77" s="53" t="n"/>
      <c r="I77" s="53" t="n"/>
      <c r="J77" s="628" t="n"/>
      <c r="K77" s="628" t="n"/>
      <c r="L77" s="628" t="n"/>
      <c r="M77" s="628" t="n"/>
      <c r="N77" s="628" t="n"/>
      <c r="O77" s="53" t="n"/>
      <c r="P77" s="628" t="n"/>
      <c r="Q77" s="47" t="inlineStr">
        <is>
          <t>-</t>
        </is>
      </c>
      <c r="R77" s="504" t="n"/>
      <c r="S77" s="7" t="n"/>
      <c r="T77" s="53" t="n"/>
      <c r="U77" s="53" t="n"/>
      <c r="V77" s="628" t="n"/>
      <c r="W77" s="628" t="n"/>
      <c r="X77" s="628" t="n"/>
      <c r="Y77" s="628" t="n"/>
      <c r="Z77" s="628" t="n"/>
      <c r="AA77" s="53" t="n"/>
      <c r="AB77" s="628" t="n"/>
      <c r="AC77" s="47" t="inlineStr">
        <is>
          <t>-</t>
        </is>
      </c>
      <c r="AD77" s="504" t="n"/>
      <c r="AE77" s="7" t="n"/>
      <c r="AF77" s="53" t="n"/>
      <c r="AG77" s="53" t="n"/>
      <c r="AH77" s="628" t="n"/>
      <c r="AI77" s="628" t="n"/>
      <c r="AJ77" s="628" t="n"/>
      <c r="AK77" s="628" t="n"/>
      <c r="AL77" s="628" t="n"/>
      <c r="AM77" s="53" t="n"/>
      <c r="AN77" s="628" t="n"/>
      <c r="AO77" s="47" t="inlineStr">
        <is>
          <t>-</t>
        </is>
      </c>
      <c r="AP77" s="504" t="n"/>
      <c r="AQ77" s="7" t="n"/>
      <c r="AR77" s="53" t="n"/>
      <c r="AS77" s="53" t="n"/>
      <c r="AT77" s="628" t="n"/>
      <c r="AU77" s="628" t="n"/>
      <c r="AV77" s="628" t="n"/>
      <c r="AW77" s="628" t="n"/>
      <c r="AX77" s="628" t="n"/>
      <c r="AY77" s="53" t="n"/>
      <c r="AZ77" s="628" t="n"/>
      <c r="BA77" s="47" t="inlineStr">
        <is>
          <t>-</t>
        </is>
      </c>
      <c r="BB77" s="504" t="n"/>
      <c r="BC77" s="7" t="n"/>
      <c r="BD77" s="53" t="n"/>
      <c r="BE77" s="53" t="n"/>
      <c r="BF77" s="628" t="n"/>
      <c r="BG77" s="628" t="n"/>
      <c r="BH77" s="628" t="n"/>
      <c r="BI77" s="628" t="n"/>
      <c r="BJ77" s="628" t="n"/>
      <c r="BK77" s="53" t="n"/>
      <c r="BL77" s="628" t="n"/>
      <c r="BM77" s="47" t="inlineStr">
        <is>
          <t>-</t>
        </is>
      </c>
      <c r="BN77" s="55" t="n"/>
      <c r="BO77" s="7" t="n"/>
      <c r="BP77" s="53" t="n"/>
      <c r="BQ77" s="53" t="n"/>
      <c r="BR77" s="628" t="n"/>
      <c r="BS77" s="628" t="n"/>
      <c r="BT77" s="628" t="n"/>
      <c r="BU77" s="628" t="n"/>
      <c r="BV77" s="628" t="n"/>
      <c r="BW77" s="56" t="n"/>
      <c r="BX77" s="629" t="n"/>
      <c r="BY77" s="47" t="inlineStr">
        <is>
          <t>-</t>
        </is>
      </c>
      <c r="BZ77" s="55" t="n"/>
      <c r="CA77" s="7" t="n"/>
      <c r="CB77" s="53" t="n"/>
      <c r="CC77" s="53" t="n"/>
      <c r="CD77" s="628" t="n"/>
      <c r="CE77" s="628" t="n"/>
      <c r="CF77" s="628" t="n"/>
      <c r="CG77" s="628" t="n"/>
      <c r="CH77" s="628" t="n"/>
      <c r="CI77" s="56" t="n"/>
      <c r="CJ77" s="629" t="n"/>
      <c r="CK77" s="47" t="inlineStr">
        <is>
          <t>-</t>
        </is>
      </c>
      <c r="CL77" s="504" t="n"/>
      <c r="CM77" s="7" t="n"/>
      <c r="CN77" s="53" t="n"/>
      <c r="CO77" s="53" t="n"/>
      <c r="CP77" s="628" t="n"/>
      <c r="CQ77" s="628" t="n"/>
      <c r="CR77" s="628" t="n"/>
      <c r="CS77" s="628" t="n"/>
      <c r="CT77" s="628" t="n"/>
      <c r="CU77" s="56" t="n"/>
      <c r="CV77" s="628" t="n"/>
      <c r="CW77" s="47" t="inlineStr">
        <is>
          <t>-</t>
        </is>
      </c>
      <c r="CX77" s="504" t="n"/>
      <c r="CY77" s="7" t="n"/>
      <c r="CZ77" s="53" t="n"/>
      <c r="DA77" s="53" t="n"/>
      <c r="DB77" s="628" t="n"/>
      <c r="DC77" s="628" t="n"/>
      <c r="DD77" s="628" t="n"/>
      <c r="DE77" s="628" t="n"/>
      <c r="DF77" s="628" t="n"/>
      <c r="DG77" s="53" t="n"/>
      <c r="DH77" s="628" t="n"/>
      <c r="DI77" s="2" t="inlineStr">
        <is>
          <t>-</t>
        </is>
      </c>
      <c r="DJ77" s="616" t="n"/>
      <c r="DK77" s="630" t="n"/>
      <c r="DL77" s="79" t="n"/>
      <c r="DM77" s="79" t="n"/>
      <c r="DN77" s="616" t="n"/>
      <c r="DO77" s="616" t="n"/>
      <c r="DP77" s="616" t="n"/>
      <c r="DQ77" s="616" t="n"/>
      <c r="DR77" s="616" t="n"/>
      <c r="DS77" s="79" t="n"/>
      <c r="DT77" s="616" t="n"/>
      <c r="DU77" s="2" t="inlineStr">
        <is>
          <t>-</t>
        </is>
      </c>
      <c r="DV77" s="103" t="n"/>
      <c r="DW77" s="103" t="n"/>
      <c r="DX77" s="2" t="inlineStr">
        <is>
          <t>-</t>
        </is>
      </c>
      <c r="DY77" s="103" t="inlineStr">
        <is>
          <t>-</t>
        </is>
      </c>
      <c r="DZ77" s="103" t="inlineStr">
        <is>
          <t>-</t>
        </is>
      </c>
      <c r="EA77" s="103" t="inlineStr">
        <is>
          <t>-</t>
        </is>
      </c>
    </row>
    <row r="78">
      <c r="A78" s="503" t="inlineStr">
        <is>
          <t>C</t>
        </is>
      </c>
      <c r="B78" s="20" t="inlineStr">
        <is>
          <t>Interval Schemes</t>
        </is>
      </c>
      <c r="C78" s="628" t="n"/>
      <c r="D78" s="628" t="n"/>
      <c r="E78" s="47" t="inlineStr">
        <is>
          <t>-</t>
        </is>
      </c>
      <c r="F78" s="503" t="inlineStr">
        <is>
          <t>C</t>
        </is>
      </c>
      <c r="G78" s="20" t="inlineStr">
        <is>
          <t>Interval Schemes</t>
        </is>
      </c>
      <c r="H78" s="53" t="n"/>
      <c r="I78" s="53" t="n"/>
      <c r="J78" s="628" t="n"/>
      <c r="K78" s="628" t="n"/>
      <c r="L78" s="628" t="n"/>
      <c r="M78" s="628" t="n"/>
      <c r="N78" s="628" t="n"/>
      <c r="O78" s="53" t="n"/>
      <c r="P78" s="628" t="n"/>
      <c r="Q78" s="47" t="inlineStr">
        <is>
          <t>-</t>
        </is>
      </c>
      <c r="R78" s="503" t="inlineStr">
        <is>
          <t>C</t>
        </is>
      </c>
      <c r="S78" s="20" t="inlineStr">
        <is>
          <t>Interval Schemes</t>
        </is>
      </c>
      <c r="T78" s="53" t="n"/>
      <c r="U78" s="53" t="n"/>
      <c r="V78" s="628" t="n"/>
      <c r="W78" s="628" t="n"/>
      <c r="X78" s="628" t="n"/>
      <c r="Y78" s="628" t="n"/>
      <c r="Z78" s="628" t="n"/>
      <c r="AA78" s="53" t="n"/>
      <c r="AB78" s="628" t="n"/>
      <c r="AC78" s="47" t="inlineStr">
        <is>
          <t>-</t>
        </is>
      </c>
      <c r="AD78" s="503" t="inlineStr">
        <is>
          <t>C</t>
        </is>
      </c>
      <c r="AE78" s="20" t="inlineStr">
        <is>
          <t>Interval Schemes</t>
        </is>
      </c>
      <c r="AF78" s="53" t="n"/>
      <c r="AG78" s="53" t="n"/>
      <c r="AH78" s="628" t="n"/>
      <c r="AI78" s="628" t="n"/>
      <c r="AJ78" s="628" t="n"/>
      <c r="AK78" s="628" t="n"/>
      <c r="AL78" s="628" t="n"/>
      <c r="AM78" s="53" t="n"/>
      <c r="AN78" s="628" t="n"/>
      <c r="AO78" s="47" t="inlineStr">
        <is>
          <t>-</t>
        </is>
      </c>
      <c r="AP78" s="503" t="inlineStr">
        <is>
          <t>C</t>
        </is>
      </c>
      <c r="AQ78" s="20" t="inlineStr">
        <is>
          <t>Interval Schemes</t>
        </is>
      </c>
      <c r="AR78" s="53" t="n"/>
      <c r="AS78" s="53" t="n"/>
      <c r="AT78" s="628" t="n"/>
      <c r="AU78" s="628" t="n"/>
      <c r="AV78" s="628" t="n"/>
      <c r="AW78" s="628" t="n"/>
      <c r="AX78" s="628" t="n"/>
      <c r="AY78" s="53" t="n"/>
      <c r="AZ78" s="628" t="n"/>
      <c r="BA78" s="47" t="inlineStr">
        <is>
          <t>-</t>
        </is>
      </c>
      <c r="BB78" s="503" t="inlineStr">
        <is>
          <t>C</t>
        </is>
      </c>
      <c r="BC78" s="20" t="inlineStr">
        <is>
          <t>Interval Schemes</t>
        </is>
      </c>
      <c r="BD78" s="53" t="n"/>
      <c r="BE78" s="53" t="n"/>
      <c r="BF78" s="628" t="n"/>
      <c r="BG78" s="628" t="n"/>
      <c r="BH78" s="628" t="n"/>
      <c r="BI78" s="628" t="n"/>
      <c r="BJ78" s="628" t="n"/>
      <c r="BK78" s="53" t="n"/>
      <c r="BL78" s="628" t="n"/>
      <c r="BM78" s="47" t="inlineStr">
        <is>
          <t>-</t>
        </is>
      </c>
      <c r="BN78" s="514" t="inlineStr">
        <is>
          <t>C</t>
        </is>
      </c>
      <c r="BO78" s="20" t="inlineStr">
        <is>
          <t>Interval Schemes</t>
        </is>
      </c>
      <c r="BP78" s="53" t="n"/>
      <c r="BQ78" s="53" t="n"/>
      <c r="BR78" s="628" t="n"/>
      <c r="BS78" s="628" t="n"/>
      <c r="BT78" s="628" t="n"/>
      <c r="BU78" s="628" t="n"/>
      <c r="BV78" s="628" t="n"/>
      <c r="BW78" s="56" t="n"/>
      <c r="BX78" s="629" t="n"/>
      <c r="BY78" s="47" t="inlineStr">
        <is>
          <t>-</t>
        </is>
      </c>
      <c r="BZ78" s="514" t="inlineStr">
        <is>
          <t>C</t>
        </is>
      </c>
      <c r="CA78" s="20" t="inlineStr">
        <is>
          <t>Interval Schemes</t>
        </is>
      </c>
      <c r="CB78" s="53" t="n"/>
      <c r="CC78" s="53" t="n"/>
      <c r="CD78" s="628" t="n"/>
      <c r="CE78" s="628" t="n"/>
      <c r="CF78" s="628" t="n"/>
      <c r="CG78" s="628" t="n"/>
      <c r="CH78" s="628" t="n"/>
      <c r="CI78" s="56" t="n"/>
      <c r="CJ78" s="629" t="n"/>
      <c r="CK78" s="47" t="inlineStr">
        <is>
          <t>-</t>
        </is>
      </c>
      <c r="CL78" s="503" t="inlineStr">
        <is>
          <t>C</t>
        </is>
      </c>
      <c r="CM78" s="20" t="inlineStr">
        <is>
          <t>Interval Schemes</t>
        </is>
      </c>
      <c r="CN78" s="53" t="n"/>
      <c r="CO78" s="53" t="n"/>
      <c r="CP78" s="628" t="n"/>
      <c r="CQ78" s="628" t="n"/>
      <c r="CR78" s="628" t="n"/>
      <c r="CS78" s="628" t="n"/>
      <c r="CT78" s="628" t="n"/>
      <c r="CU78" s="56" t="n"/>
      <c r="CV78" s="628" t="n"/>
      <c r="CW78" s="47" t="inlineStr">
        <is>
          <t>-</t>
        </is>
      </c>
      <c r="CX78" s="503" t="inlineStr">
        <is>
          <t>C</t>
        </is>
      </c>
      <c r="CY78" s="20" t="inlineStr">
        <is>
          <t>Interval Schemes</t>
        </is>
      </c>
      <c r="CZ78" s="53" t="n"/>
      <c r="DA78" s="53" t="n"/>
      <c r="DB78" s="628" t="n"/>
      <c r="DC78" s="628" t="n"/>
      <c r="DD78" s="628" t="n"/>
      <c r="DE78" s="628" t="n"/>
      <c r="DF78" s="628" t="n"/>
      <c r="DG78" s="53" t="n"/>
      <c r="DH78" s="628" t="n"/>
      <c r="DI78" s="2" t="inlineStr">
        <is>
          <t>-</t>
        </is>
      </c>
      <c r="DJ78" s="612" t="inlineStr">
        <is>
          <t>C</t>
        </is>
      </c>
      <c r="DK78" s="615" t="inlineStr">
        <is>
          <t>Interval Schemes</t>
        </is>
      </c>
      <c r="DL78" s="79" t="n"/>
      <c r="DM78" s="79" t="n"/>
      <c r="DN78" s="616" t="n"/>
      <c r="DO78" s="616" t="n"/>
      <c r="DP78" s="616" t="n"/>
      <c r="DQ78" s="616" t="n"/>
      <c r="DR78" s="616" t="n"/>
      <c r="DS78" s="79" t="n"/>
      <c r="DT78" s="616" t="n"/>
      <c r="DU78" s="2" t="inlineStr">
        <is>
          <t>-</t>
        </is>
      </c>
      <c r="DV78" s="103" t="n"/>
      <c r="DW78" s="103" t="n"/>
      <c r="DX78" s="2" t="inlineStr">
        <is>
          <t>-</t>
        </is>
      </c>
      <c r="DY78" s="103" t="inlineStr">
        <is>
          <t>-</t>
        </is>
      </c>
      <c r="DZ78" s="103" t="inlineStr">
        <is>
          <t>-</t>
        </is>
      </c>
      <c r="EA78" s="103" t="inlineStr">
        <is>
          <t>-</t>
        </is>
      </c>
    </row>
    <row r="79">
      <c r="A79" s="16" t="inlineStr">
        <is>
          <t>I</t>
        </is>
      </c>
      <c r="B79" s="15" t="inlineStr">
        <is>
          <t>Income/Debt Oriented Schemes</t>
        </is>
      </c>
      <c r="C79" s="617" t="n">
        <v>97.3424</v>
      </c>
      <c r="D79" s="617" t="n">
        <v>114.2623</v>
      </c>
      <c r="E79" s="47" t="inlineStr">
        <is>
          <t>-</t>
        </is>
      </c>
      <c r="F79" s="16" t="inlineStr">
        <is>
          <t>I</t>
        </is>
      </c>
      <c r="G79" s="15" t="inlineStr">
        <is>
          <t>Income/Debt Oriented Schemes</t>
        </is>
      </c>
      <c r="H79" s="14" t="n">
        <v>4</v>
      </c>
      <c r="I79" s="14" t="n">
        <v>1007</v>
      </c>
      <c r="J79" s="617" t="n">
        <v>0.0003</v>
      </c>
      <c r="K79" s="617" t="n">
        <v>0.0533</v>
      </c>
      <c r="L79" s="617" t="n">
        <v>-0.053</v>
      </c>
      <c r="M79" s="617" t="n">
        <v>66.1936</v>
      </c>
      <c r="N79" s="617" t="n">
        <v>94.2621</v>
      </c>
      <c r="O79" s="14" t="n">
        <v>0</v>
      </c>
      <c r="P79" s="617" t="n">
        <v>0</v>
      </c>
      <c r="Q79" s="47" t="inlineStr">
        <is>
          <t>-</t>
        </is>
      </c>
      <c r="R79" s="16" t="inlineStr">
        <is>
          <t>I</t>
        </is>
      </c>
      <c r="S79" s="15" t="inlineStr">
        <is>
          <t>Income/Debt Oriented Schemes</t>
        </is>
      </c>
      <c r="T79" s="14" t="n">
        <v>4</v>
      </c>
      <c r="U79" s="14" t="n">
        <v>998</v>
      </c>
      <c r="V79" s="617" t="n">
        <v>0</v>
      </c>
      <c r="W79" s="617" t="n">
        <v>27.2701</v>
      </c>
      <c r="X79" s="617" t="n">
        <v>-27.2701</v>
      </c>
      <c r="Y79" s="617" t="n">
        <v>43.8637</v>
      </c>
      <c r="Z79" s="617" t="n">
        <v>78.4893</v>
      </c>
      <c r="AA79" s="14" t="n">
        <v>0</v>
      </c>
      <c r="AB79" s="617" t="n">
        <v>0</v>
      </c>
      <c r="AC79" s="47" t="inlineStr">
        <is>
          <t>-</t>
        </is>
      </c>
      <c r="AD79" s="16" t="inlineStr">
        <is>
          <t>I</t>
        </is>
      </c>
      <c r="AE79" s="15" t="inlineStr">
        <is>
          <t>Income/Debt Oriented Schemes</t>
        </is>
      </c>
      <c r="AF79" s="14" t="n">
        <v>4</v>
      </c>
      <c r="AG79" s="14" t="n">
        <v>998</v>
      </c>
      <c r="AH79" s="617" t="n">
        <v>0</v>
      </c>
      <c r="AI79" s="617" t="n">
        <v>0</v>
      </c>
      <c r="AJ79" s="617" t="n">
        <v>0</v>
      </c>
      <c r="AK79" s="617" t="n">
        <v>44.0718</v>
      </c>
      <c r="AL79" s="617" t="n">
        <v>60.0781</v>
      </c>
      <c r="AM79" s="14" t="n">
        <v>0</v>
      </c>
      <c r="AN79" s="617" t="n">
        <v>0</v>
      </c>
      <c r="AO79" s="47" t="inlineStr">
        <is>
          <t>-</t>
        </is>
      </c>
      <c r="AP79" s="16" t="inlineStr">
        <is>
          <t>I</t>
        </is>
      </c>
      <c r="AQ79" s="15" t="inlineStr">
        <is>
          <t>Income/Debt Oriented Schemes</t>
        </is>
      </c>
      <c r="AR79" s="14" t="n">
        <v>4</v>
      </c>
      <c r="AS79" s="14" t="n">
        <v>998</v>
      </c>
      <c r="AT79" s="617" t="n">
        <v>0</v>
      </c>
      <c r="AU79" s="617" t="n">
        <v>0</v>
      </c>
      <c r="AV79" s="617" t="n">
        <v>0</v>
      </c>
      <c r="AW79" s="617" t="n">
        <v>44.2663</v>
      </c>
      <c r="AX79" s="617" t="n">
        <v>60.3538</v>
      </c>
      <c r="AY79" s="14" t="n">
        <v>0</v>
      </c>
      <c r="AZ79" s="617" t="n">
        <v>0</v>
      </c>
      <c r="BA79" s="47" t="inlineStr">
        <is>
          <t>-</t>
        </is>
      </c>
      <c r="BB79" s="16" t="inlineStr">
        <is>
          <t>I</t>
        </is>
      </c>
      <c r="BC79" s="15" t="inlineStr">
        <is>
          <t>Income/Debt Oriented Schemes</t>
        </is>
      </c>
      <c r="BD79" s="14" t="n">
        <v>4</v>
      </c>
      <c r="BE79" s="14" t="n">
        <v>989</v>
      </c>
      <c r="BF79" s="617" t="n">
        <v>0</v>
      </c>
      <c r="BG79" s="617" t="n">
        <v>11.4379</v>
      </c>
      <c r="BH79" s="617" t="n">
        <v>-11.4379</v>
      </c>
      <c r="BI79" s="617" t="n">
        <v>40.7116</v>
      </c>
      <c r="BJ79" s="617" t="n">
        <v>51.7732</v>
      </c>
      <c r="BK79" s="14" t="n">
        <v>0</v>
      </c>
      <c r="BL79" s="617" t="n">
        <v>0</v>
      </c>
      <c r="BM79" s="47" t="inlineStr">
        <is>
          <t>-</t>
        </is>
      </c>
      <c r="BN79" s="19" t="inlineStr">
        <is>
          <t>I</t>
        </is>
      </c>
      <c r="BO79" s="15" t="inlineStr">
        <is>
          <t>Income/Debt Oriented Schemes</t>
        </is>
      </c>
      <c r="BP79" s="14" t="n">
        <v>4</v>
      </c>
      <c r="BQ79" s="14" t="n">
        <v>939</v>
      </c>
      <c r="BR79" s="617" t="n">
        <v>0</v>
      </c>
      <c r="BS79" s="617" t="n">
        <v>2.52</v>
      </c>
      <c r="BT79" s="617" t="n">
        <v>-2.52</v>
      </c>
      <c r="BU79" s="617" t="n">
        <v>38.3777</v>
      </c>
      <c r="BV79" s="617" t="n">
        <v>47.5938</v>
      </c>
      <c r="BW79" s="17" t="n">
        <v>0</v>
      </c>
      <c r="BX79" s="618" t="n">
        <v>0</v>
      </c>
      <c r="BY79" s="47" t="inlineStr">
        <is>
          <t>-</t>
        </is>
      </c>
      <c r="BZ79" s="19" t="inlineStr">
        <is>
          <t>I</t>
        </is>
      </c>
      <c r="CA79" s="15" t="inlineStr">
        <is>
          <t>Income/Debt Oriented Schemes</t>
        </is>
      </c>
      <c r="CB79" s="14" t="n">
        <v>4</v>
      </c>
      <c r="CC79" s="14" t="n">
        <v>938</v>
      </c>
      <c r="CD79" s="617" t="n">
        <v>0</v>
      </c>
      <c r="CE79" s="617" t="n">
        <v>0</v>
      </c>
      <c r="CF79" s="617" t="n">
        <v>0</v>
      </c>
      <c r="CG79" s="617" t="n">
        <v>38.5598</v>
      </c>
      <c r="CH79" s="617" t="n">
        <v>47.1089</v>
      </c>
      <c r="CI79" s="17" t="n">
        <v>0</v>
      </c>
      <c r="CJ79" s="618" t="n">
        <v>0</v>
      </c>
      <c r="CK79" s="47" t="inlineStr">
        <is>
          <t>-</t>
        </is>
      </c>
      <c r="CL79" s="16" t="inlineStr">
        <is>
          <t>I</t>
        </is>
      </c>
      <c r="CM79" s="15" t="inlineStr">
        <is>
          <t>Income/Debt Oriented Schemes</t>
        </is>
      </c>
      <c r="CN79" s="14" t="n">
        <v>3</v>
      </c>
      <c r="CO79" s="14" t="n">
        <v>914</v>
      </c>
      <c r="CP79" s="617" t="n">
        <v>0</v>
      </c>
      <c r="CQ79" s="617" t="n">
        <v>0.0300000000000011</v>
      </c>
      <c r="CR79" s="617" t="n">
        <v>-0.0300000000000011</v>
      </c>
      <c r="CS79" s="617" t="n">
        <v>30.0186</v>
      </c>
      <c r="CT79" s="617" t="n">
        <v>45.6389</v>
      </c>
      <c r="CU79" s="17" t="n">
        <v>0</v>
      </c>
      <c r="CV79" s="617" t="n">
        <v>0</v>
      </c>
      <c r="CW79" s="47" t="inlineStr">
        <is>
          <t>-</t>
        </is>
      </c>
      <c r="CX79" s="16" t="inlineStr">
        <is>
          <t>I</t>
        </is>
      </c>
      <c r="CY79" s="15" t="inlineStr">
        <is>
          <t>Income/Debt Oriented Schemes</t>
        </is>
      </c>
      <c r="CZ79" s="14" t="n">
        <v>3</v>
      </c>
      <c r="DA79" s="14" t="n">
        <v>914</v>
      </c>
      <c r="DB79" s="617" t="n">
        <v>0</v>
      </c>
      <c r="DC79" s="617" t="n">
        <v>0</v>
      </c>
      <c r="DD79" s="617" t="n">
        <v>0</v>
      </c>
      <c r="DE79" s="617" t="n">
        <v>30.1637</v>
      </c>
      <c r="DF79" s="617" t="n">
        <v>39.1507</v>
      </c>
      <c r="DG79" s="14" t="n">
        <v>0</v>
      </c>
      <c r="DH79" s="617" t="n">
        <v>0</v>
      </c>
      <c r="DI79" s="2" t="inlineStr">
        <is>
          <t>-</t>
        </is>
      </c>
      <c r="DJ79" s="620" t="inlineStr">
        <is>
          <t>I</t>
        </is>
      </c>
      <c r="DK79" s="621" t="inlineStr">
        <is>
          <t>Income/Debt Oriented Schemes</t>
        </is>
      </c>
      <c r="DL79" s="83" t="n">
        <v>3</v>
      </c>
      <c r="DM79" s="83" t="n">
        <v>914</v>
      </c>
      <c r="DN79" s="622" t="n">
        <v>0</v>
      </c>
      <c r="DO79" s="622" t="n">
        <v>0</v>
      </c>
      <c r="DP79" s="622" t="n">
        <v>0</v>
      </c>
      <c r="DQ79" s="622" t="n">
        <v>30.1637</v>
      </c>
      <c r="DR79" s="622" t="n">
        <v>39.1507</v>
      </c>
      <c r="DS79" s="83" t="n">
        <v>0</v>
      </c>
      <c r="DT79" s="622" t="n">
        <v>0</v>
      </c>
      <c r="DU79" s="2" t="inlineStr">
        <is>
          <t>-</t>
        </is>
      </c>
      <c r="DV79" s="127" t="n"/>
      <c r="DW79" s="128" t="n"/>
      <c r="DX79" s="2" t="inlineStr">
        <is>
          <t>-</t>
        </is>
      </c>
      <c r="DY79" s="127" t="n">
        <v>0</v>
      </c>
      <c r="DZ79" s="128" t="n">
        <v>0</v>
      </c>
      <c r="EA79" s="129">
        <f>(DR79-DF79)/DF79</f>
        <v/>
      </c>
    </row>
    <row r="80">
      <c r="A80" s="504" t="n"/>
      <c r="B80" s="504" t="n"/>
      <c r="C80" s="628" t="n"/>
      <c r="D80" s="628" t="n"/>
      <c r="E80" s="47" t="inlineStr">
        <is>
          <t>-</t>
        </is>
      </c>
      <c r="F80" s="504" t="n"/>
      <c r="G80" s="504" t="n"/>
      <c r="H80" s="53" t="n"/>
      <c r="I80" s="53" t="n"/>
      <c r="J80" s="628" t="n"/>
      <c r="K80" s="628" t="n"/>
      <c r="L80" s="628" t="n"/>
      <c r="M80" s="628" t="n"/>
      <c r="N80" s="628" t="n"/>
      <c r="O80" s="53" t="n"/>
      <c r="P80" s="628" t="n"/>
      <c r="Q80" s="47" t="inlineStr">
        <is>
          <t>-</t>
        </is>
      </c>
      <c r="R80" s="504" t="n"/>
      <c r="S80" s="504" t="n"/>
      <c r="T80" s="53" t="n"/>
      <c r="U80" s="53" t="n"/>
      <c r="V80" s="628" t="n"/>
      <c r="W80" s="628" t="n"/>
      <c r="X80" s="628" t="n"/>
      <c r="Y80" s="628" t="n"/>
      <c r="Z80" s="628" t="n"/>
      <c r="AA80" s="53" t="n"/>
      <c r="AB80" s="628" t="n"/>
      <c r="AC80" s="47" t="inlineStr">
        <is>
          <t>-</t>
        </is>
      </c>
      <c r="AD80" s="504" t="n"/>
      <c r="AE80" s="504" t="n"/>
      <c r="AF80" s="53" t="n"/>
      <c r="AG80" s="53" t="n"/>
      <c r="AH80" s="628" t="n"/>
      <c r="AI80" s="628" t="n"/>
      <c r="AJ80" s="628" t="n"/>
      <c r="AK80" s="628" t="n"/>
      <c r="AL80" s="628" t="n"/>
      <c r="AM80" s="53" t="n"/>
      <c r="AN80" s="628" t="n"/>
      <c r="AO80" s="47" t="inlineStr">
        <is>
          <t>-</t>
        </is>
      </c>
      <c r="AP80" s="504" t="n"/>
      <c r="AQ80" s="504" t="n"/>
      <c r="AR80" s="53" t="n"/>
      <c r="AS80" s="53" t="n"/>
      <c r="AT80" s="628" t="n"/>
      <c r="AU80" s="628" t="n"/>
      <c r="AV80" s="628" t="n"/>
      <c r="AW80" s="628" t="n"/>
      <c r="AX80" s="628" t="n"/>
      <c r="AY80" s="53" t="n"/>
      <c r="AZ80" s="628" t="n"/>
      <c r="BA80" s="47" t="inlineStr">
        <is>
          <t>-</t>
        </is>
      </c>
      <c r="BB80" s="504" t="n"/>
      <c r="BC80" s="504" t="n"/>
      <c r="BD80" s="53" t="n"/>
      <c r="BE80" s="53" t="n"/>
      <c r="BF80" s="628" t="n"/>
      <c r="BG80" s="628" t="n"/>
      <c r="BH80" s="628" t="n"/>
      <c r="BI80" s="628" t="n"/>
      <c r="BJ80" s="628" t="n"/>
      <c r="BK80" s="53" t="n"/>
      <c r="BL80" s="628" t="n"/>
      <c r="BM80" s="47" t="inlineStr">
        <is>
          <t>-</t>
        </is>
      </c>
      <c r="BN80" s="55" t="n"/>
      <c r="BO80" s="504" t="n"/>
      <c r="BP80" s="53" t="n"/>
      <c r="BQ80" s="53" t="n"/>
      <c r="BR80" s="628" t="n"/>
      <c r="BS80" s="628" t="n"/>
      <c r="BT80" s="628" t="n"/>
      <c r="BU80" s="628" t="n"/>
      <c r="BV80" s="628" t="n"/>
      <c r="BW80" s="56" t="n"/>
      <c r="BX80" s="629" t="n"/>
      <c r="BY80" s="47" t="inlineStr">
        <is>
          <t>-</t>
        </is>
      </c>
      <c r="BZ80" s="55" t="n"/>
      <c r="CA80" s="504" t="n"/>
      <c r="CB80" s="53" t="n"/>
      <c r="CC80" s="53" t="n"/>
      <c r="CD80" s="628" t="n"/>
      <c r="CE80" s="628" t="n"/>
      <c r="CF80" s="628" t="n"/>
      <c r="CG80" s="628" t="n"/>
      <c r="CH80" s="628" t="n"/>
      <c r="CI80" s="56" t="n"/>
      <c r="CJ80" s="629" t="n"/>
      <c r="CK80" s="47" t="inlineStr">
        <is>
          <t>-</t>
        </is>
      </c>
      <c r="CL80" s="504" t="n"/>
      <c r="CM80" s="504" t="n"/>
      <c r="CN80" s="53" t="n"/>
      <c r="CO80" s="53" t="n"/>
      <c r="CP80" s="628" t="n"/>
      <c r="CQ80" s="628" t="n"/>
      <c r="CR80" s="628" t="n"/>
      <c r="CS80" s="628" t="n"/>
      <c r="CT80" s="628" t="n"/>
      <c r="CU80" s="56" t="n"/>
      <c r="CV80" s="628" t="n"/>
      <c r="CW80" s="47" t="inlineStr">
        <is>
          <t>-</t>
        </is>
      </c>
      <c r="CX80" s="504" t="n"/>
      <c r="CY80" s="504" t="n"/>
      <c r="CZ80" s="53" t="n"/>
      <c r="DA80" s="53" t="n"/>
      <c r="DB80" s="628" t="n"/>
      <c r="DC80" s="628" t="n"/>
      <c r="DD80" s="628" t="n"/>
      <c r="DE80" s="628" t="n"/>
      <c r="DF80" s="628" t="n"/>
      <c r="DG80" s="53" t="n"/>
      <c r="DH80" s="628" t="n"/>
      <c r="DI80" s="2" t="inlineStr">
        <is>
          <t>-</t>
        </is>
      </c>
      <c r="DJ80" s="616" t="n"/>
      <c r="DK80" s="616" t="n"/>
      <c r="DL80" s="79" t="n"/>
      <c r="DM80" s="79" t="n"/>
      <c r="DN80" s="616" t="n"/>
      <c r="DO80" s="616" t="n"/>
      <c r="DP80" s="616" t="n"/>
      <c r="DQ80" s="616" t="n"/>
      <c r="DR80" s="616" t="n"/>
      <c r="DS80" s="79" t="n"/>
      <c r="DT80" s="616" t="n"/>
      <c r="DU80" s="2" t="inlineStr">
        <is>
          <t>-</t>
        </is>
      </c>
      <c r="DV80" s="103" t="n"/>
      <c r="DW80" s="103" t="n"/>
      <c r="DX80" s="2" t="inlineStr">
        <is>
          <t>-</t>
        </is>
      </c>
      <c r="DY80" s="103" t="inlineStr">
        <is>
          <t>-</t>
        </is>
      </c>
      <c r="DZ80" s="103" t="inlineStr">
        <is>
          <t>-</t>
        </is>
      </c>
      <c r="EA80" s="103" t="inlineStr">
        <is>
          <t>-</t>
        </is>
      </c>
    </row>
    <row r="81">
      <c r="A81" s="16" t="inlineStr">
        <is>
          <t>II</t>
        </is>
      </c>
      <c r="B81" s="15" t="inlineStr">
        <is>
          <t>Growth/Equity Oriented Schemes</t>
        </is>
      </c>
      <c r="C81" s="617" t="n">
        <v>0</v>
      </c>
      <c r="D81" s="617" t="n">
        <v>0</v>
      </c>
      <c r="E81" s="47" t="inlineStr">
        <is>
          <t>-</t>
        </is>
      </c>
      <c r="F81" s="16" t="inlineStr">
        <is>
          <t>II</t>
        </is>
      </c>
      <c r="G81" s="15" t="inlineStr">
        <is>
          <t>Growth/Equity Oriented Schemes</t>
        </is>
      </c>
      <c r="H81" s="14" t="n">
        <v>0</v>
      </c>
      <c r="I81" s="14" t="n">
        <v>0</v>
      </c>
      <c r="J81" s="617" t="n">
        <v>0</v>
      </c>
      <c r="K81" s="617" t="n">
        <v>0</v>
      </c>
      <c r="L81" s="617" t="n">
        <v>0</v>
      </c>
      <c r="M81" s="617" t="n">
        <v>0</v>
      </c>
      <c r="N81" s="617" t="n">
        <v>0</v>
      </c>
      <c r="O81" s="14" t="n">
        <v>0</v>
      </c>
      <c r="P81" s="617" t="n">
        <v>0</v>
      </c>
      <c r="Q81" s="47" t="inlineStr">
        <is>
          <t>-</t>
        </is>
      </c>
      <c r="R81" s="16" t="inlineStr">
        <is>
          <t>II</t>
        </is>
      </c>
      <c r="S81" s="15" t="inlineStr">
        <is>
          <t>Growth/Equity Oriented Schemes</t>
        </is>
      </c>
      <c r="T81" s="14" t="n">
        <v>0</v>
      </c>
      <c r="U81" s="14" t="n">
        <v>0</v>
      </c>
      <c r="V81" s="617" t="n">
        <v>0</v>
      </c>
      <c r="W81" s="617" t="n">
        <v>0</v>
      </c>
      <c r="X81" s="617" t="n">
        <v>0</v>
      </c>
      <c r="Y81" s="617" t="n">
        <v>0</v>
      </c>
      <c r="Z81" s="617" t="n">
        <v>0</v>
      </c>
      <c r="AA81" s="14" t="n">
        <v>0</v>
      </c>
      <c r="AB81" s="617" t="n">
        <v>0</v>
      </c>
      <c r="AC81" s="47" t="inlineStr">
        <is>
          <t>-</t>
        </is>
      </c>
      <c r="AD81" s="16" t="inlineStr">
        <is>
          <t>II</t>
        </is>
      </c>
      <c r="AE81" s="15" t="inlineStr">
        <is>
          <t>Growth/Equity Oriented Schemes</t>
        </is>
      </c>
      <c r="AF81" s="14" t="n">
        <v>0</v>
      </c>
      <c r="AG81" s="14" t="n">
        <v>0</v>
      </c>
      <c r="AH81" s="617" t="n">
        <v>0</v>
      </c>
      <c r="AI81" s="617" t="n">
        <v>0</v>
      </c>
      <c r="AJ81" s="617" t="n">
        <v>0</v>
      </c>
      <c r="AK81" s="617" t="n">
        <v>0</v>
      </c>
      <c r="AL81" s="617" t="n">
        <v>0</v>
      </c>
      <c r="AM81" s="14" t="n">
        <v>0</v>
      </c>
      <c r="AN81" s="617" t="n">
        <v>0</v>
      </c>
      <c r="AO81" s="47" t="inlineStr">
        <is>
          <t>-</t>
        </is>
      </c>
      <c r="AP81" s="16" t="inlineStr">
        <is>
          <t>II</t>
        </is>
      </c>
      <c r="AQ81" s="15" t="inlineStr">
        <is>
          <t>Growth/Equity Oriented Schemes</t>
        </is>
      </c>
      <c r="AR81" s="14" t="n">
        <v>0</v>
      </c>
      <c r="AS81" s="14" t="n">
        <v>0</v>
      </c>
      <c r="AT81" s="617" t="n">
        <v>0</v>
      </c>
      <c r="AU81" s="617" t="n">
        <v>0</v>
      </c>
      <c r="AV81" s="617" t="n">
        <v>0</v>
      </c>
      <c r="AW81" s="617" t="n">
        <v>0</v>
      </c>
      <c r="AX81" s="617" t="n">
        <v>0</v>
      </c>
      <c r="AY81" s="14" t="n">
        <v>0</v>
      </c>
      <c r="AZ81" s="617" t="n">
        <v>0</v>
      </c>
      <c r="BA81" s="47" t="inlineStr">
        <is>
          <t>-</t>
        </is>
      </c>
      <c r="BB81" s="16" t="inlineStr">
        <is>
          <t>II</t>
        </is>
      </c>
      <c r="BC81" s="15" t="inlineStr">
        <is>
          <t>Growth/Equity Oriented Schemes</t>
        </is>
      </c>
      <c r="BD81" s="14" t="n">
        <v>0</v>
      </c>
      <c r="BE81" s="14" t="n">
        <v>0</v>
      </c>
      <c r="BF81" s="617" t="n">
        <v>0</v>
      </c>
      <c r="BG81" s="617" t="n">
        <v>0</v>
      </c>
      <c r="BH81" s="617" t="n">
        <v>0</v>
      </c>
      <c r="BI81" s="617" t="n">
        <v>0</v>
      </c>
      <c r="BJ81" s="617" t="n">
        <v>0</v>
      </c>
      <c r="BK81" s="14" t="n">
        <v>0</v>
      </c>
      <c r="BL81" s="617" t="n">
        <v>0</v>
      </c>
      <c r="BM81" s="47" t="inlineStr">
        <is>
          <t>-</t>
        </is>
      </c>
      <c r="BN81" s="19" t="inlineStr">
        <is>
          <t>II</t>
        </is>
      </c>
      <c r="BO81" s="15" t="inlineStr">
        <is>
          <t>Growth/Equity Oriented Schemes</t>
        </is>
      </c>
      <c r="BP81" s="14" t="n">
        <v>0</v>
      </c>
      <c r="BQ81" s="14" t="n">
        <v>0</v>
      </c>
      <c r="BR81" s="617" t="n">
        <v>0</v>
      </c>
      <c r="BS81" s="617" t="n">
        <v>0</v>
      </c>
      <c r="BT81" s="617" t="n">
        <v>0</v>
      </c>
      <c r="BU81" s="617" t="n">
        <v>0</v>
      </c>
      <c r="BV81" s="617" t="n">
        <v>0</v>
      </c>
      <c r="BW81" s="17" t="n">
        <v>0</v>
      </c>
      <c r="BX81" s="618" t="n">
        <v>0</v>
      </c>
      <c r="BY81" s="47" t="inlineStr">
        <is>
          <t>-</t>
        </is>
      </c>
      <c r="BZ81" s="19" t="inlineStr">
        <is>
          <t>II</t>
        </is>
      </c>
      <c r="CA81" s="15" t="inlineStr">
        <is>
          <t>Growth/Equity Oriented Schemes</t>
        </is>
      </c>
      <c r="CB81" s="14" t="n">
        <v>0</v>
      </c>
      <c r="CC81" s="14" t="n">
        <v>0</v>
      </c>
      <c r="CD81" s="617" t="n">
        <v>0</v>
      </c>
      <c r="CE81" s="617" t="n">
        <v>0</v>
      </c>
      <c r="CF81" s="617" t="n">
        <v>0</v>
      </c>
      <c r="CG81" s="617" t="n">
        <v>0</v>
      </c>
      <c r="CH81" s="617" t="n">
        <v>0</v>
      </c>
      <c r="CI81" s="17" t="n">
        <v>0</v>
      </c>
      <c r="CJ81" s="618" t="n">
        <v>0</v>
      </c>
      <c r="CK81" s="47" t="inlineStr">
        <is>
          <t>-</t>
        </is>
      </c>
      <c r="CL81" s="16" t="inlineStr">
        <is>
          <t>II</t>
        </is>
      </c>
      <c r="CM81" s="15" t="inlineStr">
        <is>
          <t>Growth/Equity Oriented Schemes</t>
        </is>
      </c>
      <c r="CN81" s="14" t="n">
        <v>0</v>
      </c>
      <c r="CO81" s="14" t="n">
        <v>0</v>
      </c>
      <c r="CP81" s="617" t="n">
        <v>0</v>
      </c>
      <c r="CQ81" s="617" t="n">
        <v>0</v>
      </c>
      <c r="CR81" s="617" t="n">
        <v>0</v>
      </c>
      <c r="CS81" s="617" t="n">
        <v>0</v>
      </c>
      <c r="CT81" s="617" t="n">
        <v>0</v>
      </c>
      <c r="CU81" s="17" t="n">
        <v>0</v>
      </c>
      <c r="CV81" s="617" t="n">
        <v>0</v>
      </c>
      <c r="CW81" s="47" t="inlineStr">
        <is>
          <t>-</t>
        </is>
      </c>
      <c r="CX81" s="16" t="inlineStr">
        <is>
          <t>II</t>
        </is>
      </c>
      <c r="CY81" s="15" t="inlineStr">
        <is>
          <t>Growth/Equity Oriented Schemes</t>
        </is>
      </c>
      <c r="CZ81" s="14" t="n">
        <v>0</v>
      </c>
      <c r="DA81" s="14" t="n">
        <v>0</v>
      </c>
      <c r="DB81" s="617" t="n">
        <v>0</v>
      </c>
      <c r="DC81" s="617" t="n">
        <v>0</v>
      </c>
      <c r="DD81" s="617" t="n">
        <v>0</v>
      </c>
      <c r="DE81" s="617" t="n">
        <v>0</v>
      </c>
      <c r="DF81" s="617" t="n">
        <v>0</v>
      </c>
      <c r="DG81" s="14" t="n">
        <v>0</v>
      </c>
      <c r="DH81" s="617" t="n">
        <v>0</v>
      </c>
      <c r="DI81" s="2" t="inlineStr">
        <is>
          <t>-</t>
        </is>
      </c>
      <c r="DJ81" s="620" t="inlineStr">
        <is>
          <t>II</t>
        </is>
      </c>
      <c r="DK81" s="621" t="inlineStr">
        <is>
          <t>Growth/Equity Oriented Schemes</t>
        </is>
      </c>
      <c r="DL81" s="83" t="n">
        <v>0</v>
      </c>
      <c r="DM81" s="83" t="n">
        <v>0</v>
      </c>
      <c r="DN81" s="622" t="n">
        <v>0</v>
      </c>
      <c r="DO81" s="622" t="n">
        <v>0</v>
      </c>
      <c r="DP81" s="622" t="n">
        <v>0</v>
      </c>
      <c r="DQ81" s="622" t="n">
        <v>0</v>
      </c>
      <c r="DR81" s="622" t="n">
        <v>0</v>
      </c>
      <c r="DS81" s="83" t="n">
        <v>0</v>
      </c>
      <c r="DT81" s="622" t="n">
        <v>0</v>
      </c>
      <c r="DU81" s="2" t="inlineStr">
        <is>
          <t>-</t>
        </is>
      </c>
      <c r="DV81" s="127" t="n"/>
      <c r="DW81" s="128" t="n"/>
      <c r="DX81" s="2" t="inlineStr">
        <is>
          <t>-</t>
        </is>
      </c>
      <c r="DY81" s="127" t="n">
        <v>0</v>
      </c>
      <c r="DZ81" s="128" t="n">
        <v>0</v>
      </c>
      <c r="EA81" s="129" t="n">
        <v>0</v>
      </c>
    </row>
    <row r="82">
      <c r="A82" s="504" t="n"/>
      <c r="B82" s="504" t="n"/>
      <c r="C82" s="628" t="n"/>
      <c r="D82" s="628" t="n"/>
      <c r="E82" s="47" t="inlineStr">
        <is>
          <t>-</t>
        </is>
      </c>
      <c r="F82" s="504" t="n"/>
      <c r="G82" s="504" t="n"/>
      <c r="H82" s="53" t="n"/>
      <c r="I82" s="53" t="n"/>
      <c r="J82" s="628" t="n"/>
      <c r="K82" s="628" t="n"/>
      <c r="L82" s="628" t="n"/>
      <c r="M82" s="628" t="n"/>
      <c r="N82" s="628" t="n"/>
      <c r="O82" s="53" t="n"/>
      <c r="P82" s="628" t="n"/>
      <c r="Q82" s="47" t="inlineStr">
        <is>
          <t>-</t>
        </is>
      </c>
      <c r="R82" s="504" t="n"/>
      <c r="S82" s="504" t="n"/>
      <c r="T82" s="53" t="n"/>
      <c r="U82" s="53" t="n"/>
      <c r="V82" s="628" t="n"/>
      <c r="W82" s="628" t="n"/>
      <c r="X82" s="628" t="n"/>
      <c r="Y82" s="628" t="n"/>
      <c r="Z82" s="628" t="n"/>
      <c r="AA82" s="53" t="n"/>
      <c r="AB82" s="628" t="n"/>
      <c r="AC82" s="47" t="inlineStr">
        <is>
          <t>-</t>
        </is>
      </c>
      <c r="AD82" s="504" t="n"/>
      <c r="AE82" s="504" t="n"/>
      <c r="AF82" s="53" t="n"/>
      <c r="AG82" s="53" t="n"/>
      <c r="AH82" s="628" t="n"/>
      <c r="AI82" s="628" t="n"/>
      <c r="AJ82" s="628" t="n"/>
      <c r="AK82" s="628" t="n"/>
      <c r="AL82" s="628" t="n"/>
      <c r="AM82" s="53" t="n"/>
      <c r="AN82" s="628" t="n"/>
      <c r="AO82" s="47" t="inlineStr">
        <is>
          <t>-</t>
        </is>
      </c>
      <c r="AP82" s="504" t="n"/>
      <c r="AQ82" s="504" t="n"/>
      <c r="AR82" s="53" t="n"/>
      <c r="AS82" s="53" t="n"/>
      <c r="AT82" s="628" t="n"/>
      <c r="AU82" s="628" t="n"/>
      <c r="AV82" s="628" t="n"/>
      <c r="AW82" s="628" t="n"/>
      <c r="AX82" s="628" t="n"/>
      <c r="AY82" s="53" t="n"/>
      <c r="AZ82" s="628" t="n"/>
      <c r="BA82" s="47" t="inlineStr">
        <is>
          <t>-</t>
        </is>
      </c>
      <c r="BB82" s="504" t="n"/>
      <c r="BC82" s="504" t="n"/>
      <c r="BD82" s="53" t="n"/>
      <c r="BE82" s="53" t="n"/>
      <c r="BF82" s="628" t="n"/>
      <c r="BG82" s="628" t="n"/>
      <c r="BH82" s="628" t="n"/>
      <c r="BI82" s="628" t="n"/>
      <c r="BJ82" s="628" t="n"/>
      <c r="BK82" s="53" t="n"/>
      <c r="BL82" s="628" t="n"/>
      <c r="BM82" s="47" t="inlineStr">
        <is>
          <t>-</t>
        </is>
      </c>
      <c r="BN82" s="55" t="n"/>
      <c r="BO82" s="504" t="n"/>
      <c r="BP82" s="53" t="n"/>
      <c r="BQ82" s="53" t="n"/>
      <c r="BR82" s="628" t="n"/>
      <c r="BS82" s="628" t="n"/>
      <c r="BT82" s="628" t="n"/>
      <c r="BU82" s="628" t="n"/>
      <c r="BV82" s="628" t="n"/>
      <c r="BW82" s="56" t="n"/>
      <c r="BX82" s="629" t="n"/>
      <c r="BY82" s="47" t="inlineStr">
        <is>
          <t>-</t>
        </is>
      </c>
      <c r="BZ82" s="55" t="n"/>
      <c r="CA82" s="504" t="n"/>
      <c r="CB82" s="53" t="n"/>
      <c r="CC82" s="53" t="n"/>
      <c r="CD82" s="628" t="n"/>
      <c r="CE82" s="628" t="n"/>
      <c r="CF82" s="628" t="n"/>
      <c r="CG82" s="628" t="n"/>
      <c r="CH82" s="628" t="n"/>
      <c r="CI82" s="56" t="n"/>
      <c r="CJ82" s="629" t="n"/>
      <c r="CK82" s="47" t="inlineStr">
        <is>
          <t>-</t>
        </is>
      </c>
      <c r="CL82" s="504" t="n"/>
      <c r="CM82" s="504" t="n"/>
      <c r="CN82" s="53" t="n"/>
      <c r="CO82" s="53" t="n"/>
      <c r="CP82" s="628" t="n"/>
      <c r="CQ82" s="628" t="n"/>
      <c r="CR82" s="628" t="n"/>
      <c r="CS82" s="628" t="n"/>
      <c r="CT82" s="628" t="n"/>
      <c r="CU82" s="56" t="n"/>
      <c r="CV82" s="628" t="n"/>
      <c r="CW82" s="47" t="inlineStr">
        <is>
          <t>-</t>
        </is>
      </c>
      <c r="CX82" s="504" t="n"/>
      <c r="CY82" s="504" t="n"/>
      <c r="CZ82" s="53" t="n"/>
      <c r="DA82" s="53" t="n"/>
      <c r="DB82" s="628" t="n"/>
      <c r="DC82" s="628" t="n"/>
      <c r="DD82" s="628" t="n"/>
      <c r="DE82" s="628" t="n"/>
      <c r="DF82" s="628" t="n"/>
      <c r="DG82" s="53" t="n"/>
      <c r="DH82" s="628" t="n"/>
      <c r="DI82" s="2" t="inlineStr">
        <is>
          <t>-</t>
        </is>
      </c>
      <c r="DJ82" s="616" t="n"/>
      <c r="DK82" s="616" t="n"/>
      <c r="DL82" s="79" t="n"/>
      <c r="DM82" s="79" t="n"/>
      <c r="DN82" s="616" t="n"/>
      <c r="DO82" s="616" t="n"/>
      <c r="DP82" s="616" t="n"/>
      <c r="DQ82" s="616" t="n"/>
      <c r="DR82" s="616" t="n"/>
      <c r="DS82" s="79" t="n"/>
      <c r="DT82" s="616" t="n"/>
      <c r="DU82" s="2" t="inlineStr">
        <is>
          <t>-</t>
        </is>
      </c>
      <c r="DV82" s="103" t="n"/>
      <c r="DW82" s="104" t="n"/>
      <c r="DX82" s="2" t="inlineStr">
        <is>
          <t>-</t>
        </is>
      </c>
      <c r="DY82" s="103" t="n"/>
      <c r="DZ82" s="104" t="n"/>
      <c r="EA82" s="103" t="n"/>
    </row>
    <row r="83">
      <c r="A83" s="16" t="inlineStr">
        <is>
          <t>III</t>
        </is>
      </c>
      <c r="B83" s="15" t="inlineStr">
        <is>
          <t>Other Schemes</t>
        </is>
      </c>
      <c r="C83" s="617" t="n">
        <v>0</v>
      </c>
      <c r="D83" s="617" t="n">
        <v>0</v>
      </c>
      <c r="E83" s="47" t="inlineStr">
        <is>
          <t>-</t>
        </is>
      </c>
      <c r="F83" s="16" t="inlineStr">
        <is>
          <t>III</t>
        </is>
      </c>
      <c r="G83" s="15" t="inlineStr">
        <is>
          <t>Other Schemes</t>
        </is>
      </c>
      <c r="H83" s="14" t="n">
        <v>0</v>
      </c>
      <c r="I83" s="14" t="n">
        <v>0</v>
      </c>
      <c r="J83" s="617" t="n">
        <v>0</v>
      </c>
      <c r="K83" s="617" t="n">
        <v>0</v>
      </c>
      <c r="L83" s="617" t="n">
        <v>0</v>
      </c>
      <c r="M83" s="617" t="n">
        <v>0</v>
      </c>
      <c r="N83" s="617" t="n">
        <v>0</v>
      </c>
      <c r="O83" s="14" t="n">
        <v>0</v>
      </c>
      <c r="P83" s="617" t="n">
        <v>0</v>
      </c>
      <c r="Q83" s="47" t="inlineStr">
        <is>
          <t>-</t>
        </is>
      </c>
      <c r="R83" s="16" t="inlineStr">
        <is>
          <t>III</t>
        </is>
      </c>
      <c r="S83" s="15" t="inlineStr">
        <is>
          <t>Other Schemes</t>
        </is>
      </c>
      <c r="T83" s="14" t="n">
        <v>0</v>
      </c>
      <c r="U83" s="14" t="n">
        <v>0</v>
      </c>
      <c r="V83" s="617" t="n">
        <v>0</v>
      </c>
      <c r="W83" s="617" t="n">
        <v>0</v>
      </c>
      <c r="X83" s="617" t="n">
        <v>0</v>
      </c>
      <c r="Y83" s="617" t="n">
        <v>0</v>
      </c>
      <c r="Z83" s="617" t="n">
        <v>0</v>
      </c>
      <c r="AA83" s="14" t="n">
        <v>0</v>
      </c>
      <c r="AB83" s="617" t="n">
        <v>0</v>
      </c>
      <c r="AC83" s="47" t="inlineStr">
        <is>
          <t>-</t>
        </is>
      </c>
      <c r="AD83" s="16" t="inlineStr">
        <is>
          <t>III</t>
        </is>
      </c>
      <c r="AE83" s="15" t="inlineStr">
        <is>
          <t>Other Schemes</t>
        </is>
      </c>
      <c r="AF83" s="14" t="n">
        <v>0</v>
      </c>
      <c r="AG83" s="14" t="n">
        <v>0</v>
      </c>
      <c r="AH83" s="617" t="n">
        <v>0</v>
      </c>
      <c r="AI83" s="617" t="n">
        <v>0</v>
      </c>
      <c r="AJ83" s="617" t="n">
        <v>0</v>
      </c>
      <c r="AK83" s="617" t="n">
        <v>0</v>
      </c>
      <c r="AL83" s="617" t="n">
        <v>0</v>
      </c>
      <c r="AM83" s="14" t="n">
        <v>0</v>
      </c>
      <c r="AN83" s="617" t="n">
        <v>0</v>
      </c>
      <c r="AO83" s="47" t="inlineStr">
        <is>
          <t>-</t>
        </is>
      </c>
      <c r="AP83" s="16" t="inlineStr">
        <is>
          <t>III</t>
        </is>
      </c>
      <c r="AQ83" s="15" t="inlineStr">
        <is>
          <t>Other Schemes</t>
        </is>
      </c>
      <c r="AR83" s="14" t="n">
        <v>0</v>
      </c>
      <c r="AS83" s="14" t="n">
        <v>0</v>
      </c>
      <c r="AT83" s="617" t="n">
        <v>0</v>
      </c>
      <c r="AU83" s="617" t="n">
        <v>0</v>
      </c>
      <c r="AV83" s="617" t="n">
        <v>0</v>
      </c>
      <c r="AW83" s="617" t="n">
        <v>0</v>
      </c>
      <c r="AX83" s="617" t="n">
        <v>0</v>
      </c>
      <c r="AY83" s="14" t="n">
        <v>0</v>
      </c>
      <c r="AZ83" s="617" t="n">
        <v>0</v>
      </c>
      <c r="BA83" s="47" t="inlineStr">
        <is>
          <t>-</t>
        </is>
      </c>
      <c r="BB83" s="16" t="inlineStr">
        <is>
          <t>III</t>
        </is>
      </c>
      <c r="BC83" s="15" t="inlineStr">
        <is>
          <t>Other Schemes</t>
        </is>
      </c>
      <c r="BD83" s="14" t="n">
        <v>0</v>
      </c>
      <c r="BE83" s="14" t="n">
        <v>0</v>
      </c>
      <c r="BF83" s="617" t="n">
        <v>0</v>
      </c>
      <c r="BG83" s="617" t="n">
        <v>0</v>
      </c>
      <c r="BH83" s="617" t="n">
        <v>0</v>
      </c>
      <c r="BI83" s="617" t="n">
        <v>0</v>
      </c>
      <c r="BJ83" s="617" t="n">
        <v>0</v>
      </c>
      <c r="BK83" s="14" t="n">
        <v>0</v>
      </c>
      <c r="BL83" s="617" t="n">
        <v>0</v>
      </c>
      <c r="BM83" s="47" t="inlineStr">
        <is>
          <t>-</t>
        </is>
      </c>
      <c r="BN83" s="19" t="inlineStr">
        <is>
          <t>III</t>
        </is>
      </c>
      <c r="BO83" s="15" t="inlineStr">
        <is>
          <t>Other Schemes</t>
        </is>
      </c>
      <c r="BP83" s="14" t="n">
        <v>0</v>
      </c>
      <c r="BQ83" s="14" t="n">
        <v>0</v>
      </c>
      <c r="BR83" s="617" t="n">
        <v>0</v>
      </c>
      <c r="BS83" s="617" t="n">
        <v>0</v>
      </c>
      <c r="BT83" s="617" t="n">
        <v>0</v>
      </c>
      <c r="BU83" s="617" t="n">
        <v>0</v>
      </c>
      <c r="BV83" s="617" t="n">
        <v>0</v>
      </c>
      <c r="BW83" s="17" t="n">
        <v>0</v>
      </c>
      <c r="BX83" s="618" t="n">
        <v>0</v>
      </c>
      <c r="BY83" s="47" t="inlineStr">
        <is>
          <t>-</t>
        </is>
      </c>
      <c r="BZ83" s="19" t="inlineStr">
        <is>
          <t>III</t>
        </is>
      </c>
      <c r="CA83" s="15" t="inlineStr">
        <is>
          <t>Other Schemes</t>
        </is>
      </c>
      <c r="CB83" s="14" t="n">
        <v>0</v>
      </c>
      <c r="CC83" s="14" t="n">
        <v>0</v>
      </c>
      <c r="CD83" s="617" t="n">
        <v>0</v>
      </c>
      <c r="CE83" s="617" t="n">
        <v>0</v>
      </c>
      <c r="CF83" s="617" t="n">
        <v>0</v>
      </c>
      <c r="CG83" s="617" t="n">
        <v>0</v>
      </c>
      <c r="CH83" s="617" t="n">
        <v>0</v>
      </c>
      <c r="CI83" s="17" t="n">
        <v>0</v>
      </c>
      <c r="CJ83" s="618" t="n">
        <v>0</v>
      </c>
      <c r="CK83" s="47" t="inlineStr">
        <is>
          <t>-</t>
        </is>
      </c>
      <c r="CL83" s="16" t="inlineStr">
        <is>
          <t>III</t>
        </is>
      </c>
      <c r="CM83" s="15" t="inlineStr">
        <is>
          <t>Other Schemes</t>
        </is>
      </c>
      <c r="CN83" s="14" t="n">
        <v>0</v>
      </c>
      <c r="CO83" s="14" t="n">
        <v>0</v>
      </c>
      <c r="CP83" s="617" t="n">
        <v>0</v>
      </c>
      <c r="CQ83" s="617" t="n">
        <v>0</v>
      </c>
      <c r="CR83" s="617" t="n">
        <v>0</v>
      </c>
      <c r="CS83" s="617" t="n">
        <v>0</v>
      </c>
      <c r="CT83" s="617" t="n">
        <v>0</v>
      </c>
      <c r="CU83" s="17" t="n">
        <v>0</v>
      </c>
      <c r="CV83" s="617" t="n">
        <v>0</v>
      </c>
      <c r="CW83" s="47" t="inlineStr">
        <is>
          <t>-</t>
        </is>
      </c>
      <c r="CX83" s="16" t="inlineStr">
        <is>
          <t>III</t>
        </is>
      </c>
      <c r="CY83" s="15" t="inlineStr">
        <is>
          <t>Other Schemes</t>
        </is>
      </c>
      <c r="CZ83" s="14" t="n">
        <v>0</v>
      </c>
      <c r="DA83" s="14" t="n">
        <v>0</v>
      </c>
      <c r="DB83" s="617" t="n">
        <v>0</v>
      </c>
      <c r="DC83" s="617" t="n">
        <v>0</v>
      </c>
      <c r="DD83" s="617" t="n">
        <v>0</v>
      </c>
      <c r="DE83" s="617" t="n">
        <v>0</v>
      </c>
      <c r="DF83" s="617" t="n">
        <v>0</v>
      </c>
      <c r="DG83" s="14" t="n">
        <v>0</v>
      </c>
      <c r="DH83" s="617" t="n">
        <v>0</v>
      </c>
      <c r="DI83" s="2" t="inlineStr">
        <is>
          <t>-</t>
        </is>
      </c>
      <c r="DJ83" s="620" t="inlineStr">
        <is>
          <t>III</t>
        </is>
      </c>
      <c r="DK83" s="621" t="inlineStr">
        <is>
          <t>Other Schemes</t>
        </is>
      </c>
      <c r="DL83" s="83" t="n">
        <v>0</v>
      </c>
      <c r="DM83" s="83" t="n">
        <v>0</v>
      </c>
      <c r="DN83" s="622" t="n">
        <v>0</v>
      </c>
      <c r="DO83" s="622" t="n">
        <v>0</v>
      </c>
      <c r="DP83" s="622" t="n">
        <v>0</v>
      </c>
      <c r="DQ83" s="622" t="n">
        <v>0</v>
      </c>
      <c r="DR83" s="622" t="n">
        <v>0</v>
      </c>
      <c r="DS83" s="83" t="n">
        <v>0</v>
      </c>
      <c r="DT83" s="622" t="n">
        <v>0</v>
      </c>
      <c r="DU83" s="2" t="inlineStr">
        <is>
          <t>-</t>
        </is>
      </c>
      <c r="DV83" s="127" t="n">
        <v>0</v>
      </c>
      <c r="DW83" s="128" t="n">
        <v>0</v>
      </c>
      <c r="DX83" s="2" t="inlineStr">
        <is>
          <t>-</t>
        </is>
      </c>
      <c r="DY83" s="127" t="n">
        <v>0</v>
      </c>
      <c r="DZ83" s="128" t="n">
        <v>0</v>
      </c>
      <c r="EA83" s="129" t="n">
        <v>0</v>
      </c>
    </row>
    <row r="84">
      <c r="A84" s="504" t="n"/>
      <c r="B84" s="504" t="n"/>
      <c r="C84" s="628" t="n"/>
      <c r="D84" s="628" t="n"/>
      <c r="E84" s="47" t="inlineStr">
        <is>
          <t>-</t>
        </is>
      </c>
      <c r="F84" s="504" t="n"/>
      <c r="G84" s="504" t="n"/>
      <c r="H84" s="53" t="n"/>
      <c r="I84" s="53" t="n"/>
      <c r="J84" s="628" t="n"/>
      <c r="K84" s="628" t="n"/>
      <c r="L84" s="628" t="n"/>
      <c r="M84" s="628" t="n"/>
      <c r="N84" s="628" t="n"/>
      <c r="O84" s="53" t="n"/>
      <c r="P84" s="628" t="n"/>
      <c r="Q84" s="47" t="inlineStr">
        <is>
          <t>-</t>
        </is>
      </c>
      <c r="R84" s="504" t="n"/>
      <c r="S84" s="504" t="n"/>
      <c r="T84" s="53" t="n"/>
      <c r="U84" s="53" t="n"/>
      <c r="V84" s="628" t="n"/>
      <c r="W84" s="628" t="n"/>
      <c r="X84" s="628" t="n"/>
      <c r="Y84" s="628" t="n"/>
      <c r="Z84" s="628" t="n"/>
      <c r="AA84" s="53" t="n"/>
      <c r="AB84" s="628" t="n"/>
      <c r="AC84" s="47" t="inlineStr">
        <is>
          <t>-</t>
        </is>
      </c>
      <c r="AD84" s="504" t="n"/>
      <c r="AE84" s="504" t="n"/>
      <c r="AF84" s="53" t="n"/>
      <c r="AG84" s="53" t="n"/>
      <c r="AH84" s="628" t="n"/>
      <c r="AI84" s="628" t="n"/>
      <c r="AJ84" s="628" t="n"/>
      <c r="AK84" s="628" t="n"/>
      <c r="AL84" s="628" t="n"/>
      <c r="AM84" s="53" t="n"/>
      <c r="AN84" s="628" t="n"/>
      <c r="AO84" s="47" t="inlineStr">
        <is>
          <t>-</t>
        </is>
      </c>
      <c r="AP84" s="504" t="n"/>
      <c r="AQ84" s="504" t="n"/>
      <c r="AR84" s="53" t="n"/>
      <c r="AS84" s="53" t="n"/>
      <c r="AT84" s="628" t="n"/>
      <c r="AU84" s="628" t="n"/>
      <c r="AV84" s="628" t="n"/>
      <c r="AW84" s="628" t="n"/>
      <c r="AX84" s="628" t="n"/>
      <c r="AY84" s="53" t="n"/>
      <c r="AZ84" s="628" t="n"/>
      <c r="BA84" s="47" t="inlineStr">
        <is>
          <t>-</t>
        </is>
      </c>
      <c r="BB84" s="504" t="n"/>
      <c r="BC84" s="504" t="n"/>
      <c r="BD84" s="53" t="n"/>
      <c r="BE84" s="53" t="n"/>
      <c r="BF84" s="628" t="n"/>
      <c r="BG84" s="628" t="n"/>
      <c r="BH84" s="628" t="n"/>
      <c r="BI84" s="628" t="n"/>
      <c r="BJ84" s="628" t="n"/>
      <c r="BK84" s="53" t="n"/>
      <c r="BL84" s="628" t="n"/>
      <c r="BM84" s="47" t="inlineStr">
        <is>
          <t>-</t>
        </is>
      </c>
      <c r="BN84" s="55" t="n"/>
      <c r="BO84" s="504" t="n"/>
      <c r="BP84" s="53" t="n"/>
      <c r="BQ84" s="53" t="n"/>
      <c r="BR84" s="628" t="n"/>
      <c r="BS84" s="628" t="n"/>
      <c r="BT84" s="628" t="n"/>
      <c r="BU84" s="628" t="n"/>
      <c r="BV84" s="628" t="n"/>
      <c r="BW84" s="56" t="n"/>
      <c r="BX84" s="629" t="n"/>
      <c r="BY84" s="47" t="inlineStr">
        <is>
          <t>-</t>
        </is>
      </c>
      <c r="BZ84" s="55" t="n"/>
      <c r="CA84" s="504" t="n"/>
      <c r="CB84" s="53" t="n"/>
      <c r="CC84" s="53" t="n"/>
      <c r="CD84" s="628" t="n"/>
      <c r="CE84" s="628" t="n"/>
      <c r="CF84" s="628" t="n"/>
      <c r="CG84" s="628" t="n"/>
      <c r="CH84" s="628" t="n"/>
      <c r="CI84" s="56" t="n"/>
      <c r="CJ84" s="629" t="n"/>
      <c r="CK84" s="47" t="inlineStr">
        <is>
          <t>-</t>
        </is>
      </c>
      <c r="CL84" s="504" t="n"/>
      <c r="CM84" s="504" t="n"/>
      <c r="CN84" s="53" t="n"/>
      <c r="CO84" s="53" t="n"/>
      <c r="CP84" s="628" t="n"/>
      <c r="CQ84" s="628" t="n"/>
      <c r="CR84" s="628" t="n"/>
      <c r="CS84" s="628" t="n"/>
      <c r="CT84" s="628" t="n"/>
      <c r="CU84" s="56" t="n"/>
      <c r="CV84" s="628" t="n"/>
      <c r="CW84" s="47" t="inlineStr">
        <is>
          <t>-</t>
        </is>
      </c>
      <c r="CX84" s="504" t="n"/>
      <c r="CY84" s="504" t="n"/>
      <c r="CZ84" s="53" t="n"/>
      <c r="DA84" s="53" t="n"/>
      <c r="DB84" s="628" t="n"/>
      <c r="DC84" s="628" t="n"/>
      <c r="DD84" s="628" t="n"/>
      <c r="DE84" s="628" t="n"/>
      <c r="DF84" s="628" t="n"/>
      <c r="DG84" s="53" t="n"/>
      <c r="DH84" s="628" t="n"/>
      <c r="DI84" s="2" t="inlineStr">
        <is>
          <t>-</t>
        </is>
      </c>
      <c r="DJ84" s="616" t="n"/>
      <c r="DK84" s="616" t="n"/>
      <c r="DL84" s="79" t="n"/>
      <c r="DM84" s="79" t="n"/>
      <c r="DN84" s="616" t="n"/>
      <c r="DO84" s="616" t="n"/>
      <c r="DP84" s="616" t="n"/>
      <c r="DQ84" s="616" t="n"/>
      <c r="DR84" s="616" t="n"/>
      <c r="DS84" s="79" t="n"/>
      <c r="DT84" s="616" t="n"/>
      <c r="DU84" s="2" t="inlineStr">
        <is>
          <t>-</t>
        </is>
      </c>
      <c r="DV84" s="103" t="inlineStr">
        <is>
          <t>-</t>
        </is>
      </c>
      <c r="DW84" s="103" t="inlineStr">
        <is>
          <t>-</t>
        </is>
      </c>
      <c r="DX84" s="2" t="inlineStr">
        <is>
          <t>-</t>
        </is>
      </c>
      <c r="DY84" s="103" t="inlineStr">
        <is>
          <t>-</t>
        </is>
      </c>
      <c r="DZ84" s="103" t="inlineStr">
        <is>
          <t>-</t>
        </is>
      </c>
      <c r="EA84" s="103" t="inlineStr">
        <is>
          <t>-</t>
        </is>
      </c>
    </row>
    <row r="85">
      <c r="A85" s="12" t="n"/>
      <c r="B85" s="12" t="inlineStr">
        <is>
          <t>Total C Interval Schemes</t>
        </is>
      </c>
      <c r="C85" s="11">
        <f>SUM(C79:C83)</f>
        <v/>
      </c>
      <c r="D85" s="11">
        <f>SUM(D79:D83)</f>
        <v/>
      </c>
      <c r="E85" s="47" t="inlineStr">
        <is>
          <t>-</t>
        </is>
      </c>
      <c r="F85" s="12" t="n"/>
      <c r="G85" s="12" t="inlineStr">
        <is>
          <t>Total C Interval Schemes</t>
        </is>
      </c>
      <c r="H85" s="11">
        <f>SUM(H79:H83)</f>
        <v/>
      </c>
      <c r="I85" s="11">
        <f>SUM(I79:I83)</f>
        <v/>
      </c>
      <c r="J85" s="11">
        <f>SUM(J79:J83)</f>
        <v/>
      </c>
      <c r="K85" s="11">
        <f>SUM(K79:K83)</f>
        <v/>
      </c>
      <c r="L85" s="11">
        <f>SUM(L79:L83)</f>
        <v/>
      </c>
      <c r="M85" s="11">
        <f>SUM(M79:M83)</f>
        <v/>
      </c>
      <c r="N85" s="11">
        <f>SUM(N79:N83)</f>
        <v/>
      </c>
      <c r="O85" s="11">
        <f>SUM(O79:O83)</f>
        <v/>
      </c>
      <c r="P85" s="11">
        <f>SUM(P79:P83)</f>
        <v/>
      </c>
      <c r="Q85" s="47" t="inlineStr">
        <is>
          <t>-</t>
        </is>
      </c>
      <c r="R85" s="12" t="n"/>
      <c r="S85" s="12" t="inlineStr">
        <is>
          <t>Total C Interval Schemes</t>
        </is>
      </c>
      <c r="T85" s="11">
        <f>SUM(T79:T83)</f>
        <v/>
      </c>
      <c r="U85" s="11">
        <f>SUM(U79:U83)</f>
        <v/>
      </c>
      <c r="V85" s="11">
        <f>SUM(V79:V83)</f>
        <v/>
      </c>
      <c r="W85" s="11">
        <f>SUM(W79:W83)</f>
        <v/>
      </c>
      <c r="X85" s="11">
        <f>SUM(X79:X83)</f>
        <v/>
      </c>
      <c r="Y85" s="11">
        <f>SUM(Y79:Y83)</f>
        <v/>
      </c>
      <c r="Z85" s="11">
        <f>SUM(Z79:Z83)</f>
        <v/>
      </c>
      <c r="AA85" s="11">
        <f>SUM(AA79:AA83)</f>
        <v/>
      </c>
      <c r="AB85" s="11">
        <f>SUM(AB79:AB83)</f>
        <v/>
      </c>
      <c r="AC85" s="47" t="inlineStr">
        <is>
          <t>-</t>
        </is>
      </c>
      <c r="AD85" s="12" t="n"/>
      <c r="AE85" s="12" t="inlineStr">
        <is>
          <t>Total C Interval Schemes</t>
        </is>
      </c>
      <c r="AF85" s="11">
        <f>SUM(AF79:AF83)</f>
        <v/>
      </c>
      <c r="AG85" s="11">
        <f>SUM(AG79:AG83)</f>
        <v/>
      </c>
      <c r="AH85" s="11">
        <f>SUM(AH79:AH83)</f>
        <v/>
      </c>
      <c r="AI85" s="11">
        <f>SUM(AI79:AI83)</f>
        <v/>
      </c>
      <c r="AJ85" s="11">
        <f>SUM(AJ79:AJ83)</f>
        <v/>
      </c>
      <c r="AK85" s="11">
        <f>SUM(AK79:AK83)</f>
        <v/>
      </c>
      <c r="AL85" s="11">
        <f>SUM(AL79:AL83)</f>
        <v/>
      </c>
      <c r="AM85" s="11">
        <f>SUM(AM79:AM83)</f>
        <v/>
      </c>
      <c r="AN85" s="11">
        <f>SUM(AN79:AN83)</f>
        <v/>
      </c>
      <c r="AO85" s="47" t="inlineStr">
        <is>
          <t>-</t>
        </is>
      </c>
      <c r="AP85" s="12" t="n"/>
      <c r="AQ85" s="12" t="inlineStr">
        <is>
          <t>Total C Interval Schemes</t>
        </is>
      </c>
      <c r="AR85" s="11">
        <f>SUM(AR79:AR83)</f>
        <v/>
      </c>
      <c r="AS85" s="11">
        <f>SUM(AS79:AS83)</f>
        <v/>
      </c>
      <c r="AT85" s="11">
        <f>SUM(AT79:AT83)</f>
        <v/>
      </c>
      <c r="AU85" s="11">
        <f>SUM(AU79:AU83)</f>
        <v/>
      </c>
      <c r="AV85" s="11">
        <f>SUM(AV79:AV83)</f>
        <v/>
      </c>
      <c r="AW85" s="11">
        <f>SUM(AW79:AW83)</f>
        <v/>
      </c>
      <c r="AX85" s="11">
        <f>SUM(AX79:AX83)</f>
        <v/>
      </c>
      <c r="AY85" s="11">
        <f>SUM(AY79:AY83)</f>
        <v/>
      </c>
      <c r="AZ85" s="11">
        <f>SUM(AZ79:AZ83)</f>
        <v/>
      </c>
      <c r="BA85" s="47" t="inlineStr">
        <is>
          <t>-</t>
        </is>
      </c>
      <c r="BB85" s="12" t="n"/>
      <c r="BC85" s="12" t="inlineStr">
        <is>
          <t>Total C Interval Schemes</t>
        </is>
      </c>
      <c r="BD85" s="11">
        <f>SUM(BD79:BD83)</f>
        <v/>
      </c>
      <c r="BE85" s="11">
        <f>SUM(BE79:BE83)</f>
        <v/>
      </c>
      <c r="BF85" s="11">
        <f>SUM(BF79:BF83)</f>
        <v/>
      </c>
      <c r="BG85" s="11">
        <f>SUM(BG79:BG83)</f>
        <v/>
      </c>
      <c r="BH85" s="11">
        <f>SUM(BH79:BH83)</f>
        <v/>
      </c>
      <c r="BI85" s="11">
        <f>SUM(BI79:BI83)</f>
        <v/>
      </c>
      <c r="BJ85" s="11">
        <f>SUM(BJ79:BJ83)</f>
        <v/>
      </c>
      <c r="BK85" s="11">
        <f>SUM(BK79:BK83)</f>
        <v/>
      </c>
      <c r="BL85" s="11">
        <f>SUM(BL79:BL83)</f>
        <v/>
      </c>
      <c r="BM85" s="47" t="inlineStr">
        <is>
          <t>-</t>
        </is>
      </c>
      <c r="BN85" s="12" t="n"/>
      <c r="BO85" s="12" t="inlineStr">
        <is>
          <t>Total C Interval Schemes</t>
        </is>
      </c>
      <c r="BP85" s="11">
        <f>SUM(BP79:BP83)</f>
        <v/>
      </c>
      <c r="BQ85" s="11">
        <f>SUM(BQ79:BQ83)</f>
        <v/>
      </c>
      <c r="BR85" s="11">
        <f>SUM(BR79:BR83)</f>
        <v/>
      </c>
      <c r="BS85" s="11">
        <f>SUM(BS79:BS83)</f>
        <v/>
      </c>
      <c r="BT85" s="11">
        <f>SUM(BT79:BT83)</f>
        <v/>
      </c>
      <c r="BU85" s="11">
        <f>SUM(BU79:BU83)</f>
        <v/>
      </c>
      <c r="BV85" s="11">
        <f>SUM(BV79:BV83)</f>
        <v/>
      </c>
      <c r="BW85" s="11">
        <f>SUM(BW79:BW83)</f>
        <v/>
      </c>
      <c r="BX85" s="11">
        <f>SUM(BX79:BX83)</f>
        <v/>
      </c>
      <c r="BY85" s="47" t="inlineStr">
        <is>
          <t>-</t>
        </is>
      </c>
      <c r="BZ85" s="12" t="n"/>
      <c r="CA85" s="12" t="inlineStr">
        <is>
          <t>Total C Interval Schemes</t>
        </is>
      </c>
      <c r="CB85" s="11">
        <f>SUM(CB79:CB83)</f>
        <v/>
      </c>
      <c r="CC85" s="11">
        <f>SUM(CC79:CC83)</f>
        <v/>
      </c>
      <c r="CD85" s="11">
        <f>SUM(CD79:CD83)</f>
        <v/>
      </c>
      <c r="CE85" s="11">
        <f>SUM(CE79:CE83)</f>
        <v/>
      </c>
      <c r="CF85" s="11">
        <f>SUM(CF79:CF83)</f>
        <v/>
      </c>
      <c r="CG85" s="11">
        <f>SUM(CG79:CG83)</f>
        <v/>
      </c>
      <c r="CH85" s="11">
        <f>SUM(CH79:CH83)</f>
        <v/>
      </c>
      <c r="CI85" s="11">
        <f>SUM(CI79:CI83)</f>
        <v/>
      </c>
      <c r="CJ85" s="11">
        <f>SUM(CJ79:CJ83)</f>
        <v/>
      </c>
      <c r="CK85" s="47" t="inlineStr">
        <is>
          <t>-</t>
        </is>
      </c>
      <c r="CL85" s="12" t="n"/>
      <c r="CM85" s="12" t="inlineStr">
        <is>
          <t>Total C Interval Schemes</t>
        </is>
      </c>
      <c r="CN85" s="11">
        <f>SUM(CN79:CN83)</f>
        <v/>
      </c>
      <c r="CO85" s="11">
        <f>SUM(CO79:CO83)</f>
        <v/>
      </c>
      <c r="CP85" s="11">
        <f>SUM(CP79:CP83)</f>
        <v/>
      </c>
      <c r="CQ85" s="11">
        <f>SUM(CQ79:CQ83)</f>
        <v/>
      </c>
      <c r="CR85" s="11">
        <f>SUM(CR79:CR83)</f>
        <v/>
      </c>
      <c r="CS85" s="11">
        <f>SUM(CS79:CS83)</f>
        <v/>
      </c>
      <c r="CT85" s="11">
        <f>SUM(CT79:CT83)</f>
        <v/>
      </c>
      <c r="CU85" s="11">
        <f>SUM(CU79:CU83)</f>
        <v/>
      </c>
      <c r="CV85" s="11">
        <f>SUM(CV79:CV83)</f>
        <v/>
      </c>
      <c r="CW85" s="47" t="inlineStr">
        <is>
          <t>-</t>
        </is>
      </c>
      <c r="CX85" s="12" t="n"/>
      <c r="CY85" s="12" t="inlineStr">
        <is>
          <t>Total C Interval Schemes</t>
        </is>
      </c>
      <c r="CZ85" s="11">
        <f>SUM(CZ79:CZ83)</f>
        <v/>
      </c>
      <c r="DA85" s="11">
        <f>SUM(DA79:DA83)</f>
        <v/>
      </c>
      <c r="DB85" s="11">
        <f>SUM(DB79:DB83)</f>
        <v/>
      </c>
      <c r="DC85" s="11">
        <f>SUM(DC79:DC83)</f>
        <v/>
      </c>
      <c r="DD85" s="11">
        <f>SUM(DD79:DD83)</f>
        <v/>
      </c>
      <c r="DE85" s="11">
        <f>SUM(DE79:DE83)</f>
        <v/>
      </c>
      <c r="DF85" s="11">
        <f>SUM(DF79:DF83)</f>
        <v/>
      </c>
      <c r="DG85" s="11">
        <f>SUM(DG79:DG83)</f>
        <v/>
      </c>
      <c r="DH85" s="11">
        <f>SUM(DH79:DH83)</f>
        <v/>
      </c>
      <c r="DI85" s="47" t="inlineStr">
        <is>
          <t>-</t>
        </is>
      </c>
      <c r="DJ85" s="632" t="n"/>
      <c r="DK85" s="632" t="inlineStr">
        <is>
          <t>Total C Interval Schemes</t>
        </is>
      </c>
      <c r="DL85" s="11">
        <f>SUM(DL79:DL83)</f>
        <v/>
      </c>
      <c r="DM85" s="11">
        <f>SUM(DM79:DM83)</f>
        <v/>
      </c>
      <c r="DN85" s="11">
        <f>SUM(DN79:DN83)</f>
        <v/>
      </c>
      <c r="DO85" s="11">
        <f>SUM(DO79:DO83)</f>
        <v/>
      </c>
      <c r="DP85" s="11">
        <f>SUM(DP79:DP83)</f>
        <v/>
      </c>
      <c r="DQ85" s="11">
        <f>SUM(DQ79:DQ83)</f>
        <v/>
      </c>
      <c r="DR85" s="11">
        <f>SUM(DR79:DR83)</f>
        <v/>
      </c>
      <c r="DS85" s="11">
        <f>SUM(DS79:DS83)</f>
        <v/>
      </c>
      <c r="DT85" s="11">
        <f>SUM(DT79:DT83)</f>
        <v/>
      </c>
      <c r="DU85" s="47" t="inlineStr">
        <is>
          <t>-</t>
        </is>
      </c>
      <c r="DV85" s="127" t="n">
        <v>0</v>
      </c>
      <c r="DW85" s="128" t="n">
        <v>0</v>
      </c>
      <c r="DX85" s="47" t="inlineStr">
        <is>
          <t>-</t>
        </is>
      </c>
      <c r="DY85" s="127" t="n">
        <v>0</v>
      </c>
      <c r="DZ85" s="128" t="n">
        <v>0</v>
      </c>
      <c r="EA85" s="129">
        <f>(DR85-DF85)/DF85</f>
        <v/>
      </c>
    </row>
    <row r="86">
      <c r="A86" s="504" t="n"/>
      <c r="B86" s="9" t="n"/>
      <c r="C86" s="628" t="n"/>
      <c r="D86" s="628" t="n"/>
      <c r="E86" s="47" t="inlineStr">
        <is>
          <t>-</t>
        </is>
      </c>
      <c r="F86" s="504" t="n"/>
      <c r="G86" s="9" t="n"/>
      <c r="H86" s="53" t="n"/>
      <c r="I86" s="53" t="n"/>
      <c r="J86" s="628" t="n"/>
      <c r="K86" s="628" t="n"/>
      <c r="L86" s="628" t="n"/>
      <c r="M86" s="628" t="n"/>
      <c r="N86" s="628" t="n"/>
      <c r="O86" s="53" t="n"/>
      <c r="P86" s="628" t="n"/>
      <c r="Q86" s="47" t="inlineStr">
        <is>
          <t>-</t>
        </is>
      </c>
      <c r="R86" s="504" t="n"/>
      <c r="S86" s="9" t="n"/>
      <c r="T86" s="53" t="n"/>
      <c r="U86" s="53" t="n"/>
      <c r="V86" s="628" t="n"/>
      <c r="W86" s="628" t="n"/>
      <c r="X86" s="628" t="n"/>
      <c r="Y86" s="628" t="n"/>
      <c r="Z86" s="628" t="n"/>
      <c r="AA86" s="53" t="n"/>
      <c r="AB86" s="628" t="n"/>
      <c r="AC86" s="47" t="inlineStr">
        <is>
          <t>-</t>
        </is>
      </c>
      <c r="AD86" s="504" t="n"/>
      <c r="AE86" s="9" t="n"/>
      <c r="AF86" s="53" t="n"/>
      <c r="AG86" s="53" t="n"/>
      <c r="AH86" s="628" t="n"/>
      <c r="AI86" s="628" t="n"/>
      <c r="AJ86" s="628" t="n"/>
      <c r="AK86" s="628" t="n"/>
      <c r="AL86" s="628" t="n"/>
      <c r="AM86" s="53" t="n"/>
      <c r="AN86" s="628" t="n"/>
      <c r="AO86" s="47" t="inlineStr">
        <is>
          <t>-</t>
        </is>
      </c>
      <c r="AP86" s="504" t="n"/>
      <c r="AQ86" s="9" t="n"/>
      <c r="AR86" s="53" t="n"/>
      <c r="AS86" s="53" t="n"/>
      <c r="AT86" s="628" t="n"/>
      <c r="AU86" s="628" t="n"/>
      <c r="AV86" s="628" t="n"/>
      <c r="AW86" s="628" t="n"/>
      <c r="AX86" s="628" t="n"/>
      <c r="AY86" s="53" t="n"/>
      <c r="AZ86" s="628" t="n"/>
      <c r="BA86" s="47" t="inlineStr">
        <is>
          <t>-</t>
        </is>
      </c>
      <c r="BB86" s="504" t="n"/>
      <c r="BC86" s="9" t="n"/>
      <c r="BD86" s="53" t="n"/>
      <c r="BE86" s="53" t="n"/>
      <c r="BF86" s="628" t="n"/>
      <c r="BG86" s="628" t="n"/>
      <c r="BH86" s="628" t="n"/>
      <c r="BI86" s="628" t="n"/>
      <c r="BJ86" s="628" t="n"/>
      <c r="BK86" s="53" t="n"/>
      <c r="BL86" s="628" t="n"/>
      <c r="BM86" s="47" t="inlineStr">
        <is>
          <t>-</t>
        </is>
      </c>
      <c r="BN86" s="55" t="n"/>
      <c r="BO86" s="9" t="n"/>
      <c r="BP86" s="53" t="n"/>
      <c r="BQ86" s="53" t="n"/>
      <c r="BR86" s="628" t="n"/>
      <c r="BS86" s="628" t="n"/>
      <c r="BT86" s="628" t="n"/>
      <c r="BU86" s="628" t="n"/>
      <c r="BV86" s="628" t="n"/>
      <c r="BW86" s="56" t="n"/>
      <c r="BX86" s="629" t="n"/>
      <c r="BY86" s="47" t="inlineStr">
        <is>
          <t>-</t>
        </is>
      </c>
      <c r="BZ86" s="55" t="n"/>
      <c r="CA86" s="9" t="n"/>
      <c r="CB86" s="53" t="n"/>
      <c r="CC86" s="53" t="n"/>
      <c r="CD86" s="628" t="n"/>
      <c r="CE86" s="628" t="n"/>
      <c r="CF86" s="628" t="n"/>
      <c r="CG86" s="628" t="n"/>
      <c r="CH86" s="628" t="n"/>
      <c r="CI86" s="56" t="n"/>
      <c r="CJ86" s="629" t="n"/>
      <c r="CK86" s="47" t="inlineStr">
        <is>
          <t>-</t>
        </is>
      </c>
      <c r="CL86" s="504" t="n"/>
      <c r="CM86" s="9" t="n"/>
      <c r="CN86" s="53" t="n"/>
      <c r="CO86" s="53" t="n"/>
      <c r="CP86" s="628" t="n"/>
      <c r="CQ86" s="628" t="n"/>
      <c r="CR86" s="628" t="n"/>
      <c r="CS86" s="628" t="n"/>
      <c r="CT86" s="628" t="n"/>
      <c r="CU86" s="56" t="n"/>
      <c r="CV86" s="628" t="n"/>
      <c r="CW86" s="47" t="inlineStr">
        <is>
          <t>-</t>
        </is>
      </c>
      <c r="CX86" s="504" t="n"/>
      <c r="CY86" s="9" t="n"/>
      <c r="CZ86" s="53" t="n"/>
      <c r="DA86" s="53" t="n"/>
      <c r="DB86" s="628" t="n"/>
      <c r="DC86" s="628" t="n"/>
      <c r="DD86" s="628" t="n"/>
      <c r="DE86" s="628" t="n"/>
      <c r="DF86" s="628" t="n"/>
      <c r="DG86" s="53" t="n"/>
      <c r="DH86" s="628" t="n"/>
      <c r="DI86" s="2" t="inlineStr">
        <is>
          <t>-</t>
        </is>
      </c>
      <c r="DJ86" s="616" t="n"/>
      <c r="DK86" s="633" t="n"/>
      <c r="DL86" s="53" t="n"/>
      <c r="DM86" s="53" t="n"/>
      <c r="DN86" s="628" t="n"/>
      <c r="DO86" s="628" t="n"/>
      <c r="DP86" s="628" t="n"/>
      <c r="DQ86" s="628" t="n"/>
      <c r="DR86" s="628" t="n"/>
      <c r="DS86" s="53" t="n"/>
      <c r="DT86" s="628" t="n"/>
      <c r="DU86" s="2" t="inlineStr">
        <is>
          <t>-</t>
        </is>
      </c>
      <c r="DV86" s="103" t="inlineStr">
        <is>
          <t>-</t>
        </is>
      </c>
      <c r="DW86" s="103" t="inlineStr">
        <is>
          <t>-</t>
        </is>
      </c>
      <c r="DX86" s="2" t="inlineStr">
        <is>
          <t>-</t>
        </is>
      </c>
      <c r="DY86" s="103" t="inlineStr">
        <is>
          <t>-</t>
        </is>
      </c>
      <c r="DZ86" s="103" t="inlineStr">
        <is>
          <t>-</t>
        </is>
      </c>
      <c r="EA86" s="103" t="inlineStr">
        <is>
          <t>-</t>
        </is>
      </c>
    </row>
    <row r="87">
      <c r="A87" s="12" t="n"/>
      <c r="B87" s="12" t="inlineStr">
        <is>
          <t>Grand Total</t>
        </is>
      </c>
      <c r="C87" s="11">
        <f>SUM(C59:C59) + SUM(C76:C76) + SUM(C85:C85)</f>
        <v/>
      </c>
      <c r="D87" s="11">
        <f>SUM(D59:D59) + SUM(D76:D76) + SUM(D85:D85)</f>
        <v/>
      </c>
      <c r="E87" s="47" t="inlineStr">
        <is>
          <t>-</t>
        </is>
      </c>
      <c r="F87" s="12" t="n"/>
      <c r="G87" s="12" t="inlineStr">
        <is>
          <t>Grand Total</t>
        </is>
      </c>
      <c r="H87" s="11">
        <f>SUM(H59:H59) + SUM(H76:H76) + SUM(H85:H85)</f>
        <v/>
      </c>
      <c r="I87" s="11">
        <f>SUM(I59:I59) + SUM(I76:I76) + SUM(I85:I85)</f>
        <v/>
      </c>
      <c r="J87" s="11">
        <f>SUM(J59:J59) + SUM(J76:J76) + SUM(J85:J85)</f>
        <v/>
      </c>
      <c r="K87" s="11">
        <f>SUM(K59:K59) + SUM(K76:K76) + SUM(K85:K85)</f>
        <v/>
      </c>
      <c r="L87" s="11">
        <f>SUM(L59:L59) + SUM(L76:L76) + SUM(L85:L85)</f>
        <v/>
      </c>
      <c r="M87" s="11">
        <f>SUM(M59:M59) + SUM(M76:M76) + SUM(M85:M85)</f>
        <v/>
      </c>
      <c r="N87" s="11">
        <f>SUM(N59:N59) + SUM(N76:N76) + SUM(N85:N85)</f>
        <v/>
      </c>
      <c r="O87" s="11">
        <f>SUM(O59:O59) + SUM(O76:O76) + SUM(O85:O85)</f>
        <v/>
      </c>
      <c r="P87" s="11">
        <f>SUM(P59:P59) + SUM(P76:P76) + SUM(P85:P85)</f>
        <v/>
      </c>
      <c r="Q87" s="47" t="inlineStr">
        <is>
          <t>-</t>
        </is>
      </c>
      <c r="R87" s="12" t="n"/>
      <c r="S87" s="12" t="inlineStr">
        <is>
          <t>Grand Total</t>
        </is>
      </c>
      <c r="T87" s="11">
        <f>SUM(T59:T59) + SUM(T76:T76) + SUM(T85:T85)</f>
        <v/>
      </c>
      <c r="U87" s="11">
        <f>SUM(U59:U59) + SUM(U76:U76) + SUM(U85:U85)</f>
        <v/>
      </c>
      <c r="V87" s="11">
        <f>SUM(V59:V59) + SUM(V76:V76) + SUM(V85:V85)</f>
        <v/>
      </c>
      <c r="W87" s="11">
        <f>SUM(W59:W59) + SUM(W76:W76) + SUM(W85:W85)</f>
        <v/>
      </c>
      <c r="X87" s="11">
        <f>SUM(X59:X59) + SUM(X76:X76) + SUM(X85:X85)</f>
        <v/>
      </c>
      <c r="Y87" s="11">
        <f>SUM(Y59:Y59) + SUM(Y76:Y76) + SUM(Y85:Y85)</f>
        <v/>
      </c>
      <c r="Z87" s="11">
        <f>SUM(Z59:Z59) + SUM(Z76:Z76) + SUM(Z85:Z85)</f>
        <v/>
      </c>
      <c r="AA87" s="11">
        <f>SUM(AA59:AA59) + SUM(AA76:AA76) + SUM(AA85:AA85)</f>
        <v/>
      </c>
      <c r="AB87" s="11">
        <f>SUM(AB59:AB59) + SUM(AB76:AB76) + SUM(AB85:AB85)</f>
        <v/>
      </c>
      <c r="AC87" s="47" t="inlineStr">
        <is>
          <t>-</t>
        </is>
      </c>
      <c r="AD87" s="12" t="n"/>
      <c r="AE87" s="12" t="inlineStr">
        <is>
          <t>Grand Total</t>
        </is>
      </c>
      <c r="AF87" s="11">
        <f>SUM(AF59:AF59) + SUM(AF76:AF76) + SUM(AF85:AF85)</f>
        <v/>
      </c>
      <c r="AG87" s="11">
        <f>SUM(AG59:AG59) + SUM(AG76:AG76) + SUM(AG85:AG85)</f>
        <v/>
      </c>
      <c r="AH87" s="11">
        <f>SUM(AH59:AH59) + SUM(AH76:AH76) + SUM(AH85:AH85)</f>
        <v/>
      </c>
      <c r="AI87" s="11">
        <f>SUM(AI59:AI59) + SUM(AI76:AI76) + SUM(AI85:AI85)</f>
        <v/>
      </c>
      <c r="AJ87" s="11">
        <f>SUM(AJ59:AJ59) + SUM(AJ76:AJ76) + SUM(AJ85:AJ85)</f>
        <v/>
      </c>
      <c r="AK87" s="11">
        <f>SUM(AK59:AK59) + SUM(AK76:AK76) + SUM(AK85:AK85)</f>
        <v/>
      </c>
      <c r="AL87" s="11">
        <f>SUM(AL59:AL59) + SUM(AL76:AL76) + SUM(AL85:AL85)</f>
        <v/>
      </c>
      <c r="AM87" s="11">
        <f>SUM(AM59:AM59) + SUM(AM76:AM76) + SUM(AM85:AM85)</f>
        <v/>
      </c>
      <c r="AN87" s="11">
        <f>SUM(AN59:AN59) + SUM(AN76:AN76) + SUM(AN85:AN85)</f>
        <v/>
      </c>
      <c r="AO87" s="47" t="inlineStr">
        <is>
          <t>-</t>
        </is>
      </c>
      <c r="AP87" s="12" t="n"/>
      <c r="AQ87" s="12" t="inlineStr">
        <is>
          <t>Grand Total</t>
        </is>
      </c>
      <c r="AR87" s="11">
        <f>SUM(AR59:AR59) + SUM(AR76:AR76) + SUM(AR85:AR85)</f>
        <v/>
      </c>
      <c r="AS87" s="11">
        <f>SUM(AS59:AS59) + SUM(AS76:AS76) + SUM(AS85:AS85)</f>
        <v/>
      </c>
      <c r="AT87" s="11">
        <f>SUM(AT59:AT59) + SUM(AT76:AT76) + SUM(AT85:AT85)</f>
        <v/>
      </c>
      <c r="AU87" s="11">
        <f>SUM(AU59:AU59) + SUM(AU76:AU76) + SUM(AU85:AU85)</f>
        <v/>
      </c>
      <c r="AV87" s="11">
        <f>SUM(AV59:AV59) + SUM(AV76:AV76) + SUM(AV85:AV85)</f>
        <v/>
      </c>
      <c r="AW87" s="11">
        <f>SUM(AW59:AW59) + SUM(AW76:AW76) + SUM(AW85:AW85)</f>
        <v/>
      </c>
      <c r="AX87" s="11">
        <f>SUM(AX59:AX59) + SUM(AX76:AX76) + SUM(AX85:AX85)</f>
        <v/>
      </c>
      <c r="AY87" s="11">
        <f>SUM(AY59:AY59) + SUM(AY76:AY76) + SUM(AY85:AY85)</f>
        <v/>
      </c>
      <c r="AZ87" s="11">
        <f>SUM(AZ59:AZ59) + SUM(AZ76:AZ76) + SUM(AZ85:AZ85)</f>
        <v/>
      </c>
      <c r="BA87" s="47" t="inlineStr">
        <is>
          <t>-</t>
        </is>
      </c>
      <c r="BB87" s="12" t="n"/>
      <c r="BC87" s="12" t="inlineStr">
        <is>
          <t>Grand Total</t>
        </is>
      </c>
      <c r="BD87" s="11">
        <f>SUM(BD59:BD59) + SUM(BD76:BD76) + SUM(BD85:BD85)</f>
        <v/>
      </c>
      <c r="BE87" s="11">
        <f>SUM(BE59:BE59) + SUM(BE76:BE76) + SUM(BE85:BE85)</f>
        <v/>
      </c>
      <c r="BF87" s="11">
        <f>SUM(BF59:BF59) + SUM(BF76:BF76) + SUM(BF85:BF85)</f>
        <v/>
      </c>
      <c r="BG87" s="11">
        <f>SUM(BG59:BG59) + SUM(BG76:BG76) + SUM(BG85:BG85)</f>
        <v/>
      </c>
      <c r="BH87" s="11">
        <f>SUM(BH59:BH59) + SUM(BH76:BH76) + SUM(BH85:BH85)</f>
        <v/>
      </c>
      <c r="BI87" s="11">
        <f>SUM(BI59:BI59) + SUM(BI76:BI76) + SUM(BI85:BI85)</f>
        <v/>
      </c>
      <c r="BJ87" s="11">
        <f>SUM(BJ59:BJ59) + SUM(BJ76:BJ76) + SUM(BJ85:BJ85)</f>
        <v/>
      </c>
      <c r="BK87" s="11">
        <f>SUM(BK59:BK59) + SUM(BK76:BK76) + SUM(BK85:BK85)</f>
        <v/>
      </c>
      <c r="BL87" s="11">
        <f>SUM(BL59:BL59) + SUM(BL76:BL76) + SUM(BL85:BL85)</f>
        <v/>
      </c>
      <c r="BM87" s="47" t="inlineStr">
        <is>
          <t>-</t>
        </is>
      </c>
      <c r="BN87" s="12" t="n"/>
      <c r="BO87" s="12" t="inlineStr">
        <is>
          <t>Grand Total</t>
        </is>
      </c>
      <c r="BP87" s="11">
        <f>SUM(BP59:BP59) + SUM(BP76:BP76) + SUM(BP85:BP85)</f>
        <v/>
      </c>
      <c r="BQ87" s="11">
        <f>SUM(BQ59:BQ59) + SUM(BQ76:BQ76) + SUM(BQ85:BQ85)</f>
        <v/>
      </c>
      <c r="BR87" s="11">
        <f>SUM(BR59:BR59) + SUM(BR76:BR76) + SUM(BR85:BR85)</f>
        <v/>
      </c>
      <c r="BS87" s="11">
        <f>SUM(BS59:BS59) + SUM(BS76:BS76) + SUM(BS85:BS85)</f>
        <v/>
      </c>
      <c r="BT87" s="11">
        <f>SUM(BT59:BT59) + SUM(BT76:BT76) + SUM(BT85:BT85)</f>
        <v/>
      </c>
      <c r="BU87" s="11">
        <f>SUM(BU59:BU59) + SUM(BU76:BU76) + SUM(BU85:BU85)</f>
        <v/>
      </c>
      <c r="BV87" s="11">
        <f>SUM(BV59:BV59) + SUM(BV76:BV76) + SUM(BV85:BV85)</f>
        <v/>
      </c>
      <c r="BW87" s="11">
        <f>SUM(BW59:BW59) + SUM(BW76:BW76) + SUM(BW85:BW85)</f>
        <v/>
      </c>
      <c r="BX87" s="11">
        <f>SUM(BX59:BX59) + SUM(BX76:BX76) + SUM(BX85:BX85)</f>
        <v/>
      </c>
      <c r="BY87" s="47" t="inlineStr">
        <is>
          <t>-</t>
        </is>
      </c>
      <c r="BZ87" s="12" t="n"/>
      <c r="CA87" s="12" t="inlineStr">
        <is>
          <t>Grand Total</t>
        </is>
      </c>
      <c r="CB87" s="11">
        <f>SUM(CB59:CB59) + SUM(CB76:CB76) + SUM(CB85:CB85)</f>
        <v/>
      </c>
      <c r="CC87" s="11">
        <f>SUM(CC59:CC59) + SUM(CC76:CC76) + SUM(CC85:CC85)</f>
        <v/>
      </c>
      <c r="CD87" s="11">
        <f>SUM(CD59:CD59) + SUM(CD76:CD76) + SUM(CD85:CD85)</f>
        <v/>
      </c>
      <c r="CE87" s="11">
        <f>SUM(CE59:CE59) + SUM(CE76:CE76) + SUM(CE85:CE85)</f>
        <v/>
      </c>
      <c r="CF87" s="11">
        <f>SUM(CF59:CF59) + SUM(CF76:CF76) + SUM(CF85:CF85)</f>
        <v/>
      </c>
      <c r="CG87" s="11">
        <f>SUM(CG59:CG59) + SUM(CG76:CG76) + SUM(CG85:CG85)</f>
        <v/>
      </c>
      <c r="CH87" s="11">
        <f>SUM(CH59:CH59) + SUM(CH76:CH76) + SUM(CH85:CH85)</f>
        <v/>
      </c>
      <c r="CI87" s="11">
        <f>SUM(CI59:CI59) + SUM(CI76:CI76) + SUM(CI85:CI85)</f>
        <v/>
      </c>
      <c r="CJ87" s="11">
        <f>SUM(CJ59:CJ59) + SUM(CJ76:CJ76) + SUM(CJ85:CJ85)</f>
        <v/>
      </c>
      <c r="CK87" s="47" t="inlineStr">
        <is>
          <t>-</t>
        </is>
      </c>
      <c r="CL87" s="12" t="n"/>
      <c r="CM87" s="12" t="inlineStr">
        <is>
          <t>Grand Total</t>
        </is>
      </c>
      <c r="CN87" s="11">
        <f>SUM(CN59:CN59) + SUM(CN76:CN76) + SUM(CN85:CN85)</f>
        <v/>
      </c>
      <c r="CO87" s="11">
        <f>SUM(CO59:CO59) + SUM(CO76:CO76) + SUM(CO85:CO85)</f>
        <v/>
      </c>
      <c r="CP87" s="11">
        <f>SUM(CP59:CP59) + SUM(CP76:CP76) + SUM(CP85:CP85)</f>
        <v/>
      </c>
      <c r="CQ87" s="11">
        <f>SUM(CQ59:CQ59) + SUM(CQ76:CQ76) + SUM(CQ85:CQ85)</f>
        <v/>
      </c>
      <c r="CR87" s="11">
        <f>SUM(CR59:CR59) + SUM(CR76:CR76) + SUM(CR85:CR85)</f>
        <v/>
      </c>
      <c r="CS87" s="11">
        <f>SUM(CS59:CS59) + SUM(CS76:CS76) + SUM(CS85:CS85)</f>
        <v/>
      </c>
      <c r="CT87" s="11">
        <f>SUM(CT59:CT59) + SUM(CT76:CT76) + SUM(CT85:CT85)</f>
        <v/>
      </c>
      <c r="CU87" s="11">
        <f>SUM(CU59:CU59) + SUM(CU76:CU76) + SUM(CU85:CU85)</f>
        <v/>
      </c>
      <c r="CV87" s="11">
        <f>SUM(CV59:CV59) + SUM(CV76:CV76) + SUM(CV85:CV85)</f>
        <v/>
      </c>
      <c r="CW87" s="47" t="inlineStr">
        <is>
          <t>-</t>
        </is>
      </c>
      <c r="CX87" s="12" t="n"/>
      <c r="CY87" s="12" t="inlineStr">
        <is>
          <t>Grand Total</t>
        </is>
      </c>
      <c r="CZ87" s="11">
        <f>SUM(CZ59:CZ59) + SUM(CZ76:CZ76) + SUM(CZ85:CZ85)</f>
        <v/>
      </c>
      <c r="DA87" s="11">
        <f>SUM(DA59:DA59) + SUM(DA76:DA76) + SUM(DA85:DA85)</f>
        <v/>
      </c>
      <c r="DB87" s="11">
        <f>SUM(DB59:DB59) + SUM(DB76:DB76) + SUM(DB85:DB85)</f>
        <v/>
      </c>
      <c r="DC87" s="11">
        <f>SUM(DC59:DC59) + SUM(DC76:DC76) + SUM(DC85:DC85)</f>
        <v/>
      </c>
      <c r="DD87" s="74">
        <f>SUM(DD59:DD59) + SUM(DD76:DD76) + SUM(DD85:DD85)</f>
        <v/>
      </c>
      <c r="DE87" s="108">
        <f>SUM(DE59:DE59) + SUM(DE76:DE76) + SUM(DE85:DE85)</f>
        <v/>
      </c>
      <c r="DF87" s="11">
        <f>SUM(DF59:DF59) + SUM(DF76:DF76) + SUM(DF85:DF85)</f>
        <v/>
      </c>
      <c r="DG87" s="11">
        <f>SUM(DG59:DG59) + SUM(DG76:DG76) + SUM(DG85:DG85)</f>
        <v/>
      </c>
      <c r="DH87" s="11">
        <f>SUM(DH59:DH59) + SUM(DH76:DH76) + SUM(DH85:DH85)</f>
        <v/>
      </c>
      <c r="DI87" s="47" t="inlineStr">
        <is>
          <t>-</t>
        </is>
      </c>
      <c r="DJ87" s="632" t="n"/>
      <c r="DK87" s="632" t="inlineStr">
        <is>
          <t>Grand Total</t>
        </is>
      </c>
      <c r="DL87" s="11">
        <f>SUM(DL59:DL59) + SUM(DL76:DL76) + SUM(DL85:DL85)</f>
        <v/>
      </c>
      <c r="DM87" s="11">
        <f>SUM(DM59:DM59) + SUM(DM76:DM76) + SUM(DM85:DM85)</f>
        <v/>
      </c>
      <c r="DN87" s="11">
        <f>SUM(DN59:DN59) + SUM(DN76:DN76) + SUM(DN85:DN85)</f>
        <v/>
      </c>
      <c r="DO87" s="11">
        <f>SUM(DO59:DO59) + SUM(DO76:DO76) + SUM(DO85:DO85)</f>
        <v/>
      </c>
      <c r="DP87" s="74">
        <f>SUM(DP59:DP59) + SUM(DP76:DP76) + SUM(DP85:DP85)</f>
        <v/>
      </c>
      <c r="DQ87" s="108">
        <f>SUM(DQ59:DQ59) + SUM(DQ76:DQ76) + SUM(DQ85:DQ85)</f>
        <v/>
      </c>
      <c r="DR87" s="11">
        <f>SUM(DR59:DR59) + SUM(DR76:DR76) + SUM(DR85:DR85)</f>
        <v/>
      </c>
      <c r="DS87" s="11">
        <f>SUM(DS59:DS59) + SUM(DS76:DS76) + SUM(DS85:DS85)</f>
        <v/>
      </c>
      <c r="DT87" s="11">
        <f>SUM(DT59:DT59) + SUM(DT76:DT76) + SUM(DT85:DT85)</f>
        <v/>
      </c>
      <c r="DU87" s="47" t="inlineStr">
        <is>
          <t>-</t>
        </is>
      </c>
      <c r="DV87" s="127">
        <f>(DQ87-DE87)/DE87</f>
        <v/>
      </c>
      <c r="DW87" s="128">
        <f>(DS87-DG87)/DG87</f>
        <v/>
      </c>
      <c r="DX87" s="47" t="inlineStr">
        <is>
          <t>-</t>
        </is>
      </c>
      <c r="DY87" s="127">
        <f>(DN87-DB87)/DB87</f>
        <v/>
      </c>
      <c r="DZ87" s="128">
        <f>(DP87-DD87)/DD87</f>
        <v/>
      </c>
      <c r="EA87" s="129">
        <f>(DR87-DF87)/DF87</f>
        <v/>
      </c>
    </row>
    <row r="88">
      <c r="A88" s="504" t="n"/>
      <c r="B88" s="9" t="n"/>
      <c r="C88" s="628" t="n"/>
      <c r="D88" s="628" t="n"/>
      <c r="E88" s="47" t="inlineStr">
        <is>
          <t>-</t>
        </is>
      </c>
      <c r="F88" s="504" t="n"/>
      <c r="G88" s="9" t="n"/>
      <c r="H88" s="53" t="n"/>
      <c r="I88" s="53" t="n"/>
      <c r="J88" s="628" t="n"/>
      <c r="K88" s="628" t="n"/>
      <c r="L88" s="628" t="n"/>
      <c r="M88" s="628" t="n"/>
      <c r="N88" s="628" t="n"/>
      <c r="O88" s="53" t="n"/>
      <c r="P88" s="628" t="n"/>
      <c r="Q88" s="47" t="inlineStr">
        <is>
          <t>-</t>
        </is>
      </c>
      <c r="R88" s="504" t="n"/>
      <c r="S88" s="9" t="n"/>
      <c r="T88" s="53" t="n"/>
      <c r="U88" s="53" t="n"/>
      <c r="V88" s="628" t="n"/>
      <c r="W88" s="628" t="n"/>
      <c r="X88" s="628" t="n"/>
      <c r="Y88" s="628" t="n"/>
      <c r="Z88" s="628" t="n"/>
      <c r="AA88" s="53" t="n"/>
      <c r="AB88" s="628" t="n"/>
      <c r="AC88" s="47" t="inlineStr">
        <is>
          <t>-</t>
        </is>
      </c>
      <c r="AD88" s="504" t="n"/>
      <c r="AE88" s="9" t="n"/>
      <c r="AF88" s="53" t="n"/>
      <c r="AG88" s="53" t="n"/>
      <c r="AH88" s="628" t="n"/>
      <c r="AI88" s="628" t="n"/>
      <c r="AJ88" s="628" t="n"/>
      <c r="AK88" s="628" t="n"/>
      <c r="AL88" s="628" t="n"/>
      <c r="AM88" s="53" t="n"/>
      <c r="AN88" s="628" t="n"/>
      <c r="AO88" s="47" t="inlineStr">
        <is>
          <t>-</t>
        </is>
      </c>
      <c r="AP88" s="504" t="n"/>
      <c r="AQ88" s="9" t="n"/>
      <c r="AR88" s="53" t="n"/>
      <c r="AS88" s="53" t="n"/>
      <c r="AT88" s="628" t="n"/>
      <c r="AU88" s="628" t="n"/>
      <c r="AV88" s="628" t="n"/>
      <c r="AW88" s="628" t="n"/>
      <c r="AX88" s="628" t="n"/>
      <c r="AY88" s="53" t="n"/>
      <c r="AZ88" s="628" t="n"/>
      <c r="BA88" s="47" t="inlineStr">
        <is>
          <t>-</t>
        </is>
      </c>
      <c r="BB88" s="504" t="n"/>
      <c r="BC88" s="9" t="n"/>
      <c r="BD88" s="53" t="n"/>
      <c r="BE88" s="53" t="n"/>
      <c r="BF88" s="628" t="n"/>
      <c r="BG88" s="628" t="n"/>
      <c r="BH88" s="628" t="n"/>
      <c r="BI88" s="628" t="n"/>
      <c r="BJ88" s="628" t="n"/>
      <c r="BK88" s="53" t="n"/>
      <c r="BL88" s="628" t="n"/>
      <c r="BM88" s="47" t="inlineStr">
        <is>
          <t>-</t>
        </is>
      </c>
      <c r="BN88" s="55" t="n"/>
      <c r="BO88" s="9" t="n"/>
      <c r="BP88" s="53" t="n"/>
      <c r="BQ88" s="53" t="n"/>
      <c r="BR88" s="628" t="n"/>
      <c r="BS88" s="628" t="n"/>
      <c r="BT88" s="628" t="n"/>
      <c r="BU88" s="628" t="n"/>
      <c r="BV88" s="628" t="n"/>
      <c r="BW88" s="56" t="n"/>
      <c r="BX88" s="629" t="n"/>
      <c r="BY88" s="47" t="inlineStr">
        <is>
          <t>-</t>
        </is>
      </c>
      <c r="BZ88" s="55" t="n"/>
      <c r="CA88" s="9" t="n"/>
      <c r="CB88" s="53" t="n"/>
      <c r="CC88" s="53" t="n"/>
      <c r="CD88" s="628" t="n"/>
      <c r="CE88" s="628" t="n"/>
      <c r="CF88" s="628" t="n"/>
      <c r="CG88" s="628" t="n"/>
      <c r="CH88" s="628" t="n"/>
      <c r="CI88" s="56" t="n"/>
      <c r="CJ88" s="629" t="n"/>
      <c r="CK88" s="47" t="inlineStr">
        <is>
          <t>-</t>
        </is>
      </c>
      <c r="CL88" s="504" t="n"/>
      <c r="CM88" s="9" t="n"/>
      <c r="CN88" s="53" t="n"/>
      <c r="CO88" s="53" t="n"/>
      <c r="CP88" s="628" t="n"/>
      <c r="CQ88" s="628" t="n"/>
      <c r="CR88" s="628" t="n"/>
      <c r="CS88" s="628" t="n"/>
      <c r="CT88" s="628" t="n"/>
      <c r="CU88" s="56" t="n"/>
      <c r="CV88" s="628" t="n"/>
      <c r="CW88" s="47" t="inlineStr">
        <is>
          <t>-</t>
        </is>
      </c>
      <c r="CX88" s="504" t="n"/>
      <c r="CY88" s="9" t="n"/>
      <c r="CZ88" s="53" t="n"/>
      <c r="DA88" s="53" t="n"/>
      <c r="DB88" s="628" t="n"/>
      <c r="DC88" s="628" t="n"/>
      <c r="DD88" s="628" t="n"/>
      <c r="DE88" s="628" t="n"/>
      <c r="DF88" s="628" t="n"/>
      <c r="DG88" s="53" t="n"/>
      <c r="DH88" s="628" t="n"/>
      <c r="DI88" s="2" t="inlineStr">
        <is>
          <t>-</t>
        </is>
      </c>
      <c r="DJ88" s="616" t="n"/>
      <c r="DK88" s="633" t="n"/>
      <c r="DL88" s="79" t="n"/>
      <c r="DM88" s="79" t="n"/>
      <c r="DN88" s="616" t="n"/>
      <c r="DO88" s="616" t="n"/>
      <c r="DP88" s="616" t="n"/>
      <c r="DQ88" s="616" t="n"/>
      <c r="DR88" s="616" t="n"/>
      <c r="DS88" s="79" t="n"/>
      <c r="DT88" s="616" t="n"/>
      <c r="DU88" s="2" t="inlineStr">
        <is>
          <t>-</t>
        </is>
      </c>
      <c r="DV88" s="103" t="inlineStr">
        <is>
          <t>-</t>
        </is>
      </c>
      <c r="DW88" s="103" t="inlineStr">
        <is>
          <t>-</t>
        </is>
      </c>
      <c r="DX88" s="2" t="inlineStr">
        <is>
          <t>-</t>
        </is>
      </c>
      <c r="DY88" s="103" t="inlineStr">
        <is>
          <t>-</t>
        </is>
      </c>
      <c r="DZ88" s="103" t="inlineStr">
        <is>
          <t>-</t>
        </is>
      </c>
      <c r="EA88" s="103" t="inlineStr">
        <is>
          <t>-</t>
        </is>
      </c>
    </row>
    <row r="89">
      <c r="A89" s="504" t="n"/>
      <c r="B89" s="7" t="inlineStr">
        <is>
          <t>Fund of Funds Scheme (Domestic) **</t>
        </is>
      </c>
      <c r="C89" s="636" t="n">
        <v>97260.96155117999</v>
      </c>
      <c r="D89" s="636" t="n">
        <v>95165.31248930001</v>
      </c>
      <c r="E89" s="47" t="inlineStr">
        <is>
          <t>-</t>
        </is>
      </c>
      <c r="F89" s="504" t="n"/>
      <c r="G89" s="7" t="inlineStr">
        <is>
          <t>Fund of Funds Scheme (Domestic) **</t>
        </is>
      </c>
      <c r="H89" s="6" t="inlineStr">
        <is>
          <t>##  96</t>
        </is>
      </c>
      <c r="I89" s="6" t="n">
        <v>3647098</v>
      </c>
      <c r="J89" s="636" t="n">
        <v>4475.92752104</v>
      </c>
      <c r="K89" s="636" t="n">
        <v>3335.9397657</v>
      </c>
      <c r="L89" s="636" t="n">
        <v>1139.98775534</v>
      </c>
      <c r="M89" s="636" t="n">
        <v>100335.13529345</v>
      </c>
      <c r="N89" s="636" t="n">
        <v>98868.02447528001</v>
      </c>
      <c r="O89" s="6" t="n">
        <v>0</v>
      </c>
      <c r="P89" s="636" t="n">
        <v>0</v>
      </c>
      <c r="Q89" s="47" t="inlineStr">
        <is>
          <t>-</t>
        </is>
      </c>
      <c r="R89" s="504" t="n"/>
      <c r="S89" s="7" t="inlineStr">
        <is>
          <t>Fund of Funds Scheme (Domestic) **</t>
        </is>
      </c>
      <c r="T89" s="6" t="inlineStr">
        <is>
          <t>##  102</t>
        </is>
      </c>
      <c r="U89" s="6" t="n">
        <v>3854287</v>
      </c>
      <c r="V89" s="636" t="n">
        <v>7281.73111938</v>
      </c>
      <c r="W89" s="636" t="n">
        <v>1452.41435616</v>
      </c>
      <c r="X89" s="636" t="n">
        <v>5829.31676322</v>
      </c>
      <c r="Y89" s="636" t="n">
        <v>108136.90455787</v>
      </c>
      <c r="Z89" s="636" t="n">
        <v>104870.21255876</v>
      </c>
      <c r="AA89" s="6" t="n">
        <v>0</v>
      </c>
      <c r="AB89" s="636" t="n">
        <v>0</v>
      </c>
      <c r="AC89" s="47" t="inlineStr">
        <is>
          <t>-</t>
        </is>
      </c>
      <c r="AD89" s="504" t="n"/>
      <c r="AE89" s="7" t="inlineStr">
        <is>
          <t>Fund of Funds Scheme (Domestic) **</t>
        </is>
      </c>
      <c r="AF89" s="6" t="inlineStr">
        <is>
          <t>##  104</t>
        </is>
      </c>
      <c r="AG89" s="6" t="n">
        <v>4085861</v>
      </c>
      <c r="AH89" s="636" t="n">
        <v>10188.22992365</v>
      </c>
      <c r="AI89" s="636" t="n">
        <v>1540.65945019</v>
      </c>
      <c r="AJ89" s="636" t="n">
        <v>8647.57047346</v>
      </c>
      <c r="AK89" s="636" t="n">
        <v>118077.41366797</v>
      </c>
      <c r="AL89" s="636" t="n">
        <v>114607.7982872</v>
      </c>
      <c r="AM89" s="6" t="n">
        <v>0</v>
      </c>
      <c r="AN89" s="636" t="n">
        <v>0</v>
      </c>
      <c r="AO89" s="47" t="inlineStr">
        <is>
          <t>-</t>
        </is>
      </c>
      <c r="AP89" s="504" t="n"/>
      <c r="AQ89" s="7" t="inlineStr">
        <is>
          <t>Fund of Funds Scheme (Domestic) **</t>
        </is>
      </c>
      <c r="AR89" s="6" t="inlineStr">
        <is>
          <t>## 109</t>
        </is>
      </c>
      <c r="AS89" s="6" t="n">
        <v>4342221</v>
      </c>
      <c r="AT89" s="636" t="n">
        <v>8880.800820160001</v>
      </c>
      <c r="AU89" s="636" t="n">
        <v>1846.6492191</v>
      </c>
      <c r="AV89" s="636" t="n">
        <v>7034.15160106</v>
      </c>
      <c r="AW89" s="636" t="n">
        <v>125750.77390495</v>
      </c>
      <c r="AX89" s="636" t="n">
        <v>123742.51600792</v>
      </c>
      <c r="AY89" s="6" t="n">
        <v>0</v>
      </c>
      <c r="AZ89" s="636" t="n">
        <v>0</v>
      </c>
      <c r="BA89" s="47" t="inlineStr">
        <is>
          <t>-</t>
        </is>
      </c>
      <c r="BB89" s="504" t="n"/>
      <c r="BC89" s="7" t="inlineStr">
        <is>
          <t>Fund of Funds Scheme (Domestic)</t>
        </is>
      </c>
      <c r="BD89" s="6" t="n">
        <v>114</v>
      </c>
      <c r="BE89" s="6" t="n">
        <v>4612682</v>
      </c>
      <c r="BF89" s="636" t="n">
        <v>7070.63945791</v>
      </c>
      <c r="BG89" s="636" t="n">
        <v>1654.1926681</v>
      </c>
      <c r="BH89" s="636" t="n">
        <v>5416.44678981</v>
      </c>
      <c r="BI89" s="636" t="n">
        <v>131767.03484553</v>
      </c>
      <c r="BJ89" s="636" t="n">
        <v>130681.263404</v>
      </c>
      <c r="BK89" s="6" t="n">
        <v>0</v>
      </c>
      <c r="BL89" s="636" t="n">
        <v>0</v>
      </c>
      <c r="BM89" s="47" t="inlineStr">
        <is>
          <t>-</t>
        </is>
      </c>
      <c r="BN89" s="55" t="n"/>
      <c r="BO89" s="7" t="inlineStr">
        <is>
          <t>Fund of Funds Scheme (Domestic)</t>
        </is>
      </c>
      <c r="BP89" s="6" t="inlineStr">
        <is>
          <t># 119</t>
        </is>
      </c>
      <c r="BQ89" s="6" t="n">
        <v>5435446</v>
      </c>
      <c r="BR89" s="636" t="n">
        <v>14691.1997521</v>
      </c>
      <c r="BS89" s="636" t="n">
        <v>2295.23703977</v>
      </c>
      <c r="BT89" s="636" t="n">
        <v>12395.96271233</v>
      </c>
      <c r="BU89" s="636" t="n">
        <v>150121.81499627</v>
      </c>
      <c r="BV89" s="636" t="n">
        <v>143230.53612635</v>
      </c>
      <c r="BW89" s="6" t="n">
        <v>0</v>
      </c>
      <c r="BX89" s="637" t="n">
        <v>0</v>
      </c>
      <c r="BY89" s="47" t="inlineStr">
        <is>
          <t>-</t>
        </is>
      </c>
      <c r="BZ89" s="55" t="n"/>
      <c r="CA89" s="7" t="inlineStr">
        <is>
          <t xml:space="preserve">Fund of Funds Scheme (Domestic) ** </t>
        </is>
      </c>
      <c r="CB89" s="6" t="inlineStr">
        <is>
          <t>## 120</t>
        </is>
      </c>
      <c r="CC89" s="6" t="n">
        <v>6563721</v>
      </c>
      <c r="CD89" s="636" t="n">
        <v>14053.69143489</v>
      </c>
      <c r="CE89" s="636" t="n">
        <v>6283.00492867</v>
      </c>
      <c r="CF89" s="636" t="n">
        <v>7770.68650621999</v>
      </c>
      <c r="CG89" s="636" t="n">
        <v>161978.18403374</v>
      </c>
      <c r="CH89" s="636" t="n">
        <v>162168.21317676</v>
      </c>
      <c r="CI89" s="6" t="n">
        <v>0</v>
      </c>
      <c r="CJ89" s="637" t="n">
        <v>0</v>
      </c>
      <c r="CK89" s="47" t="inlineStr">
        <is>
          <t>-</t>
        </is>
      </c>
      <c r="CL89" s="504" t="n"/>
      <c r="CM89" s="7" t="inlineStr">
        <is>
          <t>Fund of Funds Scheme (Domestic) **</t>
        </is>
      </c>
      <c r="CN89" s="6" t="inlineStr">
        <is>
          <t>## 121</t>
        </is>
      </c>
      <c r="CO89" s="6" t="n">
        <v>7116095</v>
      </c>
      <c r="CP89" s="636" t="n">
        <v>7641.53427401</v>
      </c>
      <c r="CQ89" s="636" t="n">
        <v>2559.72695778</v>
      </c>
      <c r="CR89" s="636" t="n">
        <v>5081.80731623</v>
      </c>
      <c r="CS89" s="636" t="n">
        <v>170138.67063003</v>
      </c>
      <c r="CT89" s="636" t="n">
        <v>168529.18254543</v>
      </c>
      <c r="CU89" s="6" t="n">
        <v>0</v>
      </c>
      <c r="CV89" s="636" t="n">
        <v>0</v>
      </c>
      <c r="CW89" s="47" t="inlineStr">
        <is>
          <t>-</t>
        </is>
      </c>
      <c r="CX89" s="504" t="n"/>
      <c r="CY89" s="7" t="inlineStr">
        <is>
          <t>Fund of Funds Scheme (Domestic)**</t>
        </is>
      </c>
      <c r="CZ89" s="6" t="inlineStr">
        <is>
          <t>## 127</t>
        </is>
      </c>
      <c r="DA89" s="6" t="n">
        <v>8432466</v>
      </c>
      <c r="DB89" s="636" t="n">
        <v>15431.29494789</v>
      </c>
      <c r="DC89" s="636" t="n">
        <v>5181.02883816</v>
      </c>
      <c r="DD89" s="636" t="n">
        <v>10250.26610973</v>
      </c>
      <c r="DE89" s="638" t="n">
        <v>188244.46176161</v>
      </c>
      <c r="DF89" s="636" t="n">
        <v>183180.67023996</v>
      </c>
      <c r="DG89" s="6" t="n">
        <v>0</v>
      </c>
      <c r="DH89" s="636" t="n">
        <v>0</v>
      </c>
      <c r="DI89" s="2" t="inlineStr">
        <is>
          <t>-</t>
        </is>
      </c>
      <c r="DJ89" s="616" t="n"/>
      <c r="DK89" s="630" t="inlineStr">
        <is>
          <t>Fund of Funds Scheme (Domestic) **</t>
        </is>
      </c>
      <c r="DL89" s="89" t="inlineStr">
        <is>
          <t>## 132</t>
        </is>
      </c>
      <c r="DM89" s="89" t="n">
        <v>10633970</v>
      </c>
      <c r="DN89" s="634" t="n">
        <v>23858.54483433</v>
      </c>
      <c r="DO89" s="634" t="n">
        <v>12607.94115068</v>
      </c>
      <c r="DP89" s="634" t="n">
        <v>11250.60368365</v>
      </c>
      <c r="DQ89" s="634" t="n">
        <v>216823.63326598</v>
      </c>
      <c r="DR89" s="634" t="n">
        <v>207522.034466</v>
      </c>
      <c r="DS89" s="89" t="n">
        <v>0</v>
      </c>
      <c r="DT89" s="634" t="n">
        <v>0</v>
      </c>
      <c r="DU89" s="2" t="inlineStr">
        <is>
          <t>-</t>
        </is>
      </c>
      <c r="DV89" s="127">
        <f>(DQ89-DE89)/DE89</f>
        <v/>
      </c>
      <c r="DW89" s="128">
        <f>IFERROR((DS89-DG89)/DG89,0)</f>
        <v/>
      </c>
      <c r="DX89" s="2" t="inlineStr">
        <is>
          <t>-</t>
        </is>
      </c>
      <c r="DY89" s="127">
        <f>(DN89-DB89)/DB89</f>
        <v/>
      </c>
      <c r="DZ89" s="128">
        <f>(DP89-DD89)/DD89</f>
        <v/>
      </c>
      <c r="EA89" s="129">
        <f>(DR89-DF89)/DF89</f>
        <v/>
      </c>
    </row>
    <row r="90" ht="15.6" customHeight="1" thickBot="1">
      <c r="E90" s="47" t="inlineStr">
        <is>
          <t>-</t>
        </is>
      </c>
      <c r="H90" s="62" t="n"/>
      <c r="I90" s="62" t="n"/>
      <c r="O90" s="4" t="inlineStr">
        <is>
          <t>Released on 09-May-2025</t>
        </is>
      </c>
      <c r="Q90" s="47" t="inlineStr">
        <is>
          <t>-</t>
        </is>
      </c>
      <c r="AA90" s="4" t="inlineStr">
        <is>
          <t>Released on 10-Jun-2025</t>
        </is>
      </c>
      <c r="AC90" s="47" t="inlineStr">
        <is>
          <t>-</t>
        </is>
      </c>
      <c r="AF90" s="63" t="n"/>
      <c r="AG90" s="63" t="n"/>
      <c r="AH90" s="639" t="n"/>
      <c r="AI90" s="639" t="n"/>
      <c r="AJ90" s="639" t="n"/>
      <c r="AK90" s="639" t="n"/>
      <c r="AL90" s="639" t="n"/>
      <c r="AM90" s="4" t="inlineStr">
        <is>
          <t>Released on 09-Jul-2025</t>
        </is>
      </c>
      <c r="AN90" s="639" t="n"/>
      <c r="AO90" s="47" t="inlineStr">
        <is>
          <t>-</t>
        </is>
      </c>
      <c r="AR90" s="63" t="n"/>
      <c r="AS90" s="63" t="n"/>
      <c r="AT90" s="639" t="n"/>
      <c r="AU90" s="639" t="n"/>
      <c r="AV90" s="639" t="n"/>
      <c r="AW90" s="639" t="n"/>
      <c r="AX90" s="639" t="n"/>
      <c r="AY90" s="3" t="inlineStr">
        <is>
          <t>Released on 11-Aug-2025</t>
        </is>
      </c>
      <c r="AZ90" s="639" t="n"/>
      <c r="BA90" s="47" t="inlineStr">
        <is>
          <t>-</t>
        </is>
      </c>
      <c r="BD90" s="63" t="n"/>
      <c r="BE90" s="63" t="n"/>
      <c r="BF90" s="639" t="n"/>
      <c r="BG90" s="639" t="n"/>
      <c r="BH90" s="639" t="n"/>
      <c r="BI90" s="639" t="n"/>
      <c r="BJ90" s="639" t="n"/>
      <c r="BK90" s="512" t="inlineStr">
        <is>
          <t>Released on 10-Sep-2025</t>
        </is>
      </c>
      <c r="BL90" s="453" t="n"/>
      <c r="BM90" s="47" t="inlineStr">
        <is>
          <t>-</t>
        </is>
      </c>
      <c r="BN90" s="65" t="n"/>
      <c r="BP90" s="63" t="n"/>
      <c r="BQ90" s="63" t="n"/>
      <c r="BR90" s="639" t="n"/>
      <c r="BS90" s="639" t="n"/>
      <c r="BT90" s="639" t="n"/>
      <c r="BU90" s="639" t="n"/>
      <c r="BV90" s="639" t="n"/>
      <c r="BW90" s="63" t="n"/>
      <c r="BX90" s="640" t="n"/>
      <c r="BY90" s="47" t="inlineStr">
        <is>
          <t>-</t>
        </is>
      </c>
      <c r="BZ90" s="65" t="n"/>
      <c r="CB90" s="63" t="n"/>
      <c r="CC90" s="63" t="n"/>
      <c r="CD90" s="639" t="n"/>
      <c r="CE90" s="639" t="n"/>
      <c r="CF90" s="639" t="n"/>
      <c r="CG90" s="639" t="n"/>
      <c r="CH90" s="639" t="n"/>
      <c r="CI90" s="63" t="n"/>
      <c r="CJ90" s="640" t="n"/>
      <c r="CK90" s="47" t="inlineStr">
        <is>
          <t>-</t>
        </is>
      </c>
      <c r="CL90" s="67" t="n"/>
      <c r="CN90" s="63" t="n"/>
      <c r="CO90" s="63" t="n"/>
      <c r="CP90" s="639" t="n"/>
      <c r="CQ90" s="639" t="n"/>
      <c r="CR90" s="639" t="n"/>
      <c r="CS90" s="639" t="n"/>
      <c r="CT90" s="639" t="n"/>
      <c r="CU90" s="63" t="n"/>
      <c r="CV90" s="641" t="n"/>
      <c r="CW90" s="47" t="inlineStr">
        <is>
          <t>-</t>
        </is>
      </c>
      <c r="CX90" s="504" t="n"/>
      <c r="CY90" s="504" t="n"/>
      <c r="CZ90" s="53" t="n"/>
      <c r="DA90" s="53" t="n"/>
      <c r="DB90" s="628" t="n"/>
      <c r="DC90" s="628" t="n"/>
      <c r="DD90" s="628" t="n"/>
      <c r="DE90" s="628" t="n"/>
      <c r="DF90" s="628" t="n"/>
      <c r="DG90" s="53" t="n"/>
      <c r="DH90" s="628" t="n"/>
      <c r="DI90" s="2" t="inlineStr">
        <is>
          <t>-</t>
        </is>
      </c>
      <c r="DJ90" s="91" t="n"/>
      <c r="DK90" s="91" t="n"/>
      <c r="DL90" s="91" t="n"/>
      <c r="DM90" s="91" t="n"/>
      <c r="DN90" s="91" t="n"/>
      <c r="DO90" s="91" t="n"/>
      <c r="DP90" s="91" t="n"/>
      <c r="DQ90" s="91" t="n"/>
      <c r="DR90" s="91" t="n"/>
      <c r="DS90" s="91" t="n"/>
      <c r="DT90" s="91" t="n"/>
      <c r="DU90" s="2" t="inlineStr">
        <is>
          <t>-</t>
        </is>
      </c>
      <c r="DX90" s="2" t="inlineStr">
        <is>
          <t>-</t>
        </is>
      </c>
      <c r="DY90" s="102" t="n"/>
      <c r="EA90" s="102" t="n"/>
    </row>
    <row r="91" ht="12" customHeight="1">
      <c r="B91" s="493" t="inlineStr">
        <is>
          <t>** Data in respect Fund of Funds Domestic is shown for information only. The same is included in the respective underlying schemes.</t>
        </is>
      </c>
      <c r="E91" s="47" t="inlineStr">
        <is>
          <t>-</t>
        </is>
      </c>
      <c r="F91" s="505" t="inlineStr">
        <is>
          <t>** Data in respect Fund of Funds Domestic is shown for information only. The same is included in the respective underlying schemes.</t>
        </is>
      </c>
      <c r="Q91" s="47" t="inlineStr">
        <is>
          <t>-</t>
        </is>
      </c>
      <c r="S91" s="493" t="inlineStr">
        <is>
          <t>** Data in respect Fund of Funds Domestic is shown for information only. The same is included in the respective underlying schemes.</t>
        </is>
      </c>
      <c r="AC91" s="47" t="inlineStr">
        <is>
          <t>-</t>
        </is>
      </c>
      <c r="AE91" s="493" t="inlineStr">
        <is>
          <t>** Data in respect Fund of Funds Domestic is shown for information only. The same is included in the respective underlying schemes.</t>
        </is>
      </c>
      <c r="AO91" s="47" t="inlineStr">
        <is>
          <t>-</t>
        </is>
      </c>
      <c r="AQ91" s="493" t="inlineStr">
        <is>
          <t>** Data in respect Fund of Funds Domestic is shown for information only. The same is included in the respective underlying schemes.</t>
        </is>
      </c>
      <c r="BA91" s="47" t="inlineStr">
        <is>
          <t>-</t>
        </is>
      </c>
      <c r="BC91" s="493" t="inlineStr">
        <is>
          <t>** Data in respect Fund of Funds Domestic is shown for information only. The same is included in the respective underlying schemes.</t>
        </is>
      </c>
      <c r="BM91" s="47" t="inlineStr">
        <is>
          <t>-</t>
        </is>
      </c>
      <c r="BN91" s="69" t="n"/>
      <c r="BO91" s="501" t="inlineStr">
        <is>
          <t>** Data in respect Fund of Funds Domestic is shown for information only. The same is included in the respective underlying schemes.</t>
        </is>
      </c>
      <c r="BP91" s="449" t="n"/>
      <c r="BQ91" s="449" t="n"/>
      <c r="BR91" s="449" t="n"/>
      <c r="BS91" s="449" t="n"/>
      <c r="BT91" s="449" t="n"/>
      <c r="BU91" s="450" t="n"/>
      <c r="BV91" s="639" t="n"/>
      <c r="BW91" s="63" t="n"/>
      <c r="BX91" s="640" t="n"/>
      <c r="BY91" s="47" t="inlineStr">
        <is>
          <t>-</t>
        </is>
      </c>
      <c r="BZ91" s="69" t="n"/>
      <c r="CA91" s="501" t="inlineStr">
        <is>
          <t>** Data in respect Fund of Funds Domestic is shown for information only. The same is included in the respective underlying schemes.</t>
        </is>
      </c>
      <c r="CB91" s="449" t="n"/>
      <c r="CC91" s="449" t="n"/>
      <c r="CD91" s="449" t="n"/>
      <c r="CE91" s="449" t="n"/>
      <c r="CF91" s="449" t="n"/>
      <c r="CG91" s="450" t="n"/>
      <c r="CH91" s="639" t="n"/>
      <c r="CI91" s="63" t="n"/>
      <c r="CJ91" s="640" t="n"/>
      <c r="CK91" s="47" t="inlineStr">
        <is>
          <t>-</t>
        </is>
      </c>
      <c r="CL91" s="508" t="inlineStr">
        <is>
          <t>** Data in respect Fund of Funds Domestic is shown for information only. The same is included in the respective underlying schemes.</t>
        </is>
      </c>
      <c r="CM91" s="453" t="n"/>
      <c r="CN91" s="453" t="n"/>
      <c r="CO91" s="453" t="n"/>
      <c r="CP91" s="453" t="n"/>
      <c r="CQ91" s="453" t="n"/>
      <c r="CR91" s="453" t="n"/>
      <c r="CS91" s="453" t="n"/>
      <c r="CT91" s="453" t="n"/>
      <c r="CU91" s="453" t="n"/>
      <c r="CV91" s="454" t="n"/>
      <c r="CW91" s="47" t="inlineStr">
        <is>
          <t>-</t>
        </is>
      </c>
      <c r="CX91" s="495" t="inlineStr">
        <is>
          <t>** Data in respect Fund of Funds Domestic is shown for information only. The same is included in the respective underlying schemes.</t>
        </is>
      </c>
      <c r="CY91" s="449" t="n"/>
      <c r="CZ91" s="449" t="n"/>
      <c r="DA91" s="449" t="n"/>
      <c r="DB91" s="449" t="n"/>
      <c r="DC91" s="449" t="n"/>
      <c r="DD91" s="449" t="n"/>
      <c r="DE91" s="449" t="n"/>
      <c r="DF91" s="449" t="n"/>
      <c r="DG91" s="449" t="n"/>
      <c r="DH91" s="450" t="n"/>
      <c r="DI91" s="2" t="inlineStr">
        <is>
          <t>-</t>
        </is>
      </c>
      <c r="DJ91" s="495" t="inlineStr">
        <is>
          <t>** Data in respect Fund of Funds Domestic is shown for information only. The same is included in the respective underlying schemes.</t>
        </is>
      </c>
      <c r="DK91" s="449" t="n"/>
      <c r="DL91" s="449" t="n"/>
      <c r="DM91" s="449" t="n"/>
      <c r="DN91" s="449" t="n"/>
      <c r="DO91" s="449" t="n"/>
      <c r="DP91" s="449" t="n"/>
      <c r="DQ91" s="449" t="n"/>
      <c r="DR91" s="449" t="n"/>
      <c r="DS91" s="449" t="n"/>
      <c r="DT91" s="450" t="n"/>
      <c r="DU91" s="2" t="inlineStr">
        <is>
          <t>-</t>
        </is>
      </c>
      <c r="DX91" s="2" t="inlineStr">
        <is>
          <t>-</t>
        </is>
      </c>
      <c r="DY91" s="102" t="n"/>
      <c r="EA91" s="102" t="n"/>
    </row>
    <row r="92" ht="12" customHeight="1" thickBot="1">
      <c r="B92" s="493" t="inlineStr">
        <is>
          <t xml:space="preserve">## Include NFO - Mirae Asset BSE Select IPO ETF Fund of Fund and Mirae Asset BSE 200 Equal Weight ETF Fund of Fund. There was a Fundamental Attribute Change carried out in one MF scheme, pursuant to which, the scheme which was earlier categorised as fund of fund overseas is now classified as fund of fund domestic. </t>
        </is>
      </c>
      <c r="E92" s="47" t="inlineStr">
        <is>
          <t>-</t>
        </is>
      </c>
      <c r="F92" s="505" t="inlineStr">
        <is>
          <t>## Include NFO - Groww Nifty 500 Momentum 50 ETF FOF, ICICI Prudential Nifty EV &amp; New Age Automotive ETF FOF and UTI Income Plus Arbitrage Active Fund of Fund. One FOF Domestic scheme was matured/ terminated during April 25.</t>
        </is>
      </c>
      <c r="Q92" s="47" t="inlineStr">
        <is>
          <t>-</t>
        </is>
      </c>
      <c r="S92" s="493" t="inlineStr">
        <is>
          <t>## Include NFOs - BARODA BNP PARIBAS INCOME PLUS ARBITRAGE ACTIVE FUND OF FUNDS, BARODA BNP PARIBAS  MULTI ASSET ACTIVE FOF, DSP Silver ETF Fund of Fund, GROWW SILVER ETF FOF, SBI Income Plus Arbitrage Active FOF and Tata Income Plus Arbitrage Active FOF</t>
        </is>
      </c>
      <c r="AC92" s="47" t="inlineStr">
        <is>
          <t>-</t>
        </is>
      </c>
      <c r="AE92" s="493" t="inlineStr">
        <is>
          <t>## Include NFOs - Nippon India Income Plus Arbitrage Active Fund of Fund and Union Income Plus Arbitrage Active FOF</t>
        </is>
      </c>
      <c r="AO92" s="47" t="inlineStr">
        <is>
          <t>-</t>
        </is>
      </c>
      <c r="AQ92" s="513" t="inlineStr">
        <is>
          <t>## Include NFOs - Edelweiss Income Plus Arbitrage Active Fund of Fund;Groww Nifty India Internet ETF FOF;Invesco India Income Plus Arbitrage Active Fund of Fund;Mirae Asset Income plus Arbitrage Active FOF;Zerodha Silver ETF FOF</t>
        </is>
      </c>
      <c r="BA92" s="47" t="inlineStr">
        <is>
          <t>-</t>
        </is>
      </c>
      <c r="BC92" s="493" t="inlineStr">
        <is>
          <t>## Include NFOs -Baroda BNP Paribas Gold ETF Fund of Fund;Groww BSE Power ETF FOF; Mirae Asset Multi Factor Passive FOF;Mirae Asset Gold Silver Passive FoF;Zerodha Multi Asset Passive FoF</t>
        </is>
      </c>
      <c r="BM92" s="47" t="inlineStr">
        <is>
          <t>-</t>
        </is>
      </c>
      <c r="BN92" s="70" t="n"/>
      <c r="BO92" s="496" t="inlineStr">
        <is>
          <t>## Include NFOs -Angel O;ne Gold ETF Fund of Fund;Edelweiss Multi Asset Omni Fund of Fund;HDFC Diversified Equity All Cap Active FOF;SBI Dynamic Asset Allocation Active FOF;Union Diversified Equity All Cap Active FOF</t>
        </is>
      </c>
      <c r="BP92" s="497" t="n"/>
      <c r="BQ92" s="497" t="n"/>
      <c r="BR92" s="497" t="n"/>
      <c r="BS92" s="497" t="n"/>
      <c r="BT92" s="497" t="n"/>
      <c r="BU92" s="498" t="n"/>
      <c r="BV92" s="642" t="n"/>
      <c r="BW92" s="72" t="n"/>
      <c r="BX92" s="643" t="n"/>
      <c r="BY92" s="47" t="inlineStr">
        <is>
          <t>-</t>
        </is>
      </c>
      <c r="BZ92" s="70" t="n"/>
      <c r="CA92" s="496" t="inlineStr">
        <is>
          <t>## Include- NFOs -Kotak Gold Silver Passive FOF</t>
        </is>
      </c>
      <c r="CB92" s="497" t="n"/>
      <c r="CC92" s="497" t="n"/>
      <c r="CD92" s="497" t="n"/>
      <c r="CE92" s="497" t="n"/>
      <c r="CF92" s="497" t="n"/>
      <c r="CG92" s="498" t="n"/>
      <c r="CH92" s="642" t="n"/>
      <c r="CI92" s="72" t="n"/>
      <c r="CJ92" s="643" t="n"/>
      <c r="CK92" s="47" t="inlineStr">
        <is>
          <t>-</t>
        </is>
      </c>
      <c r="CL92" s="509" t="inlineStr">
        <is>
          <t>## Include NFOs  -Axis Income Plus Arbitrage Passive FOF</t>
        </is>
      </c>
      <c r="CM92" s="510" t="n"/>
      <c r="CN92" s="510" t="n"/>
      <c r="CO92" s="510" t="n"/>
      <c r="CP92" s="510" t="n"/>
      <c r="CQ92" s="510" t="n"/>
      <c r="CR92" s="510" t="n"/>
      <c r="CS92" s="510" t="n"/>
      <c r="CT92" s="510" t="n"/>
      <c r="CU92" s="510" t="n"/>
      <c r="CV92" s="511" t="n"/>
      <c r="CW92" s="47" t="inlineStr">
        <is>
          <t>-</t>
        </is>
      </c>
      <c r="CX92" s="504" t="inlineStr">
        <is>
          <t>## Include NFOs  - Groww Nifty Capital Markets ETF FOF, Mahindra Manulife Income Plus Arbitrage Active FOF, Axis Gold and Silver Passive FOF, Axis Multi-Asset Active FoF, Edelweiss Silver ETF</t>
        </is>
      </c>
      <c r="CY92" s="449" t="n"/>
      <c r="CZ92" s="449" t="n"/>
      <c r="DA92" s="449" t="n"/>
      <c r="DB92" s="449" t="n"/>
      <c r="DC92" s="449" t="n"/>
      <c r="DD92" s="449" t="n"/>
      <c r="DE92" s="449" t="n"/>
      <c r="DF92" s="449" t="n"/>
      <c r="DG92" s="449" t="n"/>
      <c r="DH92" s="450" t="n"/>
      <c r="DI92" s="2" t="inlineStr">
        <is>
          <t>-</t>
        </is>
      </c>
      <c r="DJ92" s="504" t="inlineStr">
        <is>
          <t>## Include NFOs  - Sundaram Income Plus Arbitrage Active FoF, The Wealth Company Gold ETF FOF, Bandhan Gold ETF FOF, Bandhan Silver ETF FOF, Motilal Oswal Diversified Equity Flexicap Passive Fund of Funds</t>
        </is>
      </c>
      <c r="DK92" s="449" t="n"/>
      <c r="DL92" s="449" t="n"/>
      <c r="DM92" s="449" t="n"/>
      <c r="DN92" s="449" t="n"/>
      <c r="DO92" s="449" t="n"/>
      <c r="DP92" s="449" t="n"/>
      <c r="DQ92" s="449" t="n"/>
      <c r="DR92" s="449" t="n"/>
      <c r="DS92" s="449" t="n"/>
      <c r="DT92" s="450" t="n"/>
      <c r="DU92" s="2" t="inlineStr">
        <is>
          <t>-</t>
        </is>
      </c>
      <c r="DX92" s="2" t="inlineStr">
        <is>
          <t>-</t>
        </is>
      </c>
      <c r="DY92" s="102" t="n"/>
      <c r="EA92" s="102" t="n"/>
    </row>
    <row r="93">
      <c r="AF93" s="63" t="n"/>
      <c r="AG93" s="63" t="n"/>
      <c r="AH93" s="639" t="n"/>
      <c r="AI93" s="639" t="n"/>
      <c r="AJ93" s="639" t="n"/>
      <c r="AK93" s="639" t="n"/>
      <c r="AL93" s="639" t="n"/>
      <c r="AM93" s="63" t="n"/>
      <c r="AN93" s="639" t="n"/>
      <c r="AR93" s="63" t="n"/>
      <c r="AS93" s="63" t="n"/>
      <c r="AT93" s="639" t="n"/>
      <c r="AU93" s="639" t="n"/>
      <c r="AV93" s="639" t="n"/>
      <c r="AW93" s="639" t="n"/>
      <c r="AX93" s="639" t="n"/>
      <c r="AY93" s="63" t="n"/>
      <c r="AZ93" s="639" t="n"/>
      <c r="BD93" s="63" t="n"/>
      <c r="BE93" s="63" t="n"/>
      <c r="BF93" s="639" t="n"/>
      <c r="BG93" s="639" t="n"/>
      <c r="BH93" s="639" t="n"/>
      <c r="BI93" s="639" t="n"/>
      <c r="BJ93" s="639" t="n"/>
      <c r="BK93" s="63" t="n"/>
      <c r="BL93" s="639" t="n"/>
      <c r="BP93" s="63" t="n"/>
      <c r="BQ93" s="63" t="n"/>
      <c r="BR93" s="639" t="n"/>
      <c r="BS93" s="639" t="n"/>
      <c r="BT93" s="639" t="n"/>
      <c r="BU93" s="639" t="n"/>
      <c r="BV93" s="639" t="n"/>
      <c r="BW93" s="63" t="n"/>
      <c r="BX93" s="639" t="n"/>
      <c r="CB93" s="63" t="n"/>
      <c r="CC93" s="63" t="n"/>
      <c r="CD93" s="639" t="n"/>
      <c r="CE93" s="639" t="n"/>
      <c r="CF93" s="639" t="n"/>
      <c r="CG93" s="639" t="n"/>
      <c r="CH93" s="639" t="n"/>
      <c r="CI93" s="63" t="n"/>
      <c r="CJ93" s="639" t="n"/>
      <c r="CN93" s="63" t="n"/>
      <c r="CO93" s="63" t="n"/>
      <c r="CP93" s="639" t="n"/>
      <c r="CQ93" s="639" t="n"/>
      <c r="CR93" s="639" t="n"/>
      <c r="CS93" s="639" t="n"/>
      <c r="CT93" s="639" t="n"/>
      <c r="CU93" s="63" t="n"/>
      <c r="CV93" s="639" t="n"/>
      <c r="CY93" s="102" t="inlineStr">
        <is>
          <t>-</t>
        </is>
      </c>
      <c r="CZ93" s="102" t="inlineStr">
        <is>
          <t>-</t>
        </is>
      </c>
      <c r="DA93" s="102" t="inlineStr">
        <is>
          <t>-</t>
        </is>
      </c>
      <c r="DB93" s="102" t="inlineStr">
        <is>
          <t>-</t>
        </is>
      </c>
      <c r="DC93" s="102" t="inlineStr">
        <is>
          <t>-</t>
        </is>
      </c>
      <c r="DD93" s="102" t="inlineStr">
        <is>
          <t>-</t>
        </is>
      </c>
      <c r="DE93" s="102" t="inlineStr">
        <is>
          <t>-</t>
        </is>
      </c>
      <c r="DF93" s="102" t="inlineStr">
        <is>
          <t>-</t>
        </is>
      </c>
      <c r="DG93" s="63" t="n"/>
      <c r="DH93" s="639" t="n"/>
      <c r="DK93" s="102" t="inlineStr">
        <is>
          <t>-</t>
        </is>
      </c>
      <c r="DL93" s="102" t="inlineStr">
        <is>
          <t>-</t>
        </is>
      </c>
      <c r="DM93" s="102" t="inlineStr">
        <is>
          <t>-</t>
        </is>
      </c>
      <c r="DN93" s="102" t="inlineStr">
        <is>
          <t>-</t>
        </is>
      </c>
      <c r="DO93" s="102" t="inlineStr">
        <is>
          <t>-</t>
        </is>
      </c>
      <c r="DP93" s="102" t="inlineStr">
        <is>
          <t>-</t>
        </is>
      </c>
      <c r="DQ93" s="102" t="inlineStr">
        <is>
          <t>-</t>
        </is>
      </c>
      <c r="DR93" s="102" t="inlineStr">
        <is>
          <t>-</t>
        </is>
      </c>
    </row>
    <row r="94" ht="41.4" customHeight="1">
      <c r="A94" s="77" t="inlineStr">
        <is>
          <t>-</t>
        </is>
      </c>
      <c r="B94" s="77" t="inlineStr">
        <is>
          <t>-</t>
        </is>
      </c>
      <c r="AF94" s="63" t="n"/>
      <c r="AG94" s="63" t="n"/>
      <c r="AH94" s="639" t="n"/>
      <c r="AI94" s="639" t="n"/>
      <c r="AJ94" s="639" t="n"/>
      <c r="AK94" s="639" t="n"/>
      <c r="AL94" s="639" t="n"/>
      <c r="AM94" s="63" t="n"/>
      <c r="AN94" s="639" t="n"/>
      <c r="AR94" s="63" t="n"/>
      <c r="AS94" s="63" t="n"/>
      <c r="AT94" s="639" t="n"/>
      <c r="AU94" s="639" t="n"/>
      <c r="AV94" s="639" t="n"/>
      <c r="AW94" s="639" t="n"/>
      <c r="AX94" s="639" t="n"/>
      <c r="AY94" s="63" t="n"/>
      <c r="AZ94" s="639" t="n"/>
      <c r="BD94" s="63" t="n"/>
      <c r="BE94" s="63" t="n"/>
      <c r="BF94" s="639" t="n"/>
      <c r="BG94" s="639" t="n"/>
      <c r="BH94" s="639" t="n"/>
      <c r="BI94" s="639" t="n"/>
      <c r="BJ94" s="639" t="n"/>
      <c r="BK94" s="63" t="n"/>
      <c r="BL94" s="639" t="n"/>
      <c r="BP94" s="63" t="n"/>
      <c r="BQ94" s="63" t="n"/>
      <c r="BR94" s="639" t="n"/>
      <c r="BS94" s="639" t="n"/>
      <c r="BT94" s="639" t="n"/>
      <c r="BU94" s="639" t="n"/>
      <c r="BV94" s="639" t="n"/>
      <c r="BW94" s="63" t="n"/>
      <c r="BX94" s="639" t="n"/>
      <c r="CB94" s="63" t="n"/>
      <c r="CC94" s="63" t="n"/>
      <c r="CD94" s="639" t="n"/>
      <c r="CE94" s="639" t="n"/>
      <c r="CF94" s="639" t="n"/>
      <c r="CG94" s="639" t="n"/>
      <c r="CH94" s="639" t="n"/>
      <c r="CI94" s="63" t="n"/>
      <c r="CJ94" s="639" t="n"/>
      <c r="CM94" s="77" t="inlineStr">
        <is>
          <t>-</t>
        </is>
      </c>
      <c r="CN94" s="77" t="inlineStr">
        <is>
          <t>No. of Schemes</t>
        </is>
      </c>
      <c r="CO94" s="77" t="inlineStr">
        <is>
          <t>No. of Folios</t>
        </is>
      </c>
      <c r="CP94" s="612" t="inlineStr">
        <is>
          <t>GS</t>
        </is>
      </c>
      <c r="CQ94" s="612" t="inlineStr">
        <is>
          <t>Redemption</t>
        </is>
      </c>
      <c r="CR94" s="612" t="inlineStr">
        <is>
          <t>NS</t>
        </is>
      </c>
      <c r="CS94" s="612" t="inlineStr">
        <is>
          <t>AUM</t>
        </is>
      </c>
      <c r="CT94" s="612" t="inlineStr">
        <is>
          <t>AAUM</t>
        </is>
      </c>
      <c r="CU94" s="63" t="n"/>
      <c r="CV94" s="639" t="n"/>
      <c r="CY94" s="77" t="inlineStr">
        <is>
          <t>-</t>
        </is>
      </c>
      <c r="CZ94" s="77" t="inlineStr">
        <is>
          <t>No. of Schemes</t>
        </is>
      </c>
      <c r="DA94" s="77" t="inlineStr">
        <is>
          <t>No. of Folios</t>
        </is>
      </c>
      <c r="DB94" s="612" t="inlineStr">
        <is>
          <t>GS</t>
        </is>
      </c>
      <c r="DC94" s="612" t="inlineStr">
        <is>
          <t>Redemption</t>
        </is>
      </c>
      <c r="DD94" s="612" t="inlineStr">
        <is>
          <t>NS</t>
        </is>
      </c>
      <c r="DE94" s="612" t="inlineStr">
        <is>
          <t>AUM</t>
        </is>
      </c>
      <c r="DF94" s="612" t="inlineStr">
        <is>
          <t>AAUM</t>
        </is>
      </c>
      <c r="DG94" s="63" t="n"/>
      <c r="DH94" s="639" t="n"/>
      <c r="DK94" s="77" t="inlineStr">
        <is>
          <t>-</t>
        </is>
      </c>
      <c r="DL94" s="77" t="inlineStr">
        <is>
          <t>No. of Schemes</t>
        </is>
      </c>
      <c r="DM94" s="77" t="inlineStr">
        <is>
          <t>No. of Folios</t>
        </is>
      </c>
      <c r="DN94" s="612" t="inlineStr">
        <is>
          <t>GS</t>
        </is>
      </c>
      <c r="DO94" s="612" t="inlineStr">
        <is>
          <t>Redemption</t>
        </is>
      </c>
      <c r="DP94" s="612" t="inlineStr">
        <is>
          <t>NS</t>
        </is>
      </c>
      <c r="DQ94" s="612" t="inlineStr">
        <is>
          <t>AUM</t>
        </is>
      </c>
      <c r="DR94" s="612" t="inlineStr">
        <is>
          <t>AAUM</t>
        </is>
      </c>
    </row>
    <row r="95">
      <c r="A95" s="77" t="inlineStr">
        <is>
          <t>-</t>
        </is>
      </c>
      <c r="B95" s="77" t="inlineStr">
        <is>
          <t>-</t>
        </is>
      </c>
      <c r="AF95" s="63" t="n"/>
      <c r="AG95" s="63" t="n"/>
      <c r="AH95" s="639" t="n"/>
      <c r="AI95" s="639" t="n"/>
      <c r="AJ95" s="639" t="n"/>
      <c r="AK95" s="639" t="n"/>
      <c r="AL95" s="639" t="n"/>
      <c r="AM95" s="63" t="n"/>
      <c r="AN95" s="639" t="n"/>
      <c r="AR95" s="63" t="n"/>
      <c r="AS95" s="63" t="n"/>
      <c r="AT95" s="639" t="n"/>
      <c r="AU95" s="639" t="n"/>
      <c r="AV95" s="639" t="n"/>
      <c r="AW95" s="639" t="n"/>
      <c r="AX95" s="639" t="n"/>
      <c r="AY95" s="63" t="n"/>
      <c r="AZ95" s="639" t="n"/>
      <c r="BD95" s="63" t="n"/>
      <c r="BE95" s="63" t="n"/>
      <c r="BF95" s="639" t="n"/>
      <c r="BG95" s="639" t="n"/>
      <c r="BH95" s="639" t="n"/>
      <c r="BI95" s="639" t="n"/>
      <c r="BJ95" s="639" t="n"/>
      <c r="BK95" s="63" t="n"/>
      <c r="BL95" s="639" t="n"/>
      <c r="BP95" s="63" t="n"/>
      <c r="BQ95" s="63" t="n"/>
      <c r="BR95" s="639" t="n"/>
      <c r="BS95" s="639" t="n"/>
      <c r="BT95" s="639" t="n"/>
      <c r="BU95" s="639" t="n"/>
      <c r="BV95" s="639" t="n"/>
      <c r="BW95" s="63" t="n"/>
      <c r="BX95" s="639" t="n"/>
      <c r="CB95" s="63" t="n"/>
      <c r="CC95" s="63" t="n"/>
      <c r="CD95" s="639" t="n"/>
      <c r="CE95" s="639" t="n"/>
      <c r="CF95" s="639" t="n"/>
      <c r="CG95" s="639" t="n"/>
      <c r="CH95" s="639" t="n"/>
      <c r="CI95" s="63" t="n"/>
      <c r="CJ95" s="639" t="n"/>
      <c r="CM95" s="94" t="inlineStr">
        <is>
          <t>Total - Dec'25</t>
        </is>
      </c>
      <c r="CN95" s="96">
        <f>CN87</f>
        <v/>
      </c>
      <c r="CO95" s="96">
        <f>CO87</f>
        <v/>
      </c>
      <c r="CP95" s="96">
        <f>CP87</f>
        <v/>
      </c>
      <c r="CQ95" s="96">
        <f>CQ87</f>
        <v/>
      </c>
      <c r="CR95" s="96">
        <f>CR87</f>
        <v/>
      </c>
      <c r="CS95" s="96">
        <f>CS87</f>
        <v/>
      </c>
      <c r="CT95" s="96">
        <f>CT87</f>
        <v/>
      </c>
      <c r="CU95" s="63" t="n"/>
      <c r="CV95" s="639" t="n"/>
      <c r="CY95" s="94" t="inlineStr">
        <is>
          <t>Total - Dec'25</t>
        </is>
      </c>
      <c r="CZ95" s="96">
        <f>CZ87</f>
        <v/>
      </c>
      <c r="DA95" s="96">
        <f>DA87</f>
        <v/>
      </c>
      <c r="DB95" s="96">
        <f>DB87</f>
        <v/>
      </c>
      <c r="DC95" s="96">
        <f>DC87</f>
        <v/>
      </c>
      <c r="DD95" s="96">
        <f>DD87</f>
        <v/>
      </c>
      <c r="DE95" s="96">
        <f>DE87</f>
        <v/>
      </c>
      <c r="DF95" s="96">
        <f>DF87</f>
        <v/>
      </c>
      <c r="DG95" s="63" t="n"/>
      <c r="DH95" s="639" t="n"/>
      <c r="DK95" s="94" t="inlineStr">
        <is>
          <t>Total - Jan'26</t>
        </is>
      </c>
      <c r="DL95" s="96">
        <f>DL87</f>
        <v/>
      </c>
      <c r="DM95" s="96">
        <f>DM87</f>
        <v/>
      </c>
      <c r="DN95" s="96">
        <f>DN87</f>
        <v/>
      </c>
      <c r="DO95" s="96">
        <f>DO87</f>
        <v/>
      </c>
      <c r="DP95" s="96">
        <f>DP87</f>
        <v/>
      </c>
      <c r="DQ95" s="96">
        <f>DQ87</f>
        <v/>
      </c>
      <c r="DR95" s="96">
        <f>DR87</f>
        <v/>
      </c>
    </row>
    <row r="96">
      <c r="A96" s="77" t="inlineStr">
        <is>
          <t>-</t>
        </is>
      </c>
      <c r="B96" s="77" t="inlineStr">
        <is>
          <t>-</t>
        </is>
      </c>
      <c r="AF96" s="63" t="n"/>
      <c r="AG96" s="63" t="n"/>
      <c r="AH96" s="639" t="n"/>
      <c r="AI96" s="639" t="n"/>
      <c r="AJ96" s="639" t="n"/>
      <c r="AK96" s="639" t="n"/>
      <c r="AL96" s="639" t="n"/>
      <c r="AM96" s="63" t="n"/>
      <c r="AN96" s="639" t="n"/>
      <c r="AR96" s="63" t="n"/>
      <c r="AS96" s="63" t="n"/>
      <c r="AT96" s="639" t="n"/>
      <c r="AU96" s="639" t="n"/>
      <c r="AV96" s="639" t="n"/>
      <c r="AW96" s="639" t="n"/>
      <c r="AX96" s="639" t="n"/>
      <c r="AY96" s="63" t="n"/>
      <c r="AZ96" s="639" t="n"/>
      <c r="BD96" s="63" t="n"/>
      <c r="BE96" s="63" t="n"/>
      <c r="BF96" s="639" t="n"/>
      <c r="BG96" s="639" t="n"/>
      <c r="BH96" s="639" t="n"/>
      <c r="BI96" s="639" t="n"/>
      <c r="BJ96" s="639" t="n"/>
      <c r="BK96" s="63" t="n"/>
      <c r="BL96" s="639" t="n"/>
      <c r="BP96" s="63" t="n"/>
      <c r="BQ96" s="63" t="n"/>
      <c r="BR96" s="639" t="n"/>
      <c r="BS96" s="639" t="n"/>
      <c r="BT96" s="639" t="n"/>
      <c r="BU96" s="639" t="n"/>
      <c r="BV96" s="639" t="n"/>
      <c r="BW96" s="63" t="n"/>
      <c r="BX96" s="639" t="n"/>
      <c r="CB96" s="63" t="n"/>
      <c r="CC96" s="63" t="n"/>
      <c r="CD96" s="639" t="n"/>
      <c r="CE96" s="639" t="n"/>
      <c r="CF96" s="639" t="n"/>
      <c r="CG96" s="639" t="n"/>
      <c r="CH96" s="639" t="n"/>
      <c r="CI96" s="63" t="n"/>
      <c r="CJ96" s="639" t="n"/>
      <c r="CN96" s="63" t="n"/>
      <c r="CO96" s="63" t="n"/>
      <c r="CP96" s="639" t="n"/>
      <c r="CQ96" s="639" t="n"/>
      <c r="CR96" s="639" t="n"/>
      <c r="CS96" s="639" t="n"/>
      <c r="CT96" s="639" t="n"/>
      <c r="CU96" s="63" t="n"/>
      <c r="CV96" s="639" t="n"/>
      <c r="CY96" s="94" t="inlineStr">
        <is>
          <t>Growth - Dec'25 Vs Nov'25</t>
        </is>
      </c>
      <c r="CZ96" s="97">
        <f>(CZ87-CN87)/CN87</f>
        <v/>
      </c>
      <c r="DA96" s="97">
        <f>(DA87-CO87)/CO87</f>
        <v/>
      </c>
      <c r="DB96" s="97">
        <f>(DB87-CP87)/CP87</f>
        <v/>
      </c>
      <c r="DC96" s="97">
        <f>(DC87-CQ87)/CQ87</f>
        <v/>
      </c>
      <c r="DD96" s="97">
        <f>(DD87-CR87)/CR87</f>
        <v/>
      </c>
      <c r="DE96" s="97">
        <f>(DE87-CS87)/CS87</f>
        <v/>
      </c>
      <c r="DF96" s="97">
        <f>(DF87-CT87)/CT87</f>
        <v/>
      </c>
      <c r="DG96" s="63" t="n"/>
      <c r="DH96" s="639" t="n"/>
      <c r="DK96" s="92" t="inlineStr">
        <is>
          <t>Growth - Jan'26 Vs Dec'25</t>
        </is>
      </c>
      <c r="DL96" s="93">
        <f>(DL95-CZ95)/CZ95</f>
        <v/>
      </c>
      <c r="DM96" s="93">
        <f>(DM95-DA95)/DA95</f>
        <v/>
      </c>
      <c r="DN96" s="93">
        <f>(DN95-DB95)/DB95</f>
        <v/>
      </c>
      <c r="DO96" s="93">
        <f>(DO95-DC95)/DC95</f>
        <v/>
      </c>
      <c r="DP96" s="93" t="n">
        <v>3.3496</v>
      </c>
      <c r="DQ96" s="93">
        <f>(DQ95-DE95)/DE95</f>
        <v/>
      </c>
      <c r="DR96" s="93">
        <f>(DR95-DF95)/DF95</f>
        <v/>
      </c>
    </row>
    <row r="97">
      <c r="A97" s="77" t="inlineStr">
        <is>
          <t>-</t>
        </is>
      </c>
      <c r="B97" s="77" t="inlineStr">
        <is>
          <t>-</t>
        </is>
      </c>
      <c r="AF97" s="63" t="n"/>
      <c r="AG97" s="63" t="n"/>
      <c r="AH97" s="639" t="n"/>
      <c r="AI97" s="639" t="n"/>
      <c r="AJ97" s="639" t="n"/>
      <c r="AK97" s="639" t="n"/>
      <c r="AL97" s="639" t="n"/>
      <c r="AM97" s="63" t="n"/>
      <c r="AN97" s="639" t="n"/>
      <c r="AR97" s="63" t="n"/>
      <c r="AS97" s="63" t="n"/>
      <c r="AT97" s="639" t="n"/>
      <c r="AU97" s="639" t="n"/>
      <c r="AV97" s="639" t="n"/>
      <c r="AW97" s="639" t="n"/>
      <c r="AX97" s="639" t="n"/>
      <c r="AY97" s="63" t="n"/>
      <c r="AZ97" s="639" t="n"/>
      <c r="BD97" s="63" t="n"/>
      <c r="BE97" s="63" t="n"/>
      <c r="BF97" s="639" t="n"/>
      <c r="BG97" s="639" t="n"/>
      <c r="BH97" s="639" t="n"/>
      <c r="BI97" s="639" t="n"/>
      <c r="BJ97" s="639" t="n"/>
      <c r="BK97" s="63" t="n"/>
      <c r="BL97" s="639" t="n"/>
      <c r="BP97" s="63" t="n"/>
      <c r="BQ97" s="63" t="n"/>
      <c r="BR97" s="639" t="n"/>
      <c r="BS97" s="639" t="n"/>
      <c r="BT97" s="639" t="n"/>
      <c r="BU97" s="639" t="n"/>
      <c r="BV97" s="639" t="n"/>
      <c r="BW97" s="63" t="n"/>
      <c r="BX97" s="639" t="n"/>
      <c r="CB97" s="63" t="n"/>
      <c r="CC97" s="63" t="n"/>
      <c r="CD97" s="639" t="n"/>
      <c r="CE97" s="639" t="n"/>
      <c r="CF97" s="639" t="n"/>
      <c r="CG97" s="639" t="n"/>
      <c r="CH97" s="639" t="n"/>
      <c r="CI97" s="63" t="n"/>
      <c r="CJ97" s="639" t="n"/>
      <c r="CM97" s="77" t="inlineStr">
        <is>
          <t>-</t>
        </is>
      </c>
      <c r="CN97" s="77" t="inlineStr">
        <is>
          <t>-</t>
        </is>
      </c>
      <c r="CO97" s="77" t="inlineStr">
        <is>
          <t>-</t>
        </is>
      </c>
      <c r="CP97" s="77" t="inlineStr">
        <is>
          <t>-</t>
        </is>
      </c>
      <c r="CQ97" s="77" t="inlineStr">
        <is>
          <t>-</t>
        </is>
      </c>
      <c r="CR97" s="77" t="inlineStr">
        <is>
          <t>-</t>
        </is>
      </c>
      <c r="CS97" s="77" t="inlineStr">
        <is>
          <t>-</t>
        </is>
      </c>
      <c r="CT97" s="77" t="inlineStr">
        <is>
          <t>-</t>
        </is>
      </c>
      <c r="CU97" s="63" t="n"/>
      <c r="CV97" s="639" t="n"/>
      <c r="CY97" s="77" t="inlineStr">
        <is>
          <t>-</t>
        </is>
      </c>
      <c r="CZ97" s="77" t="inlineStr">
        <is>
          <t>-</t>
        </is>
      </c>
      <c r="DA97" s="77" t="inlineStr">
        <is>
          <t>-</t>
        </is>
      </c>
      <c r="DB97" s="77" t="inlineStr">
        <is>
          <t>-</t>
        </is>
      </c>
      <c r="DC97" s="77" t="inlineStr">
        <is>
          <t>-</t>
        </is>
      </c>
      <c r="DD97" s="77" t="inlineStr">
        <is>
          <t>-</t>
        </is>
      </c>
      <c r="DE97" s="77" t="inlineStr">
        <is>
          <t>-</t>
        </is>
      </c>
      <c r="DF97" s="77" t="inlineStr">
        <is>
          <t>-</t>
        </is>
      </c>
      <c r="DG97" s="63" t="n"/>
      <c r="DH97" s="639" t="n"/>
      <c r="DK97" s="77" t="inlineStr">
        <is>
          <t>-</t>
        </is>
      </c>
      <c r="DL97" s="77" t="inlineStr">
        <is>
          <t>-</t>
        </is>
      </c>
      <c r="DM97" s="77" t="inlineStr">
        <is>
          <t>-</t>
        </is>
      </c>
      <c r="DN97" s="77" t="inlineStr">
        <is>
          <t>-</t>
        </is>
      </c>
      <c r="DO97" s="77" t="inlineStr">
        <is>
          <t>-</t>
        </is>
      </c>
      <c r="DP97" s="77" t="inlineStr">
        <is>
          <t>-</t>
        </is>
      </c>
      <c r="DQ97" s="77" t="inlineStr">
        <is>
          <t>-</t>
        </is>
      </c>
      <c r="DR97" s="77" t="inlineStr">
        <is>
          <t>-</t>
        </is>
      </c>
    </row>
    <row r="98">
      <c r="A98" s="77" t="inlineStr">
        <is>
          <t>-</t>
        </is>
      </c>
      <c r="B98" s="77" t="inlineStr">
        <is>
          <t>-</t>
        </is>
      </c>
      <c r="AF98" s="63" t="n"/>
      <c r="AG98" s="63" t="n"/>
      <c r="AH98" s="639" t="n"/>
      <c r="AI98" s="639" t="n"/>
      <c r="AJ98" s="639" t="n"/>
      <c r="AK98" s="639" t="n"/>
      <c r="AL98" s="639" t="n"/>
      <c r="AM98" s="63" t="n"/>
      <c r="AN98" s="639" t="n"/>
      <c r="AR98" s="63" t="n"/>
      <c r="AS98" s="63" t="n"/>
      <c r="AT98" s="639" t="n"/>
      <c r="AU98" s="639" t="n"/>
      <c r="AV98" s="639" t="n"/>
      <c r="AW98" s="639" t="n"/>
      <c r="AX98" s="639" t="n"/>
      <c r="AY98" s="63" t="n"/>
      <c r="AZ98" s="639" t="n"/>
      <c r="BD98" s="63" t="n"/>
      <c r="BE98" s="63" t="n"/>
      <c r="BF98" s="639" t="n"/>
      <c r="BG98" s="639" t="n"/>
      <c r="BH98" s="639" t="n"/>
      <c r="BI98" s="639" t="n"/>
      <c r="BJ98" s="639" t="n"/>
      <c r="BK98" s="63" t="n"/>
      <c r="BL98" s="639" t="n"/>
      <c r="BP98" s="63" t="n"/>
      <c r="BQ98" s="63" t="n"/>
      <c r="BR98" s="639" t="n"/>
      <c r="BS98" s="639" t="n"/>
      <c r="BT98" s="639" t="n"/>
      <c r="BU98" s="639" t="n"/>
      <c r="BV98" s="639" t="n"/>
      <c r="BW98" s="63" t="n"/>
      <c r="BX98" s="639" t="n"/>
      <c r="CB98" s="63" t="n"/>
      <c r="CC98" s="63" t="n"/>
      <c r="CD98" s="639" t="n"/>
      <c r="CE98" s="639" t="n"/>
      <c r="CF98" s="639" t="n"/>
      <c r="CG98" s="639" t="n"/>
      <c r="CH98" s="639" t="n"/>
      <c r="CI98" s="63" t="n"/>
      <c r="CJ98" s="639" t="n"/>
      <c r="CM98" s="95" t="inlineStr">
        <is>
          <t>Equity  exl Arb, ETFs, Index</t>
        </is>
      </c>
      <c r="CN98" s="96">
        <f>CN36+CN40+CN41+CN42+CN50+CN72</f>
        <v/>
      </c>
      <c r="CO98" s="96">
        <f>CO36+CO40+CO41+CO42+CO50+CO72</f>
        <v/>
      </c>
      <c r="CP98" s="96">
        <f>CP36+CP40+CP41+CP42+CP50+CP72</f>
        <v/>
      </c>
      <c r="CQ98" s="96">
        <f>CQ36+CQ40+CQ41+CQ42+CQ50+CQ72</f>
        <v/>
      </c>
      <c r="CR98" s="96">
        <f>CR36+CR40+CR41+CR42+CR50+CR72</f>
        <v/>
      </c>
      <c r="CS98" s="96">
        <f>CS36+CS40+CS41+CS42+CS50+CS72</f>
        <v/>
      </c>
      <c r="CT98" s="96">
        <f>CT36+CT40+CT41+CT42+CT50+CT72</f>
        <v/>
      </c>
      <c r="CU98" s="63" t="n"/>
      <c r="CV98" s="639" t="n"/>
      <c r="CY98" s="95" t="inlineStr">
        <is>
          <t>Equity  exl Arb, ETFs, Index</t>
        </is>
      </c>
      <c r="CZ98" s="96">
        <f>CZ36+CZ40+CZ41+CZ42+CZ50+CZ72</f>
        <v/>
      </c>
      <c r="DA98" s="96">
        <f>DA36+DA40+DA41+DA42+DA50+DA72</f>
        <v/>
      </c>
      <c r="DB98" s="96">
        <f>DB36+DB40+DB41+DB42+DB50+DB72</f>
        <v/>
      </c>
      <c r="DC98" s="96">
        <f>DC36+DC40+DC41+DC42+DC50+DC72</f>
        <v/>
      </c>
      <c r="DD98" s="96">
        <f>DD36+DD40+DD41+DD42+DD50+DD72</f>
        <v/>
      </c>
      <c r="DE98" s="96">
        <f>DE36+DE40+DE41+DE42+DE50+DE72</f>
        <v/>
      </c>
      <c r="DF98" s="96">
        <f>DF36+DF40+DF41+DF42+DF50+DF72</f>
        <v/>
      </c>
      <c r="DG98" s="63" t="n"/>
      <c r="DH98" s="639" t="n"/>
      <c r="DK98" s="95" t="inlineStr">
        <is>
          <t>Equity  exl Arb, ETFs, Index</t>
        </is>
      </c>
      <c r="DL98" s="96">
        <f>DL36+DL40+DL41+DL42+DL50+DL72</f>
        <v/>
      </c>
      <c r="DM98" s="96">
        <f>DM36+DM40+DM41+DM42+DM50+DM72</f>
        <v/>
      </c>
      <c r="DN98" s="96">
        <f>DN36+DN40+DN41+DN42+DN50+DN72</f>
        <v/>
      </c>
      <c r="DO98" s="96">
        <f>DO36+DO40+DO41+DO42+DO50+DO72</f>
        <v/>
      </c>
      <c r="DP98" s="96">
        <f>DP36+DP40+DP41+DP42+DP50+DP72</f>
        <v/>
      </c>
      <c r="DQ98" s="96">
        <f>DQ36+DQ40+DQ41+DQ42+DQ50+DQ72</f>
        <v/>
      </c>
      <c r="DR98" s="96">
        <f>DR36+DR40+DR41+DR42+DR50+DR72</f>
        <v/>
      </c>
    </row>
    <row r="99">
      <c r="A99" s="77" t="inlineStr">
        <is>
          <t>-</t>
        </is>
      </c>
      <c r="B99" s="77" t="inlineStr">
        <is>
          <t>-</t>
        </is>
      </c>
      <c r="AF99" s="63" t="n"/>
      <c r="AG99" s="63" t="n"/>
      <c r="AH99" s="639" t="n"/>
      <c r="AI99" s="639" t="n"/>
      <c r="AJ99" s="639" t="n"/>
      <c r="AK99" s="639" t="n"/>
      <c r="AL99" s="639" t="n"/>
      <c r="AM99" s="63" t="n"/>
      <c r="AN99" s="639" t="n"/>
      <c r="AR99" s="63" t="n"/>
      <c r="AS99" s="63" t="n"/>
      <c r="AT99" s="639" t="n"/>
      <c r="AU99" s="639" t="n"/>
      <c r="AV99" s="639" t="n"/>
      <c r="AW99" s="639" t="n"/>
      <c r="AX99" s="639" t="n"/>
      <c r="AY99" s="63" t="n"/>
      <c r="AZ99" s="639" t="n"/>
      <c r="BD99" s="63" t="n"/>
      <c r="BE99" s="63" t="n"/>
      <c r="BF99" s="639" t="n"/>
      <c r="BG99" s="639" t="n"/>
      <c r="BH99" s="639" t="n"/>
      <c r="BI99" s="639" t="n"/>
      <c r="BJ99" s="639" t="n"/>
      <c r="BK99" s="63" t="n"/>
      <c r="BL99" s="639" t="n"/>
      <c r="BP99" s="63" t="n"/>
      <c r="BQ99" s="63" t="n"/>
      <c r="BR99" s="639" t="n"/>
      <c r="BS99" s="639" t="n"/>
      <c r="BT99" s="639" t="n"/>
      <c r="BU99" s="639" t="n"/>
      <c r="BV99" s="639" t="n"/>
      <c r="BW99" s="63" t="n"/>
      <c r="BX99" s="639" t="n"/>
      <c r="CB99" s="63" t="n"/>
      <c r="CC99" s="63" t="n"/>
      <c r="CD99" s="639" t="n"/>
      <c r="CE99" s="639" t="n"/>
      <c r="CF99" s="639" t="n"/>
      <c r="CG99" s="639" t="n"/>
      <c r="CH99" s="639" t="n"/>
      <c r="CI99" s="63" t="n"/>
      <c r="CJ99" s="639" t="n"/>
      <c r="CN99" s="63" t="n"/>
      <c r="CO99" s="63" t="n"/>
      <c r="CP99" s="639" t="n"/>
      <c r="CQ99" s="639" t="n"/>
      <c r="CR99" s="639" t="n"/>
      <c r="CS99" s="639" t="n"/>
      <c r="CT99" s="639" t="n"/>
      <c r="CU99" s="63" t="n"/>
      <c r="CV99" s="639" t="n"/>
      <c r="CY99" s="94" t="inlineStr">
        <is>
          <t>Growth - Dec'25 Vs Nov'25</t>
        </is>
      </c>
      <c r="CZ99" s="93">
        <f>(CZ98-CN98)/CN98</f>
        <v/>
      </c>
      <c r="DA99" s="93">
        <f>(DA98-CO98)/CO98</f>
        <v/>
      </c>
      <c r="DB99" s="93">
        <f>(DB98-CP98)/CP98</f>
        <v/>
      </c>
      <c r="DC99" s="93">
        <f>(DC98-CQ98)/CQ98</f>
        <v/>
      </c>
      <c r="DD99" s="93">
        <f>(DD98-CR98)/CR98</f>
        <v/>
      </c>
      <c r="DE99" s="93">
        <f>(DE98-CS98)/CS98</f>
        <v/>
      </c>
      <c r="DF99" s="93">
        <f>(DF98-CT98)/CT98</f>
        <v/>
      </c>
      <c r="DG99" s="63" t="n"/>
      <c r="DH99" s="639" t="n"/>
      <c r="DK99" s="92" t="inlineStr">
        <is>
          <t>Growth - Jan'26 Vs Dec'25</t>
        </is>
      </c>
      <c r="DL99" s="93">
        <f>(DL98-CZ98)/CZ98</f>
        <v/>
      </c>
      <c r="DM99" s="93">
        <f>(DM98-DA98)/DA98</f>
        <v/>
      </c>
      <c r="DN99" s="93">
        <f>(DN98-DB98)/DB98</f>
        <v/>
      </c>
      <c r="DO99" s="93">
        <f>(DO98-DC98)/DC98</f>
        <v/>
      </c>
      <c r="DP99" s="93">
        <f>(DP98-DD98)/DD98</f>
        <v/>
      </c>
      <c r="DQ99" s="93">
        <f>(DQ98-DE98)/DE98</f>
        <v/>
      </c>
      <c r="DR99" s="93">
        <f>(DR98-DF98)/DF98</f>
        <v/>
      </c>
    </row>
    <row r="100">
      <c r="AF100" s="63" t="n"/>
      <c r="AG100" s="63" t="n"/>
      <c r="AH100" s="639" t="n"/>
      <c r="AI100" s="639" t="n"/>
      <c r="AJ100" s="639" t="n"/>
      <c r="AK100" s="639" t="n"/>
      <c r="AL100" s="639" t="n"/>
      <c r="AM100" s="63" t="n"/>
      <c r="AN100" s="639" t="n"/>
      <c r="AR100" s="63" t="n"/>
      <c r="AS100" s="63" t="n"/>
      <c r="AT100" s="639" t="n"/>
      <c r="AU100" s="639" t="n"/>
      <c r="AV100" s="639" t="n"/>
      <c r="AW100" s="639" t="n"/>
      <c r="AX100" s="639" t="n"/>
      <c r="AY100" s="63" t="n"/>
      <c r="AZ100" s="639" t="n"/>
      <c r="BD100" s="63" t="n"/>
      <c r="BE100" s="63" t="n"/>
      <c r="BF100" s="639" t="n"/>
      <c r="BG100" s="639" t="n"/>
      <c r="BH100" s="639" t="n"/>
      <c r="BI100" s="639" t="n"/>
      <c r="BJ100" s="639" t="n"/>
      <c r="BK100" s="63" t="n"/>
      <c r="BL100" s="639" t="n"/>
      <c r="BP100" s="63" t="n"/>
      <c r="BQ100" s="63" t="n"/>
      <c r="BR100" s="639" t="n"/>
      <c r="BS100" s="639" t="n"/>
      <c r="BT100" s="639" t="n"/>
      <c r="BU100" s="639" t="n"/>
      <c r="BV100" s="639" t="n"/>
      <c r="BW100" s="63" t="n"/>
      <c r="BX100" s="639" t="n"/>
      <c r="CB100" s="63" t="n"/>
      <c r="CC100" s="63" t="n"/>
      <c r="CD100" s="639" t="n"/>
      <c r="CE100" s="639" t="n"/>
      <c r="CF100" s="639" t="n"/>
      <c r="CG100" s="639" t="n"/>
      <c r="CH100" s="639" t="n"/>
      <c r="CI100" s="63" t="n"/>
      <c r="CJ100" s="639" t="n"/>
      <c r="CN100" s="63" t="n"/>
      <c r="CO100" s="63" t="n"/>
      <c r="CP100" s="639" t="n"/>
      <c r="CQ100" s="639" t="n"/>
      <c r="CR100" s="639" t="n"/>
      <c r="CS100" s="639" t="n"/>
      <c r="CT100" s="639" t="n"/>
      <c r="CU100" s="63" t="n"/>
      <c r="CV100" s="639" t="n"/>
      <c r="CZ100" s="63" t="n"/>
      <c r="DA100" s="63" t="n"/>
      <c r="DB100" s="639" t="n"/>
      <c r="DC100" s="639" t="n"/>
      <c r="DD100" s="639" t="n"/>
      <c r="DE100" s="639" t="n"/>
      <c r="DF100" s="639" t="n"/>
      <c r="DG100" s="63" t="n"/>
      <c r="DH100" s="639" t="n"/>
    </row>
    <row r="101">
      <c r="AF101" s="63" t="n"/>
      <c r="AG101" s="63" t="n"/>
      <c r="AH101" s="639" t="n"/>
      <c r="AI101" s="639" t="n"/>
      <c r="AJ101" s="639" t="n"/>
      <c r="AK101" s="639" t="n"/>
      <c r="AL101" s="639" t="n"/>
      <c r="AM101" s="63" t="n"/>
      <c r="AN101" s="639" t="n"/>
      <c r="AR101" s="63" t="n"/>
      <c r="AS101" s="63" t="n"/>
      <c r="AT101" s="639" t="n"/>
      <c r="AU101" s="639" t="n"/>
      <c r="AV101" s="639" t="n"/>
      <c r="AW101" s="639" t="n"/>
      <c r="AX101" s="639" t="n"/>
      <c r="AY101" s="63" t="n"/>
      <c r="AZ101" s="639" t="n"/>
      <c r="BD101" s="63" t="n"/>
      <c r="BE101" s="63" t="n"/>
      <c r="BF101" s="639" t="n"/>
      <c r="BG101" s="639" t="n"/>
      <c r="BH101" s="639" t="n"/>
      <c r="BI101" s="639" t="n"/>
      <c r="BJ101" s="639" t="n"/>
      <c r="BK101" s="63" t="n"/>
      <c r="BL101" s="639" t="n"/>
      <c r="BP101" s="63" t="n"/>
      <c r="BQ101" s="63" t="n"/>
      <c r="BR101" s="639" t="n"/>
      <c r="BS101" s="639" t="n"/>
      <c r="BT101" s="639" t="n"/>
      <c r="BU101" s="639" t="n"/>
      <c r="BV101" s="639" t="n"/>
      <c r="BW101" s="63" t="n"/>
      <c r="BX101" s="639" t="n"/>
      <c r="CB101" s="63" t="n"/>
      <c r="CC101" s="63" t="n"/>
      <c r="CD101" s="639" t="n"/>
      <c r="CE101" s="639" t="n"/>
      <c r="CF101" s="639" t="n"/>
      <c r="CG101" s="639" t="n"/>
      <c r="CH101" s="639" t="n"/>
      <c r="CI101" s="63" t="n"/>
      <c r="CJ101" s="639" t="n"/>
      <c r="CN101" s="63" t="n"/>
      <c r="CO101" s="63" t="n"/>
      <c r="CP101" s="639" t="n"/>
      <c r="CQ101" s="639" t="n"/>
      <c r="CR101" s="639" t="n"/>
      <c r="CS101" s="639" t="n"/>
      <c r="CT101" s="639" t="n"/>
      <c r="CU101" s="63" t="n"/>
      <c r="CV101" s="639" t="n"/>
      <c r="CZ101" s="63" t="n"/>
      <c r="DA101" s="63" t="n"/>
      <c r="DB101" s="639" t="n"/>
      <c r="DC101" s="639" t="n"/>
      <c r="DD101" s="639" t="n"/>
      <c r="DE101" s="639" t="n"/>
      <c r="DF101" s="639" t="n"/>
      <c r="DG101" s="63" t="n"/>
      <c r="DH101" s="639" t="n"/>
      <c r="DK101" s="110" t="inlineStr">
        <is>
          <t>Growth In below Schemes</t>
        </is>
      </c>
      <c r="DL101" s="111" t="inlineStr">
        <is>
          <t>NS</t>
        </is>
      </c>
    </row>
    <row r="102">
      <c r="AF102" s="63" t="n"/>
      <c r="AG102" s="63" t="n"/>
      <c r="AH102" s="639" t="n"/>
      <c r="AI102" s="639" t="n"/>
      <c r="AJ102" s="639" t="n"/>
      <c r="AK102" s="639" t="n"/>
      <c r="AL102" s="639" t="n"/>
      <c r="AM102" s="63" t="n"/>
      <c r="AN102" s="639" t="n"/>
      <c r="AR102" s="63" t="n"/>
      <c r="AS102" s="63" t="n"/>
      <c r="AT102" s="639" t="n"/>
      <c r="AU102" s="639" t="n"/>
      <c r="AV102" s="639" t="n"/>
      <c r="AW102" s="639" t="n"/>
      <c r="AX102" s="639" t="n"/>
      <c r="AY102" s="63" t="n"/>
      <c r="AZ102" s="639" t="n"/>
      <c r="BD102" s="63" t="n"/>
      <c r="BE102" s="63" t="n"/>
      <c r="BF102" s="639" t="n"/>
      <c r="BG102" s="639" t="n"/>
      <c r="BH102" s="639" t="n"/>
      <c r="BI102" s="639" t="n"/>
      <c r="BJ102" s="639" t="n"/>
      <c r="BK102" s="63" t="n"/>
      <c r="BL102" s="639" t="n"/>
      <c r="BP102" s="63" t="n"/>
      <c r="BQ102" s="63" t="n"/>
      <c r="BR102" s="639" t="n"/>
      <c r="BS102" s="639" t="n"/>
      <c r="BT102" s="639" t="n"/>
      <c r="BU102" s="639" t="n"/>
      <c r="BV102" s="639" t="n"/>
      <c r="BW102" s="63" t="n"/>
      <c r="BX102" s="639" t="n"/>
      <c r="CB102" s="63" t="n"/>
      <c r="CC102" s="63" t="n"/>
      <c r="CD102" s="639" t="n"/>
      <c r="CE102" s="639" t="n"/>
      <c r="CF102" s="639" t="n"/>
      <c r="CG102" s="639" t="n"/>
      <c r="CH102" s="639" t="n"/>
      <c r="CI102" s="63" t="n"/>
      <c r="CJ102" s="639" t="n"/>
      <c r="CN102" s="63" t="n"/>
      <c r="CO102" s="63" t="n"/>
      <c r="CP102" s="639" t="n"/>
      <c r="CQ102" s="639" t="n"/>
      <c r="CR102" s="639" t="n"/>
      <c r="CS102" s="639" t="n"/>
      <c r="CT102" s="639" t="n"/>
      <c r="CU102" s="63" t="n"/>
      <c r="CV102" s="639" t="n"/>
      <c r="CZ102" s="63" t="n"/>
      <c r="DA102" s="63" t="n"/>
      <c r="DB102" s="639" t="n"/>
      <c r="DC102" s="639" t="n"/>
      <c r="DD102" s="639" t="n"/>
      <c r="DE102" s="639" t="n"/>
      <c r="DF102" s="639" t="n"/>
      <c r="DG102" s="63" t="n"/>
      <c r="DH102" s="639" t="n"/>
      <c r="DK102" s="92" t="inlineStr">
        <is>
          <t>Growth - Jan'26 Vs Dec'25</t>
        </is>
      </c>
      <c r="DL102" s="92" t="inlineStr">
        <is>
          <t>-</t>
        </is>
      </c>
    </row>
    <row r="103">
      <c r="AF103" s="63" t="n"/>
      <c r="AG103" s="63" t="n"/>
      <c r="AH103" s="639" t="n"/>
      <c r="AI103" s="639" t="n"/>
      <c r="AJ103" s="639" t="n"/>
      <c r="AK103" s="639" t="n"/>
      <c r="AL103" s="639" t="n"/>
      <c r="AM103" s="63" t="n"/>
      <c r="AN103" s="639" t="n"/>
      <c r="AR103" s="63" t="n"/>
      <c r="AS103" s="63" t="n"/>
      <c r="AT103" s="639" t="n"/>
      <c r="AU103" s="639" t="n"/>
      <c r="AV103" s="639" t="n"/>
      <c r="AW103" s="639" t="n"/>
      <c r="AX103" s="639" t="n"/>
      <c r="AY103" s="63" t="n"/>
      <c r="AZ103" s="639" t="n"/>
      <c r="BD103" s="63" t="n"/>
      <c r="BE103" s="63" t="n"/>
      <c r="BF103" s="639" t="n"/>
      <c r="BG103" s="639" t="n"/>
      <c r="BH103" s="639" t="n"/>
      <c r="BI103" s="639" t="n"/>
      <c r="BJ103" s="639" t="n"/>
      <c r="BK103" s="63" t="n"/>
      <c r="BL103" s="639" t="n"/>
      <c r="BP103" s="639" t="n"/>
      <c r="BQ103" s="639" t="n"/>
      <c r="BR103" s="639" t="n"/>
      <c r="BS103" s="639" t="n"/>
      <c r="BT103" s="639" t="n"/>
      <c r="BU103" s="639" t="n"/>
      <c r="BV103" s="639" t="n"/>
      <c r="BW103" s="639" t="n"/>
      <c r="BX103" s="639" t="n"/>
      <c r="CB103" s="639" t="n"/>
      <c r="CC103" s="639" t="n"/>
      <c r="CD103" s="639" t="n"/>
      <c r="CE103" s="639" t="n"/>
      <c r="CF103" s="639" t="n"/>
      <c r="CG103" s="639" t="n"/>
      <c r="CH103" s="639" t="n"/>
      <c r="CI103" s="639" t="n"/>
      <c r="CJ103" s="639" t="n"/>
      <c r="CN103" s="639" t="n"/>
      <c r="CO103" s="639" t="n"/>
      <c r="CP103" s="639" t="n"/>
      <c r="CQ103" s="639" t="n"/>
      <c r="CR103" s="639" t="n"/>
      <c r="CS103" s="639" t="n"/>
      <c r="CT103" s="639" t="n"/>
      <c r="CU103" s="639" t="n"/>
      <c r="CV103" s="639" t="n"/>
      <c r="CZ103" s="639" t="n"/>
      <c r="DA103" s="639" t="n"/>
      <c r="DB103" s="639" t="n"/>
      <c r="DC103" s="639" t="n"/>
      <c r="DD103" s="639" t="n"/>
      <c r="DE103" s="639" t="n"/>
      <c r="DF103" s="639" t="n"/>
      <c r="DG103" s="639" t="n"/>
      <c r="DH103" s="639" t="n"/>
      <c r="DK103" s="644" t="inlineStr">
        <is>
          <t>Income/Debt Oriented Schemes</t>
        </is>
      </c>
      <c r="DL103" s="644" t="inlineStr">
        <is>
          <t>Growth</t>
        </is>
      </c>
    </row>
    <row r="104">
      <c r="AF104" s="63" t="n"/>
      <c r="AG104" s="63" t="n"/>
      <c r="AH104" s="639" t="n"/>
      <c r="AI104" s="639" t="n"/>
      <c r="AJ104" s="639" t="n"/>
      <c r="AK104" s="639" t="n"/>
      <c r="AL104" s="639" t="n"/>
      <c r="AM104" s="63" t="n"/>
      <c r="AN104" s="639" t="n"/>
      <c r="AR104" s="63" t="n"/>
      <c r="AS104" s="63" t="n"/>
      <c r="AT104" s="639" t="n"/>
      <c r="AU104" s="639" t="n"/>
      <c r="AV104" s="639" t="n"/>
      <c r="AW104" s="639" t="n"/>
      <c r="AX104" s="639" t="n"/>
      <c r="AY104" s="63" t="n"/>
      <c r="AZ104" s="639" t="n"/>
      <c r="BD104" s="63" t="n"/>
      <c r="BE104" s="63" t="n"/>
      <c r="BF104" s="639" t="n"/>
      <c r="BG104" s="639" t="n"/>
      <c r="BH104" s="639" t="n"/>
      <c r="BI104" s="639" t="n"/>
      <c r="BJ104" s="639" t="n"/>
      <c r="BK104" s="63" t="n"/>
      <c r="BL104" s="639" t="n"/>
      <c r="DK104" s="58" t="inlineStr">
        <is>
          <t>Overnight Fund</t>
        </is>
      </c>
      <c r="DL104" s="104" t="n">
        <v>181.0256722716797</v>
      </c>
    </row>
    <row r="105">
      <c r="AF105" s="63" t="n"/>
      <c r="AG105" s="63" t="n"/>
      <c r="AH105" s="639" t="n"/>
      <c r="AI105" s="639" t="n"/>
      <c r="AJ105" s="639" t="n"/>
      <c r="AK105" s="639" t="n"/>
      <c r="AL105" s="639" t="n"/>
      <c r="AM105" s="63" t="n"/>
      <c r="AN105" s="639" t="n"/>
      <c r="AR105" s="63" t="n"/>
      <c r="AS105" s="63" t="n"/>
      <c r="AT105" s="639" t="n"/>
      <c r="AU105" s="639" t="n"/>
      <c r="AV105" s="639" t="n"/>
      <c r="AW105" s="639" t="n"/>
      <c r="AX105" s="639" t="n"/>
      <c r="AY105" s="63" t="n"/>
      <c r="AZ105" s="639" t="n"/>
      <c r="BD105" s="63" t="n"/>
      <c r="BE105" s="63" t="n"/>
      <c r="BF105" s="639" t="n"/>
      <c r="BG105" s="639" t="n"/>
      <c r="BH105" s="639" t="n"/>
      <c r="BI105" s="639" t="n"/>
      <c r="BJ105" s="639" t="n"/>
      <c r="BK105" s="63" t="n"/>
      <c r="BL105" s="639" t="n"/>
      <c r="DK105" s="58" t="inlineStr">
        <is>
          <t>Liquid Fund</t>
        </is>
      </c>
      <c r="DL105" s="104" t="n">
        <v>1.65</v>
      </c>
    </row>
    <row r="106">
      <c r="AF106" s="63" t="n"/>
      <c r="AG106" s="63" t="n"/>
      <c r="AH106" s="639" t="n"/>
      <c r="AI106" s="639" t="n"/>
      <c r="AJ106" s="639" t="n"/>
      <c r="AK106" s="639" t="n"/>
      <c r="AL106" s="639" t="n"/>
      <c r="AM106" s="63" t="n"/>
      <c r="AN106" s="639" t="n"/>
      <c r="AR106" s="63" t="n"/>
      <c r="AS106" s="63" t="n"/>
      <c r="AT106" s="639" t="n"/>
      <c r="AU106" s="639" t="n"/>
      <c r="AV106" s="639" t="n"/>
      <c r="AW106" s="639" t="n"/>
      <c r="AX106" s="639" t="n"/>
      <c r="AY106" s="63" t="n"/>
      <c r="AZ106" s="639" t="n"/>
      <c r="BD106" s="63" t="n"/>
      <c r="BE106" s="63" t="n"/>
      <c r="BF106" s="639" t="n"/>
      <c r="BG106" s="639" t="n"/>
      <c r="BH106" s="639" t="n"/>
      <c r="BI106" s="639" t="n"/>
      <c r="BJ106" s="639" t="n"/>
      <c r="BK106" s="63" t="n"/>
      <c r="BL106" s="639" t="n"/>
      <c r="DK106" s="58" t="inlineStr">
        <is>
          <t>Ultra Short Duration Fund</t>
        </is>
      </c>
      <c r="DL106" s="104" t="n">
        <v>1.01</v>
      </c>
    </row>
    <row r="107">
      <c r="AF107" s="63" t="n"/>
      <c r="AG107" s="63" t="n"/>
      <c r="AH107" s="639" t="n"/>
      <c r="AI107" s="639" t="n"/>
      <c r="AJ107" s="639" t="n"/>
      <c r="AK107" s="639" t="n"/>
      <c r="AL107" s="639" t="n"/>
      <c r="AM107" s="63" t="n"/>
      <c r="AN107" s="639" t="n"/>
      <c r="AR107" s="63" t="n"/>
      <c r="AS107" s="63" t="n"/>
      <c r="AT107" s="639" t="n"/>
      <c r="AU107" s="639" t="n"/>
      <c r="AV107" s="639" t="n"/>
      <c r="AW107" s="639" t="n"/>
      <c r="AX107" s="639" t="n"/>
      <c r="AY107" s="63" t="n"/>
      <c r="AZ107" s="639" t="n"/>
      <c r="BD107" s="63" t="n"/>
      <c r="BE107" s="63" t="n"/>
      <c r="BF107" s="639" t="n"/>
      <c r="BG107" s="639" t="n"/>
      <c r="BH107" s="639" t="n"/>
      <c r="BI107" s="639" t="n"/>
      <c r="BJ107" s="639" t="n"/>
      <c r="BK107" s="63" t="n"/>
      <c r="BL107" s="639" t="n"/>
      <c r="DK107" s="58" t="inlineStr">
        <is>
          <t>Low Duration Fund</t>
        </is>
      </c>
      <c r="DL107" s="104" t="n">
        <v>1.47</v>
      </c>
    </row>
    <row r="108">
      <c r="AF108" s="639" t="n"/>
      <c r="AG108" s="639" t="n"/>
      <c r="AH108" s="639" t="n"/>
      <c r="AI108" s="639" t="n"/>
      <c r="AJ108" s="639" t="n"/>
      <c r="AK108" s="639" t="n"/>
      <c r="AL108" s="639" t="n"/>
      <c r="AM108" s="639" t="n"/>
      <c r="AN108" s="639" t="n"/>
      <c r="AR108" s="639" t="n"/>
      <c r="AS108" s="639" t="n"/>
      <c r="AT108" s="639" t="n"/>
      <c r="AU108" s="639" t="n"/>
      <c r="AV108" s="639" t="n"/>
      <c r="AW108" s="639" t="n"/>
      <c r="AX108" s="639" t="n"/>
      <c r="AY108" s="639" t="n"/>
      <c r="AZ108" s="639" t="n"/>
      <c r="BD108" s="639" t="n"/>
      <c r="BE108" s="639" t="n"/>
      <c r="BF108" s="639" t="n"/>
      <c r="BG108" s="639" t="n"/>
      <c r="BH108" s="639" t="n"/>
      <c r="BI108" s="639" t="n"/>
      <c r="BJ108" s="639" t="n"/>
      <c r="BK108" s="639" t="n"/>
      <c r="BL108" s="639" t="n"/>
      <c r="DK108" s="113" t="inlineStr">
        <is>
          <t>Money Market Fund</t>
        </is>
      </c>
      <c r="DL108" s="104" t="n">
        <v>1.32</v>
      </c>
    </row>
    <row r="109">
      <c r="DK109" s="114" t="inlineStr">
        <is>
          <t>Debt Scheme</t>
        </is>
      </c>
      <c r="DL109" s="115" t="n">
        <v>1.57</v>
      </c>
    </row>
    <row r="110"/>
    <row r="111">
      <c r="DK111" s="644" t="inlineStr">
        <is>
          <t>Growth/Equity Oriented Schemes</t>
        </is>
      </c>
      <c r="DL111" s="644" t="inlineStr">
        <is>
          <t>Growth</t>
        </is>
      </c>
    </row>
    <row r="112">
      <c r="DK112" s="621" t="inlineStr">
        <is>
          <t>Dividend Yield Fund</t>
        </is>
      </c>
      <c r="DL112" s="104" t="n">
        <v>1.19</v>
      </c>
    </row>
    <row r="113">
      <c r="DK113" s="114" t="inlineStr">
        <is>
          <t>Equity Scheme</t>
        </is>
      </c>
      <c r="DL113" s="115" t="n">
        <v>-0.143489674457668</v>
      </c>
    </row>
    <row r="114"/>
    <row r="115">
      <c r="DK115" s="644" t="inlineStr">
        <is>
          <t>Hybrid Schemes</t>
        </is>
      </c>
      <c r="DL115" s="644" t="inlineStr">
        <is>
          <t>Growth</t>
        </is>
      </c>
    </row>
    <row r="116">
      <c r="DK116" s="621" t="inlineStr">
        <is>
          <t>Conservative Hybrid Fund</t>
        </is>
      </c>
      <c r="DL116" s="116" t="n">
        <v>-0.3478284504495159</v>
      </c>
    </row>
    <row r="117">
      <c r="DK117" s="109" t="inlineStr">
        <is>
          <t>Arbitrage Fund</t>
        </is>
      </c>
      <c r="DL117" s="116" t="n">
        <v>25.07248760809485</v>
      </c>
    </row>
    <row r="118">
      <c r="DK118" s="109" t="inlineStr">
        <is>
          <t>Equity Savings Fund</t>
        </is>
      </c>
      <c r="DL118" s="116" t="n">
        <v>-0.8072512282989391</v>
      </c>
    </row>
    <row r="119">
      <c r="DK119" s="114" t="inlineStr">
        <is>
          <t>Hybrid Schemes</t>
        </is>
      </c>
      <c r="DL119" s="115" t="n">
        <v>0.6136769528255532</v>
      </c>
    </row>
    <row r="120"/>
    <row r="121">
      <c r="DK121" s="114" t="inlineStr">
        <is>
          <t>Debt/Equity/Hybrid</t>
        </is>
      </c>
      <c r="DL121" s="115" t="n">
        <v>3.35</v>
      </c>
    </row>
  </sheetData>
  <autoFilter ref="A3:EA3"/>
  <mergeCells count="45">
    <mergeCell ref="F1:P1"/>
    <mergeCell ref="R1:AB1"/>
    <mergeCell ref="BN2:BX2"/>
    <mergeCell ref="S92:AB92"/>
    <mergeCell ref="CX91:DH91"/>
    <mergeCell ref="BO92:BU92"/>
    <mergeCell ref="BZ2:CJ2"/>
    <mergeCell ref="BO91:BU91"/>
    <mergeCell ref="DV2:DW2"/>
    <mergeCell ref="CL2:CV2"/>
    <mergeCell ref="DJ91:DT91"/>
    <mergeCell ref="CA91:CG91"/>
    <mergeCell ref="CA92:CG92"/>
    <mergeCell ref="CX92:DH92"/>
    <mergeCell ref="B92:D92"/>
    <mergeCell ref="S91:AB91"/>
    <mergeCell ref="AD1:AN1"/>
    <mergeCell ref="AE91:AN91"/>
    <mergeCell ref="AP1:AZ1"/>
    <mergeCell ref="CX2:DH2"/>
    <mergeCell ref="DJ92:DT92"/>
    <mergeCell ref="A1:D1"/>
    <mergeCell ref="DJ2:DT2"/>
    <mergeCell ref="F2:P2"/>
    <mergeCell ref="F91:P91"/>
    <mergeCell ref="C2:D2"/>
    <mergeCell ref="AQ91:AZ91"/>
    <mergeCell ref="BB1:BL1"/>
    <mergeCell ref="AD2:AN2"/>
    <mergeCell ref="BC91:BL91"/>
    <mergeCell ref="B91:D91"/>
    <mergeCell ref="AE92:AN92"/>
    <mergeCell ref="AP2:AZ2"/>
    <mergeCell ref="BN1:BX1"/>
    <mergeCell ref="CX1:DH1"/>
    <mergeCell ref="BZ1:CJ1"/>
    <mergeCell ref="CL92:CV92"/>
    <mergeCell ref="F92:P92"/>
    <mergeCell ref="BK90:BL90"/>
    <mergeCell ref="R2:AB2"/>
    <mergeCell ref="AQ92:AZ92"/>
    <mergeCell ref="BB2:BL2"/>
    <mergeCell ref="CL91:CV91"/>
    <mergeCell ref="BC92:BL92"/>
    <mergeCell ref="CL1:CV1"/>
  </mergeCells>
  <printOptions horizontalCentered="1"/>
  <pageMargins left="0.7480314960629921" right="0.7480314960629921" top="0.984251968503937" bottom="0.984251968503937" header="0.5118110236220472" footer="0.5118110236220472"/>
  <pageSetup orientation="portrait" paperSize="9" scale="4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Brijlal Yadav (Sales,KMAMC)</dc:creator>
  <dcterms:created xmlns:dcterms="http://purl.org/dc/terms/" xmlns:xsi="http://www.w3.org/2001/XMLSchema-instance" xsi:type="dcterms:W3CDTF">2025-12-11T06:59:02Z</dcterms:created>
  <dcterms:modified xmlns:dcterms="http://purl.org/dc/terms/" xmlns:xsi="http://www.w3.org/2001/XMLSchema-instance" xsi:type="dcterms:W3CDTF">2026-06-15T09:48:18Z</dcterms:modified>
  <cp:lastModifiedBy>Viraj Choudhary</cp:lastModifiedBy>
</cp:coreProperties>
</file>

<file path=docProps/custom.xml><?xml version="1.0" encoding="utf-8"?>
<Properties xmlns="http://schemas.openxmlformats.org/officeDocument/2006/custom-properties">
  <property name="MSIP_Label_eae9dd6c-139c-4279-81ff-f5bef92f011d_Enabled" fmtid="{D5CDD505-2E9C-101B-9397-08002B2CF9AE}" pid="2">
    <vt:lpwstr xmlns:vt="http://schemas.openxmlformats.org/officeDocument/2006/docPropsVTypes">true</vt:lpwstr>
  </property>
  <property name="MSIP_Label_eae9dd6c-139c-4279-81ff-f5bef92f011d_SetDate" fmtid="{D5CDD505-2E9C-101B-9397-08002B2CF9AE}" pid="3">
    <vt:lpwstr xmlns:vt="http://schemas.openxmlformats.org/officeDocument/2006/docPropsVTypes">2025-12-11T07:12:33Z</vt:lpwstr>
  </property>
  <property name="MSIP_Label_eae9dd6c-139c-4279-81ff-f5bef92f011d_Method" fmtid="{D5CDD505-2E9C-101B-9397-08002B2CF9AE}" pid="4">
    <vt:lpwstr xmlns:vt="http://schemas.openxmlformats.org/officeDocument/2006/docPropsVTypes">Standard</vt:lpwstr>
  </property>
  <property name="MSIP_Label_eae9dd6c-139c-4279-81ff-f5bef92f011d_Name" fmtid="{D5CDD505-2E9C-101B-9397-08002B2CF9AE}" pid="5">
    <vt:lpwstr xmlns:vt="http://schemas.openxmlformats.org/officeDocument/2006/docPropsVTypes">General</vt:lpwstr>
  </property>
  <property name="MSIP_Label_eae9dd6c-139c-4279-81ff-f5bef92f011d_SiteId" fmtid="{D5CDD505-2E9C-101B-9397-08002B2CF9AE}" pid="6">
    <vt:lpwstr xmlns:vt="http://schemas.openxmlformats.org/officeDocument/2006/docPropsVTypes">73a4c997-ac5a-4bcd-81f3-fd25589a48b7</vt:lpwstr>
  </property>
  <property name="MSIP_Label_eae9dd6c-139c-4279-81ff-f5bef92f011d_ActionId" fmtid="{D5CDD505-2E9C-101B-9397-08002B2CF9AE}" pid="7">
    <vt:lpwstr xmlns:vt="http://schemas.openxmlformats.org/officeDocument/2006/docPropsVTypes">21bed94d-47af-4f1f-a3af-42019e50e863</vt:lpwstr>
  </property>
  <property name="MSIP_Label_eae9dd6c-139c-4279-81ff-f5bef92f011d_ContentBits" fmtid="{D5CDD505-2E9C-101B-9397-08002B2CF9AE}" pid="8">
    <vt:lpwstr xmlns:vt="http://schemas.openxmlformats.org/officeDocument/2006/docPropsVTypes">0</vt:lpwstr>
  </property>
  <property name="MSIP_Label_eae9dd6c-139c-4279-81ff-f5bef92f011d_Tag" fmtid="{D5CDD505-2E9C-101B-9397-08002B2CF9AE}" pid="9">
    <vt:lpwstr xmlns:vt="http://schemas.openxmlformats.org/officeDocument/2006/docPropsVTypes">10, 3, 0, 1</vt:lpwstr>
  </property>
</Properties>
</file>